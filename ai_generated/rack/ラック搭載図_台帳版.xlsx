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機器台帳" sheetId="2" state="visible" r:id="rId2"/>
    <sheet xmlns:r="http://schemas.openxmlformats.org/officeDocument/2006/relationships" name="ラック定義" sheetId="3" state="visible" r:id="rId3"/>
    <sheet xmlns:r="http://schemas.openxmlformats.org/officeDocument/2006/relationships" name="回路定義" sheetId="4" state="visible" r:id="rId4"/>
    <sheet xmlns:r="http://schemas.openxmlformats.org/officeDocument/2006/relationships" name="搭載図" sheetId="5" state="visible" r:id="rId5"/>
    <sheet xmlns:r="http://schemas.openxmlformats.org/officeDocument/2006/relationships" name="電力集計" sheetId="6" state="visible" r:id="rId6"/>
  </sheets>
  <definedNames>
    <definedName name="_xlnm._FilterDatabase" localSheetId="1" hidden="1">'機器台帳'!$A$1:$AD$400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b val="1"/>
      <color rgb="00C00000"/>
    </font>
    <font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9" fontId="0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0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center" vertical="center"/>
    </xf>
    <xf numFmtId="9" fontId="0" fillId="0" borderId="1" pivotButton="0" quotePrefix="0" xfId="0"/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dxfs count="8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AE8FC"/>
        </patternFill>
      </fill>
    </dxf>
    <dxf>
      <fill>
        <patternFill patternType="solid">
          <fgColor rgb="00FFE6CC"/>
        </patternFill>
      </fill>
    </dxf>
    <dxf>
      <fill>
        <patternFill patternType="solid">
          <fgColor rgb="00D5E8D4"/>
        </patternFill>
      </fill>
    </dxf>
    <dxf>
      <fill>
        <patternFill patternType="solid">
          <fgColor rgb="00F8CECC"/>
        </patternFill>
      </fill>
    </dxf>
    <dxf>
      <fill>
        <patternFill patternType="solid">
          <fgColor rgb="00E1D5E7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ラック搭載図（台帳版）の使い方</t>
        </is>
      </c>
    </row>
    <row r="2">
      <c r="A2" t="inlineStr"/>
    </row>
    <row r="3">
      <c r="A3" s="2" t="inlineStr">
        <is>
          <t>■ 直すのは「機器台帳」シートだけです</t>
        </is>
      </c>
    </row>
    <row r="4">
      <c r="A4" t="inlineStr">
        <is>
          <t xml:space="preserve">　機器を足す: 空いている行に1行書きます。ラック・面・開始U・U数・機器名は必ず入れます。</t>
        </is>
      </c>
    </row>
    <row r="5">
      <c r="A5" t="inlineStr">
        <is>
          <t xml:space="preserve">　機器を外す: その行を削除します（行ごと消してください。値だけ消すと点検に残ります）。</t>
        </is>
      </c>
    </row>
    <row r="6">
      <c r="A6" t="inlineStr">
        <is>
          <t xml:space="preserve">　機器を移す: 「開始U」を書き換えます。図は自動で動きます。</t>
        </is>
      </c>
    </row>
    <row r="7">
      <c r="A7" t="inlineStr">
        <is>
          <t xml:space="preserve">　2U以上の機器: 「U数」に2以上を入れます。行を増やす必要はありません。</t>
        </is>
      </c>
    </row>
    <row r="8">
      <c r="A8" t="inlineStr">
        <is>
          <t xml:space="preserve">　前面と背面の両方から見える機器: 「面」を『両面』にします。両方の図に出ます。</t>
        </is>
      </c>
    </row>
    <row r="9">
      <c r="A9" t="inlineStr"/>
    </row>
    <row r="10">
      <c r="A10" s="2" t="inlineStr">
        <is>
          <t>■ 図形は使っていません</t>
        </is>
      </c>
    </row>
    <row r="11">
      <c r="A11" t="inlineStr">
        <is>
          <t xml:space="preserve">　「搭載図」シートは数式で機器名を引いています。図のセルを直接書き換えないでください（次に誰かが台帳を直すと消えます）。</t>
        </is>
      </c>
    </row>
    <row r="12">
      <c r="A12" t="inlineStr">
        <is>
          <t xml:space="preserve">　図形が無いので、Teams で同時に開いても壊れません。</t>
        </is>
      </c>
    </row>
    <row r="13">
      <c r="A13" t="inlineStr"/>
    </row>
    <row r="14">
      <c r="A14" s="2" t="inlineStr">
        <is>
          <t>■ 電力の書き方</t>
        </is>
      </c>
    </row>
    <row r="15">
      <c r="A15" t="inlineStr">
        <is>
          <t xml:space="preserve">　電圧V・電流A・口数は数値で入れます。『100V』『1系統』のように単位を付けると計算できません。</t>
        </is>
      </c>
    </row>
    <row r="16">
      <c r="A16" t="inlineStr">
        <is>
          <t xml:space="preserve">　電流は「その回路が受け持つ電流」を入れます。1台が2回路に繋がるなら回路1・回路2に分けます。</t>
        </is>
      </c>
    </row>
    <row r="17">
      <c r="A17" t="inlineStr">
        <is>
          <t xml:space="preserve">　消費電力Wは 電圧×電流の合計 で自動計算します。手で入れる欄はありません。</t>
        </is>
      </c>
    </row>
    <row r="18">
      <c r="A18" t="inlineStr"/>
    </row>
    <row r="19">
      <c r="A19" s="2" t="inlineStr">
        <is>
          <t>■ 回路の余裕の見かた（「電力集計」シート）</t>
        </is>
      </c>
    </row>
    <row r="20">
      <c r="A20" t="inlineStr">
        <is>
          <t xml:space="preserve">　両系実効A: 正常時。負荷が繋がっている回路の数で等分されるとみなした値です。</t>
        </is>
      </c>
    </row>
    <row r="21">
      <c r="A21" t="inlineStr">
        <is>
          <t xml:space="preserve">　片系実効A: 片方の回路が落ちたとき。残った回路がその機器の全負荷を受けた値です。</t>
        </is>
      </c>
    </row>
    <row r="22">
      <c r="A22" t="inlineStr">
        <is>
          <t xml:space="preserve">　どちらも需要率（既定 0.6）を掛けます。片系実効値がブレーカ定格の 80% を超えると「要対応」と赤くなります。</t>
        </is>
      </c>
    </row>
    <row r="23">
      <c r="A23" t="inlineStr">
        <is>
          <t xml:space="preserve">　需要率と閾値は「ラック定義」シートで変えられます。数式には埋め込んでいません。</t>
        </is>
      </c>
    </row>
    <row r="24">
      <c r="A24" t="inlineStr"/>
    </row>
    <row r="25">
      <c r="A25" s="2" t="inlineStr">
        <is>
          <t>■ 記入漏れの見つけかた</t>
        </is>
      </c>
    </row>
    <row r="26">
      <c r="A26" t="inlineStr">
        <is>
          <t xml:space="preserve">　「機器台帳」のいちばん右に「点検」列があります。問題のある行だけ色が付きます。</t>
        </is>
      </c>
    </row>
    <row r="27">
      <c r="A27" t="inlineStr">
        <is>
          <t xml:space="preserve">　　赤: 電力や重量が未記入。その機器は電力集計に入っていません。</t>
        </is>
      </c>
    </row>
    <row r="28">
      <c r="A28" t="inlineStr">
        <is>
          <t xml:space="preserve">　　黄: 同じUに他の機器がある、回路名が定義にない、など確認が要るもの。</t>
        </is>
      </c>
    </row>
    <row r="29">
      <c r="A29" t="inlineStr">
        <is>
          <t xml:space="preserve">　「電力集計」シートの下に、ラックごとの未記入件数をまとめています。</t>
        </is>
      </c>
    </row>
    <row r="30">
      <c r="A30" t="inlineStr"/>
    </row>
    <row r="31">
      <c r="A31" s="2" t="inlineStr">
        <is>
          <t>■ ファイルの置きかた</t>
        </is>
      </c>
    </row>
    <row r="32">
      <c r="A32" t="inlineStr">
        <is>
          <t xml:space="preserve">　このブックは1つだけ置き、全員が同じものを直します。</t>
        </is>
      </c>
    </row>
    <row r="33">
      <c r="A33" t="inlineStr">
        <is>
          <t xml:space="preserve">　いつ誰が何を変えたかは SharePoint のバージョン履歴に残ります（ファイル名に rev日付を付けて別ファイルを作る必要はありません）。</t>
        </is>
      </c>
    </row>
    <row r="34">
      <c r="A34" t="inlineStr">
        <is>
          <t xml:space="preserve">　個人の OneDrive にコピーを置くと、そちらだけ古くなります。コピーは作らないでください。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6" customWidth="1" min="4" max="4"/>
    <col width="7" customWidth="1" min="5" max="5"/>
    <col width="26" customWidth="1" min="6" max="6"/>
    <col width="11" customWidth="1" min="7" max="7"/>
    <col width="10" customWidth="1" min="8" max="8"/>
    <col width="9" customWidth="1" min="9" max="9"/>
    <col width="8" customWidth="1" min="10" max="10"/>
    <col width="7" customWidth="1" min="11" max="11"/>
    <col width="7" customWidth="1" min="12" max="12"/>
    <col width="14" customWidth="1" min="13" max="13"/>
    <col width="8" customWidth="1" min="14" max="14"/>
    <col width="7" customWidth="1" min="15" max="15"/>
    <col width="14" customWidth="1" min="16" max="16"/>
    <col width="8" customWidth="1" min="17" max="17"/>
    <col width="7" customWidth="1" min="18" max="18"/>
    <col width="14" customWidth="1" min="19" max="19"/>
    <col width="8" customWidth="1" min="20" max="20"/>
    <col width="7" customWidth="1" min="21" max="21"/>
    <col width="12" customWidth="1" min="22" max="22"/>
    <col width="10" customWidth="1" min="23" max="23"/>
    <col width="28" customWidth="1" min="24" max="24"/>
    <col width="7" customWidth="1" min="25" max="25"/>
    <col width="10" customWidth="1" min="26" max="26"/>
    <col hidden="1" width="8" customWidth="1" min="27" max="27"/>
    <col hidden="1" width="8" customWidth="1" min="28" max="28"/>
    <col hidden="1" width="8" customWidth="1" min="29" max="29"/>
    <col width="46" customWidth="1" min="30" max="30"/>
  </cols>
  <sheetData>
    <row r="1">
      <c r="A1" s="3" t="inlineStr">
        <is>
          <t>ラック</t>
        </is>
      </c>
      <c r="B1" s="3" t="inlineStr">
        <is>
          <t>面</t>
        </is>
      </c>
      <c r="C1" s="3" t="inlineStr">
        <is>
          <t>開始U</t>
        </is>
      </c>
      <c r="D1" s="3" t="inlineStr">
        <is>
          <t>U数</t>
        </is>
      </c>
      <c r="E1" s="4" t="inlineStr">
        <is>
          <t>終了U</t>
        </is>
      </c>
      <c r="F1" s="3" t="inlineStr">
        <is>
          <t>機器名</t>
        </is>
      </c>
      <c r="G1" s="3" t="inlineStr">
        <is>
          <t>資産番号</t>
        </is>
      </c>
      <c r="H1" s="3" t="inlineStr">
        <is>
          <t>システム</t>
        </is>
      </c>
      <c r="I1" s="3" t="inlineStr">
        <is>
          <t>用途</t>
        </is>
      </c>
      <c r="J1" s="3" t="inlineStr">
        <is>
          <t>重量kg</t>
        </is>
      </c>
      <c r="K1" s="3" t="inlineStr">
        <is>
          <t>電圧V</t>
        </is>
      </c>
      <c r="L1" s="3" t="inlineStr">
        <is>
          <t>系統数</t>
        </is>
      </c>
      <c r="M1" s="3" t="inlineStr">
        <is>
          <t>回路1</t>
        </is>
      </c>
      <c r="N1" s="3" t="inlineStr">
        <is>
          <t>電流1A</t>
        </is>
      </c>
      <c r="O1" s="3" t="inlineStr">
        <is>
          <t>口数1</t>
        </is>
      </c>
      <c r="P1" s="3" t="inlineStr">
        <is>
          <t>回路2</t>
        </is>
      </c>
      <c r="Q1" s="3" t="inlineStr">
        <is>
          <t>電流2A</t>
        </is>
      </c>
      <c r="R1" s="3" t="inlineStr">
        <is>
          <t>口数2</t>
        </is>
      </c>
      <c r="S1" s="3" t="inlineStr">
        <is>
          <t>回路3</t>
        </is>
      </c>
      <c r="T1" s="3" t="inlineStr">
        <is>
          <t>電流3A</t>
        </is>
      </c>
      <c r="U1" s="3" t="inlineStr">
        <is>
          <t>口数3</t>
        </is>
      </c>
      <c r="V1" s="3" t="inlineStr">
        <is>
          <t>マウントキット</t>
        </is>
      </c>
      <c r="W1" s="3" t="inlineStr">
        <is>
          <t>耐震ベルト</t>
        </is>
      </c>
      <c r="X1" s="3" t="inlineStr">
        <is>
          <t>備考</t>
        </is>
      </c>
      <c r="Y1" s="4" t="inlineStr">
        <is>
          <t>回路数</t>
        </is>
      </c>
      <c r="Z1" s="4" t="inlineStr">
        <is>
          <t>消費電力W</t>
        </is>
      </c>
      <c r="AA1" s="4" t="inlineStr">
        <is>
          <t>両系1A</t>
        </is>
      </c>
      <c r="AB1" s="4" t="inlineStr">
        <is>
          <t>両系2A</t>
        </is>
      </c>
      <c r="AC1" s="4" t="inlineStr">
        <is>
          <t>両系3A</t>
        </is>
      </c>
      <c r="AD1" s="4" t="inlineStr">
        <is>
          <t>点検</t>
        </is>
      </c>
    </row>
    <row r="2">
      <c r="A2" s="5" t="inlineStr">
        <is>
          <t>E24-S8-1</t>
        </is>
      </c>
      <c r="B2" s="5" t="inlineStr">
        <is>
          <t>両面</t>
        </is>
      </c>
      <c r="C2" s="5" t="n">
        <v>39</v>
      </c>
      <c r="D2" s="5" t="n">
        <v>1</v>
      </c>
      <c r="E2" s="6">
        <f>IF(C2="","",C2+D2-1)</f>
        <v/>
      </c>
      <c r="F2" s="5" t="inlineStr">
        <is>
          <t>Dell S4128T-1</t>
        </is>
      </c>
      <c r="G2" s="5" t="inlineStr">
        <is>
          <t>H1902245</t>
        </is>
      </c>
      <c r="H2" s="5" t="inlineStr">
        <is>
          <t>AdTech</t>
        </is>
      </c>
      <c r="I2" s="5" t="inlineStr">
        <is>
          <t>SW</t>
        </is>
      </c>
      <c r="J2" s="5" t="n">
        <v>4.5</v>
      </c>
      <c r="K2" s="5" t="n">
        <v>100</v>
      </c>
      <c r="L2" s="5" t="n">
        <v>2</v>
      </c>
      <c r="M2" s="5" t="inlineStr">
        <is>
          <t>100V 20A （1）</t>
        </is>
      </c>
      <c r="N2" s="5" t="n">
        <v>0.5</v>
      </c>
      <c r="O2" s="5" t="n">
        <v>1</v>
      </c>
      <c r="P2" s="5" t="inlineStr">
        <is>
          <t>100V 20A （2）</t>
        </is>
      </c>
      <c r="Q2" s="5" t="n">
        <v>0.5</v>
      </c>
      <c r="R2" s="5" t="n">
        <v>1</v>
      </c>
      <c r="S2" s="5" t="n"/>
      <c r="T2" s="5" t="n"/>
      <c r="U2" s="5" t="n"/>
      <c r="V2" s="5" t="inlineStr">
        <is>
          <t>○</t>
        </is>
      </c>
      <c r="W2" s="5" t="inlineStr"/>
      <c r="X2" s="5" t="inlineStr"/>
      <c r="Y2" s="6">
        <f>COUNT(N2,Q2,T2)</f>
        <v/>
      </c>
      <c r="Z2" s="6">
        <f>IF(OR(K2="",NOT(ISNUMBER(K2))),"",K2*SUM(N2,Q2,T2))</f>
        <v/>
      </c>
      <c r="AA2" s="6">
        <f>IF(OR(Y2=0,N2=""),"",N2/Y2)</f>
        <v/>
      </c>
      <c r="AB2" s="6">
        <f>IF(OR(Y2=0,Q2=""),"",Q2/Y2)</f>
        <v/>
      </c>
      <c r="AC2" s="6">
        <f>IF(OR(Y2=0,T2=""),"",T2/Y2)</f>
        <v/>
      </c>
      <c r="AD2" s="6">
        <f>IF(F2="","",IF((IF(AND(Y2=0,NOT(SUMPRODUCT(--ISNUMBER(SEARCH({"棚板","棚","アングル","ｱﾝｸﾞﾙ","使用不可","ケーブル","ｹｰﾌﾞﾙ","PatchPnael","パッチ","引き出し","引出","ブランク","ﾌﾞﾗﾝｸ","マネージ","ﾏﾈｰｼﾞ","PDU","ONU"},$F2&amp;"")))&gt;0),NOT(SUMPRODUCT(--ISNUMBER(SEARCH({"電源オフ","未投入","停止","未使用","撤去"},$X2&amp;"")))&gt;0)),"／電力が未記入","")&amp;IF(AND(NOT(ISNUMBER(J2)),NOT(SUMPRODUCT(--ISNUMBER(SEARCH({"棚板","棚","アングル","ｱﾝｸﾞﾙ","使用不可","ケーブル","ｹｰﾌﾞﾙ","PatchPnael","パッチ","引き出し","引出","ブランク","ﾌﾞﾗﾝｸ","マネージ","ﾏﾈｰｼﾞ","PDU","ONU"},$F2&amp;"")))&gt;0)),"／重量が未記入","")&amp;IF(AND(K2&lt;&gt;"",NOT(ISNUMBER(K2))),"／電圧が数値でない","")&amp;IF(AND(N2&lt;&gt;"",NOT(ISNUMBER(N2))),"／電流が数値でない","")&amp;IF(AND(C2&lt;&gt;"",C2&lt;1),"／開始Uが1未満","")&amp;IF(AND(E2&lt;&gt;"",E2&gt;IFERROR(VLOOKUP(A2,ラック定義!$A:$B,2,FALSE),47)),"／総Uをはみ出す","")&amp;IF(AND(A2&lt;&gt;"",COUNTIF(ラック定義!$A:$A,A2)=0),"／ラックが定義にない","")&amp;IF(AND(SUMPRODUCT((機器台帳!$A$2:$A$400=$A2)*((機器台帳!$B$2:$B$400=$B2)+(機器台帳!$B$2:$B$400="両面")+($B2="両面")&gt;0)*(機器台帳!$C$2:$C$400&lt;=$C2+$D2-1)*(機器台帳!$C$2:$C$400+機器台帳!$D$2:$D$400-1&gt;=$C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&amp;"")))&gt;0)),"／同じUに他の機器(横並びなら正常)","")&amp;IF(AND(M2&lt;&gt;"",COUNTIFS(回路定義!$A:$A,A2,回路定義!$B:$B,M2)=0),"／回路1が定義にない","")&amp;IF(AND(P2&lt;&gt;"",COUNTIFS(回路定義!$A:$A,A2,回路定義!$B:$B,P2)=0),"／回路2が定義にない","")&amp;IF(AND(S2&lt;&gt;"",COUNTIFS(回路定義!$A:$A,A2,回路定義!$B:$B,S2)=0),"／回路3が定義にない",""))="","",MID(IF(AND(Y2=0,NOT(SUMPRODUCT(--ISNUMBER(SEARCH({"棚板","棚","アングル","ｱﾝｸﾞﾙ","使用不可","ケーブル","ｹｰﾌﾞﾙ","PatchPnael","パッチ","引き出し","引出","ブランク","ﾌﾞﾗﾝｸ","マネージ","ﾏﾈｰｼﾞ","PDU","ONU"},$F2&amp;"")))&gt;0),NOT(SUMPRODUCT(--ISNUMBER(SEARCH({"電源オフ","未投入","停止","未使用","撤去"},$X2&amp;"")))&gt;0)),"／電力が未記入","")&amp;IF(AND(NOT(ISNUMBER(J2)),NOT(SUMPRODUCT(--ISNUMBER(SEARCH({"棚板","棚","アングル","ｱﾝｸﾞﾙ","使用不可","ケーブル","ｹｰﾌﾞﾙ","PatchPnael","パッチ","引き出し","引出","ブランク","ﾌﾞﾗﾝｸ","マネージ","ﾏﾈｰｼﾞ","PDU","ONU"},$F2&amp;"")))&gt;0)),"／重量が未記入","")&amp;IF(AND(K2&lt;&gt;"",NOT(ISNUMBER(K2))),"／電圧が数値でない","")&amp;IF(AND(N2&lt;&gt;"",NOT(ISNUMBER(N2))),"／電流が数値でない","")&amp;IF(AND(C2&lt;&gt;"",C2&lt;1),"／開始Uが1未満","")&amp;IF(AND(E2&lt;&gt;"",E2&gt;IFERROR(VLOOKUP(A2,ラック定義!$A:$B,2,FALSE),47)),"／総Uをはみ出す","")&amp;IF(AND(A2&lt;&gt;"",COUNTIF(ラック定義!$A:$A,A2)=0),"／ラックが定義にない","")&amp;IF(AND(SUMPRODUCT((機器台帳!$A$2:$A$400=$A2)*((機器台帳!$B$2:$B$400=$B2)+(機器台帳!$B$2:$B$400="両面")+($B2="両面")&gt;0)*(機器台帳!$C$2:$C$400&lt;=$C2+$D2-1)*(機器台帳!$C$2:$C$400+機器台帳!$D$2:$D$400-1&gt;=$C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&amp;"")))&gt;0)),"／同じUに他の機器(横並びなら正常)","")&amp;IF(AND(M2&lt;&gt;"",COUNTIFS(回路定義!$A:$A,A2,回路定義!$B:$B,M2)=0),"／回路1が定義にない","")&amp;IF(AND(P2&lt;&gt;"",COUNTIFS(回路定義!$A:$A,A2,回路定義!$B:$B,P2)=0),"／回路2が定義にない","")&amp;IF(AND(S2&lt;&gt;"",COUNTIFS(回路定義!$A:$A,A2,回路定義!$B:$B,S2)=0),"／回路3が定義にない",""),2,300)))</f>
        <v/>
      </c>
    </row>
    <row r="3">
      <c r="A3" s="5" t="inlineStr">
        <is>
          <t>E24-S8-1</t>
        </is>
      </c>
      <c r="B3" s="5" t="inlineStr">
        <is>
          <t>両面</t>
        </is>
      </c>
      <c r="C3" s="5" t="n">
        <v>38</v>
      </c>
      <c r="D3" s="5" t="n">
        <v>1</v>
      </c>
      <c r="E3" s="6">
        <f>IF(C3="","",C3+D3-1)</f>
        <v/>
      </c>
      <c r="F3" s="5" t="inlineStr">
        <is>
          <t>DELLEMC R640-2</t>
        </is>
      </c>
      <c r="G3" s="5" t="inlineStr">
        <is>
          <t>H1714831</t>
        </is>
      </c>
      <c r="H3" s="5" t="inlineStr"/>
      <c r="I3" s="5" t="inlineStr">
        <is>
          <t>Server</t>
        </is>
      </c>
      <c r="J3" s="5" t="n">
        <v>9.5</v>
      </c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inlineStr">
        <is>
          <t>○</t>
        </is>
      </c>
      <c r="W3" s="5" t="inlineStr"/>
      <c r="X3" s="5" t="inlineStr">
        <is>
          <t>故障のため電源未投入</t>
        </is>
      </c>
      <c r="Y3" s="6">
        <f>COUNT(N3,Q3,T3)</f>
        <v/>
      </c>
      <c r="Z3" s="6">
        <f>IF(OR(K3="",NOT(ISNUMBER(K3))),"",K3*SUM(N3,Q3,T3))</f>
        <v/>
      </c>
      <c r="AA3" s="6">
        <f>IF(OR(Y3=0,N3=""),"",N3/Y3)</f>
        <v/>
      </c>
      <c r="AB3" s="6">
        <f>IF(OR(Y3=0,Q3=""),"",Q3/Y3)</f>
        <v/>
      </c>
      <c r="AC3" s="6">
        <f>IF(OR(Y3=0,T3=""),"",T3/Y3)</f>
        <v/>
      </c>
      <c r="AD3" s="6">
        <f>IF(F3="","",IF((IF(AND(Y3=0,NOT(SUMPRODUCT(--ISNUMBER(SEARCH({"棚板","棚","アングル","ｱﾝｸﾞﾙ","使用不可","ケーブル","ｹｰﾌﾞﾙ","PatchPnael","パッチ","引き出し","引出","ブランク","ﾌﾞﾗﾝｸ","マネージ","ﾏﾈｰｼﾞ","PDU","ONU"},$F3&amp;"")))&gt;0),NOT(SUMPRODUCT(--ISNUMBER(SEARCH({"電源オフ","未投入","停止","未使用","撤去"},$X3&amp;"")))&gt;0)),"／電力が未記入","")&amp;IF(AND(NOT(ISNUMBER(J3)),NOT(SUMPRODUCT(--ISNUMBER(SEARCH({"棚板","棚","アングル","ｱﾝｸﾞﾙ","使用不可","ケーブル","ｹｰﾌﾞﾙ","PatchPnael","パッチ","引き出し","引出","ブランク","ﾌﾞﾗﾝｸ","マネージ","ﾏﾈｰｼﾞ","PDU","ONU"},$F3&amp;"")))&gt;0)),"／重量が未記入","")&amp;IF(AND(K3&lt;&gt;"",NOT(ISNUMBER(K3))),"／電圧が数値でない","")&amp;IF(AND(N3&lt;&gt;"",NOT(ISNUMBER(N3))),"／電流が数値でない","")&amp;IF(AND(C3&lt;&gt;"",C3&lt;1),"／開始Uが1未満","")&amp;IF(AND(E3&lt;&gt;"",E3&gt;IFERROR(VLOOKUP(A3,ラック定義!$A:$B,2,FALSE),47)),"／総Uをはみ出す","")&amp;IF(AND(A3&lt;&gt;"",COUNTIF(ラック定義!$A:$A,A3)=0),"／ラックが定義にない","")&amp;IF(AND(SUMPRODUCT((機器台帳!$A$2:$A$400=$A3)*((機器台帳!$B$2:$B$400=$B3)+(機器台帳!$B$2:$B$400="両面")+($B3="両面")&gt;0)*(機器台帳!$C$2:$C$400&lt;=$C3+$D3-1)*(機器台帳!$C$2:$C$400+機器台帳!$D$2:$D$400-1&gt;=$C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&amp;"")))&gt;0)),"／同じUに他の機器(横並びなら正常)","")&amp;IF(AND(M3&lt;&gt;"",COUNTIFS(回路定義!$A:$A,A3,回路定義!$B:$B,M3)=0),"／回路1が定義にない","")&amp;IF(AND(P3&lt;&gt;"",COUNTIFS(回路定義!$A:$A,A3,回路定義!$B:$B,P3)=0),"／回路2が定義にない","")&amp;IF(AND(S3&lt;&gt;"",COUNTIFS(回路定義!$A:$A,A3,回路定義!$B:$B,S3)=0),"／回路3が定義にない",""))="","",MID(IF(AND(Y3=0,NOT(SUMPRODUCT(--ISNUMBER(SEARCH({"棚板","棚","アングル","ｱﾝｸﾞﾙ","使用不可","ケーブル","ｹｰﾌﾞﾙ","PatchPnael","パッチ","引き出し","引出","ブランク","ﾌﾞﾗﾝｸ","マネージ","ﾏﾈｰｼﾞ","PDU","ONU"},$F3&amp;"")))&gt;0),NOT(SUMPRODUCT(--ISNUMBER(SEARCH({"電源オフ","未投入","停止","未使用","撤去"},$X3&amp;"")))&gt;0)),"／電力が未記入","")&amp;IF(AND(NOT(ISNUMBER(J3)),NOT(SUMPRODUCT(--ISNUMBER(SEARCH({"棚板","棚","アングル","ｱﾝｸﾞﾙ","使用不可","ケーブル","ｹｰﾌﾞﾙ","PatchPnael","パッチ","引き出し","引出","ブランク","ﾌﾞﾗﾝｸ","マネージ","ﾏﾈｰｼﾞ","PDU","ONU"},$F3&amp;"")))&gt;0)),"／重量が未記入","")&amp;IF(AND(K3&lt;&gt;"",NOT(ISNUMBER(K3))),"／電圧が数値でない","")&amp;IF(AND(N3&lt;&gt;"",NOT(ISNUMBER(N3))),"／電流が数値でない","")&amp;IF(AND(C3&lt;&gt;"",C3&lt;1),"／開始Uが1未満","")&amp;IF(AND(E3&lt;&gt;"",E3&gt;IFERROR(VLOOKUP(A3,ラック定義!$A:$B,2,FALSE),47)),"／総Uをはみ出す","")&amp;IF(AND(A3&lt;&gt;"",COUNTIF(ラック定義!$A:$A,A3)=0),"／ラックが定義にない","")&amp;IF(AND(SUMPRODUCT((機器台帳!$A$2:$A$400=$A3)*((機器台帳!$B$2:$B$400=$B3)+(機器台帳!$B$2:$B$400="両面")+($B3="両面")&gt;0)*(機器台帳!$C$2:$C$400&lt;=$C3+$D3-1)*(機器台帳!$C$2:$C$400+機器台帳!$D$2:$D$400-1&gt;=$C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&amp;"")))&gt;0)),"／同じUに他の機器(横並びなら正常)","")&amp;IF(AND(M3&lt;&gt;"",COUNTIFS(回路定義!$A:$A,A3,回路定義!$B:$B,M3)=0),"／回路1が定義にない","")&amp;IF(AND(P3&lt;&gt;"",COUNTIFS(回路定義!$A:$A,A3,回路定義!$B:$B,P3)=0),"／回路2が定義にない","")&amp;IF(AND(S3&lt;&gt;"",COUNTIFS(回路定義!$A:$A,A3,回路定義!$B:$B,S3)=0),"／回路3が定義にない",""),2,300)))</f>
        <v/>
      </c>
    </row>
    <row r="4">
      <c r="A4" s="5" t="inlineStr">
        <is>
          <t>E24-S8-1</t>
        </is>
      </c>
      <c r="B4" s="5" t="inlineStr">
        <is>
          <t>両面</t>
        </is>
      </c>
      <c r="C4" s="5" t="n">
        <v>36</v>
      </c>
      <c r="D4" s="5" t="n">
        <v>1</v>
      </c>
      <c r="E4" s="6">
        <f>IF(C4="","",C4+D4-1)</f>
        <v/>
      </c>
      <c r="F4" s="5" t="inlineStr">
        <is>
          <t>VxRail E560-6</t>
        </is>
      </c>
      <c r="G4" s="5" t="inlineStr">
        <is>
          <t>H1806676</t>
        </is>
      </c>
      <c r="H4" s="5" t="inlineStr">
        <is>
          <t>AdTech</t>
        </is>
      </c>
      <c r="I4" s="5" t="inlineStr">
        <is>
          <t>Server</t>
        </is>
      </c>
      <c r="J4" s="5" t="n">
        <v>9.5</v>
      </c>
      <c r="K4" s="5" t="n">
        <v>100</v>
      </c>
      <c r="L4" s="5" t="n">
        <v>2</v>
      </c>
      <c r="M4" s="5" t="inlineStr">
        <is>
          <t>100V 20A （1）</t>
        </is>
      </c>
      <c r="N4" s="5" t="n">
        <v>3</v>
      </c>
      <c r="O4" s="5" t="n">
        <v>2</v>
      </c>
      <c r="P4" s="5" t="n"/>
      <c r="Q4" s="5" t="n"/>
      <c r="R4" s="5" t="n"/>
      <c r="S4" s="5" t="n"/>
      <c r="T4" s="5" t="n"/>
      <c r="U4" s="5" t="n"/>
      <c r="V4" s="5" t="inlineStr">
        <is>
          <t>○</t>
        </is>
      </c>
      <c r="W4" s="5" t="inlineStr"/>
      <c r="X4" s="5" t="inlineStr"/>
      <c r="Y4" s="6">
        <f>COUNT(N4,Q4,T4)</f>
        <v/>
      </c>
      <c r="Z4" s="6">
        <f>IF(OR(K4="",NOT(ISNUMBER(K4))),"",K4*SUM(N4,Q4,T4))</f>
        <v/>
      </c>
      <c r="AA4" s="6">
        <f>IF(OR(Y4=0,N4=""),"",N4/Y4)</f>
        <v/>
      </c>
      <c r="AB4" s="6">
        <f>IF(OR(Y4=0,Q4=""),"",Q4/Y4)</f>
        <v/>
      </c>
      <c r="AC4" s="6">
        <f>IF(OR(Y4=0,T4=""),"",T4/Y4)</f>
        <v/>
      </c>
      <c r="AD4" s="6">
        <f>IF(F4="","",IF((IF(AND(Y4=0,NOT(SUMPRODUCT(--ISNUMBER(SEARCH({"棚板","棚","アングル","ｱﾝｸﾞﾙ","使用不可","ケーブル","ｹｰﾌﾞﾙ","PatchPnael","パッチ","引き出し","引出","ブランク","ﾌﾞﾗﾝｸ","マネージ","ﾏﾈｰｼﾞ","PDU","ONU"},$F4&amp;"")))&gt;0),NOT(SUMPRODUCT(--ISNUMBER(SEARCH({"電源オフ","未投入","停止","未使用","撤去"},$X4&amp;"")))&gt;0)),"／電力が未記入","")&amp;IF(AND(NOT(ISNUMBER(J4)),NOT(SUMPRODUCT(--ISNUMBER(SEARCH({"棚板","棚","アングル","ｱﾝｸﾞﾙ","使用不可","ケーブル","ｹｰﾌﾞﾙ","PatchPnael","パッチ","引き出し","引出","ブランク","ﾌﾞﾗﾝｸ","マネージ","ﾏﾈｰｼﾞ","PDU","ONU"},$F4&amp;"")))&gt;0)),"／重量が未記入","")&amp;IF(AND(K4&lt;&gt;"",NOT(ISNUMBER(K4))),"／電圧が数値でない","")&amp;IF(AND(N4&lt;&gt;"",NOT(ISNUMBER(N4))),"／電流が数値でない","")&amp;IF(AND(C4&lt;&gt;"",C4&lt;1),"／開始Uが1未満","")&amp;IF(AND(E4&lt;&gt;"",E4&gt;IFERROR(VLOOKUP(A4,ラック定義!$A:$B,2,FALSE),47)),"／総Uをはみ出す","")&amp;IF(AND(A4&lt;&gt;"",COUNTIF(ラック定義!$A:$A,A4)=0),"／ラックが定義にない","")&amp;IF(AND(SUMPRODUCT((機器台帳!$A$2:$A$400=$A4)*((機器台帳!$B$2:$B$400=$B4)+(機器台帳!$B$2:$B$400="両面")+($B4="両面")&gt;0)*(機器台帳!$C$2:$C$400&lt;=$C4+$D4-1)*(機器台帳!$C$2:$C$400+機器台帳!$D$2:$D$400-1&gt;=$C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&amp;"")))&gt;0)),"／同じUに他の機器(横並びなら正常)","")&amp;IF(AND(M4&lt;&gt;"",COUNTIFS(回路定義!$A:$A,A4,回路定義!$B:$B,M4)=0),"／回路1が定義にない","")&amp;IF(AND(P4&lt;&gt;"",COUNTIFS(回路定義!$A:$A,A4,回路定義!$B:$B,P4)=0),"／回路2が定義にない","")&amp;IF(AND(S4&lt;&gt;"",COUNTIFS(回路定義!$A:$A,A4,回路定義!$B:$B,S4)=0),"／回路3が定義にない",""))="","",MID(IF(AND(Y4=0,NOT(SUMPRODUCT(--ISNUMBER(SEARCH({"棚板","棚","アングル","ｱﾝｸﾞﾙ","使用不可","ケーブル","ｹｰﾌﾞﾙ","PatchPnael","パッチ","引き出し","引出","ブランク","ﾌﾞﾗﾝｸ","マネージ","ﾏﾈｰｼﾞ","PDU","ONU"},$F4&amp;"")))&gt;0),NOT(SUMPRODUCT(--ISNUMBER(SEARCH({"電源オフ","未投入","停止","未使用","撤去"},$X4&amp;"")))&gt;0)),"／電力が未記入","")&amp;IF(AND(NOT(ISNUMBER(J4)),NOT(SUMPRODUCT(--ISNUMBER(SEARCH({"棚板","棚","アングル","ｱﾝｸﾞﾙ","使用不可","ケーブル","ｹｰﾌﾞﾙ","PatchPnael","パッチ","引き出し","引出","ブランク","ﾌﾞﾗﾝｸ","マネージ","ﾏﾈｰｼﾞ","PDU","ONU"},$F4&amp;"")))&gt;0)),"／重量が未記入","")&amp;IF(AND(K4&lt;&gt;"",NOT(ISNUMBER(K4))),"／電圧が数値でない","")&amp;IF(AND(N4&lt;&gt;"",NOT(ISNUMBER(N4))),"／電流が数値でない","")&amp;IF(AND(C4&lt;&gt;"",C4&lt;1),"／開始Uが1未満","")&amp;IF(AND(E4&lt;&gt;"",E4&gt;IFERROR(VLOOKUP(A4,ラック定義!$A:$B,2,FALSE),47)),"／総Uをはみ出す","")&amp;IF(AND(A4&lt;&gt;"",COUNTIF(ラック定義!$A:$A,A4)=0),"／ラックが定義にない","")&amp;IF(AND(SUMPRODUCT((機器台帳!$A$2:$A$400=$A4)*((機器台帳!$B$2:$B$400=$B4)+(機器台帳!$B$2:$B$400="両面")+($B4="両面")&gt;0)*(機器台帳!$C$2:$C$400&lt;=$C4+$D4-1)*(機器台帳!$C$2:$C$400+機器台帳!$D$2:$D$400-1&gt;=$C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&amp;"")))&gt;0)),"／同じUに他の機器(横並びなら正常)","")&amp;IF(AND(M4&lt;&gt;"",COUNTIFS(回路定義!$A:$A,A4,回路定義!$B:$B,M4)=0),"／回路1が定義にない","")&amp;IF(AND(P4&lt;&gt;"",COUNTIFS(回路定義!$A:$A,A4,回路定義!$B:$B,P4)=0),"／回路2が定義にない","")&amp;IF(AND(S4&lt;&gt;"",COUNTIFS(回路定義!$A:$A,A4,回路定義!$B:$B,S4)=0),"／回路3が定義にない",""),2,300)))</f>
        <v/>
      </c>
    </row>
    <row r="5">
      <c r="A5" s="5" t="inlineStr">
        <is>
          <t>E24-S8-1</t>
        </is>
      </c>
      <c r="B5" s="5" t="inlineStr">
        <is>
          <t>両面</t>
        </is>
      </c>
      <c r="C5" s="5" t="n">
        <v>35</v>
      </c>
      <c r="D5" s="5" t="n">
        <v>1</v>
      </c>
      <c r="E5" s="6">
        <f>IF(C5="","",C5+D5-1)</f>
        <v/>
      </c>
      <c r="F5" s="5" t="inlineStr">
        <is>
          <t>VxRail E560-5</t>
        </is>
      </c>
      <c r="G5" s="5" t="inlineStr">
        <is>
          <t>H1806677</t>
        </is>
      </c>
      <c r="H5" s="5" t="inlineStr">
        <is>
          <t>AdTech</t>
        </is>
      </c>
      <c r="I5" s="5" t="inlineStr">
        <is>
          <t>Server</t>
        </is>
      </c>
      <c r="J5" s="5" t="n">
        <v>9.5</v>
      </c>
      <c r="K5" s="5" t="n">
        <v>100</v>
      </c>
      <c r="L5" s="5" t="n">
        <v>2</v>
      </c>
      <c r="M5" s="5" t="inlineStr">
        <is>
          <t>100V 20A （1）</t>
        </is>
      </c>
      <c r="N5" s="5" t="n">
        <v>3</v>
      </c>
      <c r="O5" s="5" t="n">
        <v>2</v>
      </c>
      <c r="P5" s="5" t="n"/>
      <c r="Q5" s="5" t="n"/>
      <c r="R5" s="5" t="n"/>
      <c r="S5" s="5" t="n"/>
      <c r="T5" s="5" t="n"/>
      <c r="U5" s="5" t="n"/>
      <c r="V5" s="5" t="inlineStr">
        <is>
          <t>○</t>
        </is>
      </c>
      <c r="W5" s="5" t="inlineStr"/>
      <c r="X5" s="5" t="inlineStr"/>
      <c r="Y5" s="6">
        <f>COUNT(N5,Q5,T5)</f>
        <v/>
      </c>
      <c r="Z5" s="6">
        <f>IF(OR(K5="",NOT(ISNUMBER(K5))),"",K5*SUM(N5,Q5,T5))</f>
        <v/>
      </c>
      <c r="AA5" s="6">
        <f>IF(OR(Y5=0,N5=""),"",N5/Y5)</f>
        <v/>
      </c>
      <c r="AB5" s="6">
        <f>IF(OR(Y5=0,Q5=""),"",Q5/Y5)</f>
        <v/>
      </c>
      <c r="AC5" s="6">
        <f>IF(OR(Y5=0,T5=""),"",T5/Y5)</f>
        <v/>
      </c>
      <c r="AD5" s="6">
        <f>IF(F5="","",IF((IF(AND(Y5=0,NOT(SUMPRODUCT(--ISNUMBER(SEARCH({"棚板","棚","アングル","ｱﾝｸﾞﾙ","使用不可","ケーブル","ｹｰﾌﾞﾙ","PatchPnael","パッチ","引き出し","引出","ブランク","ﾌﾞﾗﾝｸ","マネージ","ﾏﾈｰｼﾞ","PDU","ONU"},$F5&amp;"")))&gt;0),NOT(SUMPRODUCT(--ISNUMBER(SEARCH({"電源オフ","未投入","停止","未使用","撤去"},$X5&amp;"")))&gt;0)),"／電力が未記入","")&amp;IF(AND(NOT(ISNUMBER(J5)),NOT(SUMPRODUCT(--ISNUMBER(SEARCH({"棚板","棚","アングル","ｱﾝｸﾞﾙ","使用不可","ケーブル","ｹｰﾌﾞﾙ","PatchPnael","パッチ","引き出し","引出","ブランク","ﾌﾞﾗﾝｸ","マネージ","ﾏﾈｰｼﾞ","PDU","ONU"},$F5&amp;"")))&gt;0)),"／重量が未記入","")&amp;IF(AND(K5&lt;&gt;"",NOT(ISNUMBER(K5))),"／電圧が数値でない","")&amp;IF(AND(N5&lt;&gt;"",NOT(ISNUMBER(N5))),"／電流が数値でない","")&amp;IF(AND(C5&lt;&gt;"",C5&lt;1),"／開始Uが1未満","")&amp;IF(AND(E5&lt;&gt;"",E5&gt;IFERROR(VLOOKUP(A5,ラック定義!$A:$B,2,FALSE),47)),"／総Uをはみ出す","")&amp;IF(AND(A5&lt;&gt;"",COUNTIF(ラック定義!$A:$A,A5)=0),"／ラックが定義にない","")&amp;IF(AND(SUMPRODUCT((機器台帳!$A$2:$A$400=$A5)*((機器台帳!$B$2:$B$400=$B5)+(機器台帳!$B$2:$B$400="両面")+($B5="両面")&gt;0)*(機器台帳!$C$2:$C$400&lt;=$C5+$D5-1)*(機器台帳!$C$2:$C$400+機器台帳!$D$2:$D$400-1&gt;=$C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&amp;"")))&gt;0)),"／同じUに他の機器(横並びなら正常)","")&amp;IF(AND(M5&lt;&gt;"",COUNTIFS(回路定義!$A:$A,A5,回路定義!$B:$B,M5)=0),"／回路1が定義にない","")&amp;IF(AND(P5&lt;&gt;"",COUNTIFS(回路定義!$A:$A,A5,回路定義!$B:$B,P5)=0),"／回路2が定義にない","")&amp;IF(AND(S5&lt;&gt;"",COUNTIFS(回路定義!$A:$A,A5,回路定義!$B:$B,S5)=0),"／回路3が定義にない",""))="","",MID(IF(AND(Y5=0,NOT(SUMPRODUCT(--ISNUMBER(SEARCH({"棚板","棚","アングル","ｱﾝｸﾞﾙ","使用不可","ケーブル","ｹｰﾌﾞﾙ","PatchPnael","パッチ","引き出し","引出","ブランク","ﾌﾞﾗﾝｸ","マネージ","ﾏﾈｰｼﾞ","PDU","ONU"},$F5&amp;"")))&gt;0),NOT(SUMPRODUCT(--ISNUMBER(SEARCH({"電源オフ","未投入","停止","未使用","撤去"},$X5&amp;"")))&gt;0)),"／電力が未記入","")&amp;IF(AND(NOT(ISNUMBER(J5)),NOT(SUMPRODUCT(--ISNUMBER(SEARCH({"棚板","棚","アングル","ｱﾝｸﾞﾙ","使用不可","ケーブル","ｹｰﾌﾞﾙ","PatchPnael","パッチ","引き出し","引出","ブランク","ﾌﾞﾗﾝｸ","マネージ","ﾏﾈｰｼﾞ","PDU","ONU"},$F5&amp;"")))&gt;0)),"／重量が未記入","")&amp;IF(AND(K5&lt;&gt;"",NOT(ISNUMBER(K5))),"／電圧が数値でない","")&amp;IF(AND(N5&lt;&gt;"",NOT(ISNUMBER(N5))),"／電流が数値でない","")&amp;IF(AND(C5&lt;&gt;"",C5&lt;1),"／開始Uが1未満","")&amp;IF(AND(E5&lt;&gt;"",E5&gt;IFERROR(VLOOKUP(A5,ラック定義!$A:$B,2,FALSE),47)),"／総Uをはみ出す","")&amp;IF(AND(A5&lt;&gt;"",COUNTIF(ラック定義!$A:$A,A5)=0),"／ラックが定義にない","")&amp;IF(AND(SUMPRODUCT((機器台帳!$A$2:$A$400=$A5)*((機器台帳!$B$2:$B$400=$B5)+(機器台帳!$B$2:$B$400="両面")+($B5="両面")&gt;0)*(機器台帳!$C$2:$C$400&lt;=$C5+$D5-1)*(機器台帳!$C$2:$C$400+機器台帳!$D$2:$D$400-1&gt;=$C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&amp;"")))&gt;0)),"／同じUに他の機器(横並びなら正常)","")&amp;IF(AND(M5&lt;&gt;"",COUNTIFS(回路定義!$A:$A,A5,回路定義!$B:$B,M5)=0),"／回路1が定義にない","")&amp;IF(AND(P5&lt;&gt;"",COUNTIFS(回路定義!$A:$A,A5,回路定義!$B:$B,P5)=0),"／回路2が定義にない","")&amp;IF(AND(S5&lt;&gt;"",COUNTIFS(回路定義!$A:$A,A5,回路定義!$B:$B,S5)=0),"／回路3が定義にない",""),2,300)))</f>
        <v/>
      </c>
    </row>
    <row r="6">
      <c r="A6" s="5" t="inlineStr">
        <is>
          <t>E24-S8-1</t>
        </is>
      </c>
      <c r="B6" s="5" t="inlineStr">
        <is>
          <t>両面</t>
        </is>
      </c>
      <c r="C6" s="5" t="n">
        <v>34</v>
      </c>
      <c r="D6" s="5" t="n">
        <v>1</v>
      </c>
      <c r="E6" s="6">
        <f>IF(C6="","",C6+D6-1)</f>
        <v/>
      </c>
      <c r="F6" s="5" t="inlineStr">
        <is>
          <t>VxRail E560-1</t>
        </is>
      </c>
      <c r="G6" s="5" t="inlineStr">
        <is>
          <t>H1806678</t>
        </is>
      </c>
      <c r="H6" s="5" t="inlineStr">
        <is>
          <t>AdTech</t>
        </is>
      </c>
      <c r="I6" s="5" t="inlineStr">
        <is>
          <t>Server</t>
        </is>
      </c>
      <c r="J6" s="5" t="n">
        <v>9.5</v>
      </c>
      <c r="K6" s="5" t="n">
        <v>100</v>
      </c>
      <c r="L6" s="5" t="n">
        <v>2</v>
      </c>
      <c r="M6" s="5" t="inlineStr">
        <is>
          <t>100V 20A （1）</t>
        </is>
      </c>
      <c r="N6" s="5" t="n">
        <v>3</v>
      </c>
      <c r="O6" s="5" t="n">
        <v>2</v>
      </c>
      <c r="P6" s="5" t="n"/>
      <c r="Q6" s="5" t="n"/>
      <c r="R6" s="5" t="n"/>
      <c r="S6" s="5" t="n"/>
      <c r="T6" s="5" t="n"/>
      <c r="U6" s="5" t="n"/>
      <c r="V6" s="5" t="inlineStr">
        <is>
          <t>○</t>
        </is>
      </c>
      <c r="W6" s="5" t="inlineStr"/>
      <c r="X6" s="5" t="inlineStr"/>
      <c r="Y6" s="6">
        <f>COUNT(N6,Q6,T6)</f>
        <v/>
      </c>
      <c r="Z6" s="6">
        <f>IF(OR(K6="",NOT(ISNUMBER(K6))),"",K6*SUM(N6,Q6,T6))</f>
        <v/>
      </c>
      <c r="AA6" s="6">
        <f>IF(OR(Y6=0,N6=""),"",N6/Y6)</f>
        <v/>
      </c>
      <c r="AB6" s="6">
        <f>IF(OR(Y6=0,Q6=""),"",Q6/Y6)</f>
        <v/>
      </c>
      <c r="AC6" s="6">
        <f>IF(OR(Y6=0,T6=""),"",T6/Y6)</f>
        <v/>
      </c>
      <c r="AD6" s="6">
        <f>IF(F6="","",IF((IF(AND(Y6=0,NOT(SUMPRODUCT(--ISNUMBER(SEARCH({"棚板","棚","アングル","ｱﾝｸﾞﾙ","使用不可","ケーブル","ｹｰﾌﾞﾙ","PatchPnael","パッチ","引き出し","引出","ブランク","ﾌﾞﾗﾝｸ","マネージ","ﾏﾈｰｼﾞ","PDU","ONU"},$F6&amp;"")))&gt;0),NOT(SUMPRODUCT(--ISNUMBER(SEARCH({"電源オフ","未投入","停止","未使用","撤去"},$X6&amp;"")))&gt;0)),"／電力が未記入","")&amp;IF(AND(NOT(ISNUMBER(J6)),NOT(SUMPRODUCT(--ISNUMBER(SEARCH({"棚板","棚","アングル","ｱﾝｸﾞﾙ","使用不可","ケーブル","ｹｰﾌﾞﾙ","PatchPnael","パッチ","引き出し","引出","ブランク","ﾌﾞﾗﾝｸ","マネージ","ﾏﾈｰｼﾞ","PDU","ONU"},$F6&amp;"")))&gt;0)),"／重量が未記入","")&amp;IF(AND(K6&lt;&gt;"",NOT(ISNUMBER(K6))),"／電圧が数値でない","")&amp;IF(AND(N6&lt;&gt;"",NOT(ISNUMBER(N6))),"／電流が数値でない","")&amp;IF(AND(C6&lt;&gt;"",C6&lt;1),"／開始Uが1未満","")&amp;IF(AND(E6&lt;&gt;"",E6&gt;IFERROR(VLOOKUP(A6,ラック定義!$A:$B,2,FALSE),47)),"／総Uをはみ出す","")&amp;IF(AND(A6&lt;&gt;"",COUNTIF(ラック定義!$A:$A,A6)=0),"／ラックが定義にない","")&amp;IF(AND(SUMPRODUCT((機器台帳!$A$2:$A$400=$A6)*((機器台帳!$B$2:$B$400=$B6)+(機器台帳!$B$2:$B$400="両面")+($B6="両面")&gt;0)*(機器台帳!$C$2:$C$400&lt;=$C6+$D6-1)*(機器台帳!$C$2:$C$400+機器台帳!$D$2:$D$400-1&gt;=$C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&amp;"")))&gt;0)),"／同じUに他の機器(横並びなら正常)","")&amp;IF(AND(M6&lt;&gt;"",COUNTIFS(回路定義!$A:$A,A6,回路定義!$B:$B,M6)=0),"／回路1が定義にない","")&amp;IF(AND(P6&lt;&gt;"",COUNTIFS(回路定義!$A:$A,A6,回路定義!$B:$B,P6)=0),"／回路2が定義にない","")&amp;IF(AND(S6&lt;&gt;"",COUNTIFS(回路定義!$A:$A,A6,回路定義!$B:$B,S6)=0),"／回路3が定義にない",""))="","",MID(IF(AND(Y6=0,NOT(SUMPRODUCT(--ISNUMBER(SEARCH({"棚板","棚","アングル","ｱﾝｸﾞﾙ","使用不可","ケーブル","ｹｰﾌﾞﾙ","PatchPnael","パッチ","引き出し","引出","ブランク","ﾌﾞﾗﾝｸ","マネージ","ﾏﾈｰｼﾞ","PDU","ONU"},$F6&amp;"")))&gt;0),NOT(SUMPRODUCT(--ISNUMBER(SEARCH({"電源オフ","未投入","停止","未使用","撤去"},$X6&amp;"")))&gt;0)),"／電力が未記入","")&amp;IF(AND(NOT(ISNUMBER(J6)),NOT(SUMPRODUCT(--ISNUMBER(SEARCH({"棚板","棚","アングル","ｱﾝｸﾞﾙ","使用不可","ケーブル","ｹｰﾌﾞﾙ","PatchPnael","パッチ","引き出し","引出","ブランク","ﾌﾞﾗﾝｸ","マネージ","ﾏﾈｰｼﾞ","PDU","ONU"},$F6&amp;"")))&gt;0)),"／重量が未記入","")&amp;IF(AND(K6&lt;&gt;"",NOT(ISNUMBER(K6))),"／電圧が数値でない","")&amp;IF(AND(N6&lt;&gt;"",NOT(ISNUMBER(N6))),"／電流が数値でない","")&amp;IF(AND(C6&lt;&gt;"",C6&lt;1),"／開始Uが1未満","")&amp;IF(AND(E6&lt;&gt;"",E6&gt;IFERROR(VLOOKUP(A6,ラック定義!$A:$B,2,FALSE),47)),"／総Uをはみ出す","")&amp;IF(AND(A6&lt;&gt;"",COUNTIF(ラック定義!$A:$A,A6)=0),"／ラックが定義にない","")&amp;IF(AND(SUMPRODUCT((機器台帳!$A$2:$A$400=$A6)*((機器台帳!$B$2:$B$400=$B6)+(機器台帳!$B$2:$B$400="両面")+($B6="両面")&gt;0)*(機器台帳!$C$2:$C$400&lt;=$C6+$D6-1)*(機器台帳!$C$2:$C$400+機器台帳!$D$2:$D$400-1&gt;=$C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&amp;"")))&gt;0)),"／同じUに他の機器(横並びなら正常)","")&amp;IF(AND(M6&lt;&gt;"",COUNTIFS(回路定義!$A:$A,A6,回路定義!$B:$B,M6)=0),"／回路1が定義にない","")&amp;IF(AND(P6&lt;&gt;"",COUNTIFS(回路定義!$A:$A,A6,回路定義!$B:$B,P6)=0),"／回路2が定義にない","")&amp;IF(AND(S6&lt;&gt;"",COUNTIFS(回路定義!$A:$A,A6,回路定義!$B:$B,S6)=0),"／回路3が定義にない",""),2,300)))</f>
        <v/>
      </c>
    </row>
    <row r="7">
      <c r="A7" s="5" t="inlineStr">
        <is>
          <t>E24-S8-1</t>
        </is>
      </c>
      <c r="B7" s="5" t="inlineStr">
        <is>
          <t>両面</t>
        </is>
      </c>
      <c r="C7" s="5" t="n">
        <v>32</v>
      </c>
      <c r="D7" s="5" t="n">
        <v>1</v>
      </c>
      <c r="E7" s="6">
        <f>IF(C7="","",C7+D7-1)</f>
        <v/>
      </c>
      <c r="F7" s="5" t="inlineStr">
        <is>
          <t>VxRail E560-4</t>
        </is>
      </c>
      <c r="G7" s="5" t="inlineStr">
        <is>
          <t>H1809660</t>
        </is>
      </c>
      <c r="H7" s="5" t="inlineStr">
        <is>
          <t>AdTech</t>
        </is>
      </c>
      <c r="I7" s="5" t="inlineStr">
        <is>
          <t>Server</t>
        </is>
      </c>
      <c r="J7" s="5" t="n">
        <v>9.5</v>
      </c>
      <c r="K7" s="5" t="n">
        <v>100</v>
      </c>
      <c r="L7" s="5" t="n">
        <v>2</v>
      </c>
      <c r="M7" s="5" t="inlineStr">
        <is>
          <t>100V 20A （2）</t>
        </is>
      </c>
      <c r="N7" s="5" t="n">
        <v>3</v>
      </c>
      <c r="O7" s="5" t="n">
        <v>2</v>
      </c>
      <c r="P7" s="5" t="n"/>
      <c r="Q7" s="5" t="n"/>
      <c r="R7" s="5" t="n"/>
      <c r="S7" s="5" t="n"/>
      <c r="T7" s="5" t="n"/>
      <c r="U7" s="5" t="n"/>
      <c r="V7" s="5" t="inlineStr">
        <is>
          <t>○</t>
        </is>
      </c>
      <c r="W7" s="5" t="inlineStr"/>
      <c r="X7" s="5" t="inlineStr"/>
      <c r="Y7" s="6">
        <f>COUNT(N7,Q7,T7)</f>
        <v/>
      </c>
      <c r="Z7" s="6">
        <f>IF(OR(K7="",NOT(ISNUMBER(K7))),"",K7*SUM(N7,Q7,T7))</f>
        <v/>
      </c>
      <c r="AA7" s="6">
        <f>IF(OR(Y7=0,N7=""),"",N7/Y7)</f>
        <v/>
      </c>
      <c r="AB7" s="6">
        <f>IF(OR(Y7=0,Q7=""),"",Q7/Y7)</f>
        <v/>
      </c>
      <c r="AC7" s="6">
        <f>IF(OR(Y7=0,T7=""),"",T7/Y7)</f>
        <v/>
      </c>
      <c r="AD7" s="6">
        <f>IF(F7="","",IF((IF(AND(Y7=0,NOT(SUMPRODUCT(--ISNUMBER(SEARCH({"棚板","棚","アングル","ｱﾝｸﾞﾙ","使用不可","ケーブル","ｹｰﾌﾞﾙ","PatchPnael","パッチ","引き出し","引出","ブランク","ﾌﾞﾗﾝｸ","マネージ","ﾏﾈｰｼﾞ","PDU","ONU"},$F7&amp;"")))&gt;0),NOT(SUMPRODUCT(--ISNUMBER(SEARCH({"電源オフ","未投入","停止","未使用","撤去"},$X7&amp;"")))&gt;0)),"／電力が未記入","")&amp;IF(AND(NOT(ISNUMBER(J7)),NOT(SUMPRODUCT(--ISNUMBER(SEARCH({"棚板","棚","アングル","ｱﾝｸﾞﾙ","使用不可","ケーブル","ｹｰﾌﾞﾙ","PatchPnael","パッチ","引き出し","引出","ブランク","ﾌﾞﾗﾝｸ","マネージ","ﾏﾈｰｼﾞ","PDU","ONU"},$F7&amp;"")))&gt;0)),"／重量が未記入","")&amp;IF(AND(K7&lt;&gt;"",NOT(ISNUMBER(K7))),"／電圧が数値でない","")&amp;IF(AND(N7&lt;&gt;"",NOT(ISNUMBER(N7))),"／電流が数値でない","")&amp;IF(AND(C7&lt;&gt;"",C7&lt;1),"／開始Uが1未満","")&amp;IF(AND(E7&lt;&gt;"",E7&gt;IFERROR(VLOOKUP(A7,ラック定義!$A:$B,2,FALSE),47)),"／総Uをはみ出す","")&amp;IF(AND(A7&lt;&gt;"",COUNTIF(ラック定義!$A:$A,A7)=0),"／ラックが定義にない","")&amp;IF(AND(SUMPRODUCT((機器台帳!$A$2:$A$400=$A7)*((機器台帳!$B$2:$B$400=$B7)+(機器台帳!$B$2:$B$400="両面")+($B7="両面")&gt;0)*(機器台帳!$C$2:$C$400&lt;=$C7+$D7-1)*(機器台帳!$C$2:$C$400+機器台帳!$D$2:$D$400-1&gt;=$C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&amp;"")))&gt;0)),"／同じUに他の機器(横並びなら正常)","")&amp;IF(AND(M7&lt;&gt;"",COUNTIFS(回路定義!$A:$A,A7,回路定義!$B:$B,M7)=0),"／回路1が定義にない","")&amp;IF(AND(P7&lt;&gt;"",COUNTIFS(回路定義!$A:$A,A7,回路定義!$B:$B,P7)=0),"／回路2が定義にない","")&amp;IF(AND(S7&lt;&gt;"",COUNTIFS(回路定義!$A:$A,A7,回路定義!$B:$B,S7)=0),"／回路3が定義にない",""))="","",MID(IF(AND(Y7=0,NOT(SUMPRODUCT(--ISNUMBER(SEARCH({"棚板","棚","アングル","ｱﾝｸﾞﾙ","使用不可","ケーブル","ｹｰﾌﾞﾙ","PatchPnael","パッチ","引き出し","引出","ブランク","ﾌﾞﾗﾝｸ","マネージ","ﾏﾈｰｼﾞ","PDU","ONU"},$F7&amp;"")))&gt;0),NOT(SUMPRODUCT(--ISNUMBER(SEARCH({"電源オフ","未投入","停止","未使用","撤去"},$X7&amp;"")))&gt;0)),"／電力が未記入","")&amp;IF(AND(NOT(ISNUMBER(J7)),NOT(SUMPRODUCT(--ISNUMBER(SEARCH({"棚板","棚","アングル","ｱﾝｸﾞﾙ","使用不可","ケーブル","ｹｰﾌﾞﾙ","PatchPnael","パッチ","引き出し","引出","ブランク","ﾌﾞﾗﾝｸ","マネージ","ﾏﾈｰｼﾞ","PDU","ONU"},$F7&amp;"")))&gt;0)),"／重量が未記入","")&amp;IF(AND(K7&lt;&gt;"",NOT(ISNUMBER(K7))),"／電圧が数値でない","")&amp;IF(AND(N7&lt;&gt;"",NOT(ISNUMBER(N7))),"／電流が数値でない","")&amp;IF(AND(C7&lt;&gt;"",C7&lt;1),"／開始Uが1未満","")&amp;IF(AND(E7&lt;&gt;"",E7&gt;IFERROR(VLOOKUP(A7,ラック定義!$A:$B,2,FALSE),47)),"／総Uをはみ出す","")&amp;IF(AND(A7&lt;&gt;"",COUNTIF(ラック定義!$A:$A,A7)=0),"／ラックが定義にない","")&amp;IF(AND(SUMPRODUCT((機器台帳!$A$2:$A$400=$A7)*((機器台帳!$B$2:$B$400=$B7)+(機器台帳!$B$2:$B$400="両面")+($B7="両面")&gt;0)*(機器台帳!$C$2:$C$400&lt;=$C7+$D7-1)*(機器台帳!$C$2:$C$400+機器台帳!$D$2:$D$400-1&gt;=$C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&amp;"")))&gt;0)),"／同じUに他の機器(横並びなら正常)","")&amp;IF(AND(M7&lt;&gt;"",COUNTIFS(回路定義!$A:$A,A7,回路定義!$B:$B,M7)=0),"／回路1が定義にない","")&amp;IF(AND(P7&lt;&gt;"",COUNTIFS(回路定義!$A:$A,A7,回路定義!$B:$B,P7)=0),"／回路2が定義にない","")&amp;IF(AND(S7&lt;&gt;"",COUNTIFS(回路定義!$A:$A,A7,回路定義!$B:$B,S7)=0),"／回路3が定義にない",""),2,300)))</f>
        <v/>
      </c>
    </row>
    <row r="8">
      <c r="A8" s="5" t="inlineStr">
        <is>
          <t>E24-S8-1</t>
        </is>
      </c>
      <c r="B8" s="5" t="inlineStr">
        <is>
          <t>両面</t>
        </is>
      </c>
      <c r="C8" s="5" t="n">
        <v>31</v>
      </c>
      <c r="D8" s="5" t="n">
        <v>1</v>
      </c>
      <c r="E8" s="6">
        <f>IF(C8="","",C8+D8-1)</f>
        <v/>
      </c>
      <c r="F8" s="5" t="inlineStr">
        <is>
          <t>VxRail E560-2</t>
        </is>
      </c>
      <c r="G8" s="5" t="inlineStr">
        <is>
          <t>H1809661</t>
        </is>
      </c>
      <c r="H8" s="5" t="inlineStr">
        <is>
          <t>AdTech</t>
        </is>
      </c>
      <c r="I8" s="5" t="inlineStr">
        <is>
          <t>Server</t>
        </is>
      </c>
      <c r="J8" s="5" t="n">
        <v>9.5</v>
      </c>
      <c r="K8" s="5" t="n">
        <v>100</v>
      </c>
      <c r="L8" s="5" t="n">
        <v>2</v>
      </c>
      <c r="M8" s="5" t="inlineStr">
        <is>
          <t>100V 20A （2）</t>
        </is>
      </c>
      <c r="N8" s="5" t="n">
        <v>3</v>
      </c>
      <c r="O8" s="5" t="n">
        <v>2</v>
      </c>
      <c r="P8" s="5" t="n"/>
      <c r="Q8" s="5" t="n"/>
      <c r="R8" s="5" t="n"/>
      <c r="S8" s="5" t="n"/>
      <c r="T8" s="5" t="n"/>
      <c r="U8" s="5" t="n"/>
      <c r="V8" s="5" t="inlineStr">
        <is>
          <t>○</t>
        </is>
      </c>
      <c r="W8" s="5" t="inlineStr"/>
      <c r="X8" s="5" t="inlineStr"/>
      <c r="Y8" s="6">
        <f>COUNT(N8,Q8,T8)</f>
        <v/>
      </c>
      <c r="Z8" s="6">
        <f>IF(OR(K8="",NOT(ISNUMBER(K8))),"",K8*SUM(N8,Q8,T8))</f>
        <v/>
      </c>
      <c r="AA8" s="6">
        <f>IF(OR(Y8=0,N8=""),"",N8/Y8)</f>
        <v/>
      </c>
      <c r="AB8" s="6">
        <f>IF(OR(Y8=0,Q8=""),"",Q8/Y8)</f>
        <v/>
      </c>
      <c r="AC8" s="6">
        <f>IF(OR(Y8=0,T8=""),"",T8/Y8)</f>
        <v/>
      </c>
      <c r="AD8" s="6">
        <f>IF(F8="","",IF((IF(AND(Y8=0,NOT(SUMPRODUCT(--ISNUMBER(SEARCH({"棚板","棚","アングル","ｱﾝｸﾞﾙ","使用不可","ケーブル","ｹｰﾌﾞﾙ","PatchPnael","パッチ","引き出し","引出","ブランク","ﾌﾞﾗﾝｸ","マネージ","ﾏﾈｰｼﾞ","PDU","ONU"},$F8&amp;"")))&gt;0),NOT(SUMPRODUCT(--ISNUMBER(SEARCH({"電源オフ","未投入","停止","未使用","撤去"},$X8&amp;"")))&gt;0)),"／電力が未記入","")&amp;IF(AND(NOT(ISNUMBER(J8)),NOT(SUMPRODUCT(--ISNUMBER(SEARCH({"棚板","棚","アングル","ｱﾝｸﾞﾙ","使用不可","ケーブル","ｹｰﾌﾞﾙ","PatchPnael","パッチ","引き出し","引出","ブランク","ﾌﾞﾗﾝｸ","マネージ","ﾏﾈｰｼﾞ","PDU","ONU"},$F8&amp;"")))&gt;0)),"／重量が未記入","")&amp;IF(AND(K8&lt;&gt;"",NOT(ISNUMBER(K8))),"／電圧が数値でない","")&amp;IF(AND(N8&lt;&gt;"",NOT(ISNUMBER(N8))),"／電流が数値でない","")&amp;IF(AND(C8&lt;&gt;"",C8&lt;1),"／開始Uが1未満","")&amp;IF(AND(E8&lt;&gt;"",E8&gt;IFERROR(VLOOKUP(A8,ラック定義!$A:$B,2,FALSE),47)),"／総Uをはみ出す","")&amp;IF(AND(A8&lt;&gt;"",COUNTIF(ラック定義!$A:$A,A8)=0),"／ラックが定義にない","")&amp;IF(AND(SUMPRODUCT((機器台帳!$A$2:$A$400=$A8)*((機器台帳!$B$2:$B$400=$B8)+(機器台帳!$B$2:$B$400="両面")+($B8="両面")&gt;0)*(機器台帳!$C$2:$C$400&lt;=$C8+$D8-1)*(機器台帳!$C$2:$C$400+機器台帳!$D$2:$D$400-1&gt;=$C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&amp;"")))&gt;0)),"／同じUに他の機器(横並びなら正常)","")&amp;IF(AND(M8&lt;&gt;"",COUNTIFS(回路定義!$A:$A,A8,回路定義!$B:$B,M8)=0),"／回路1が定義にない","")&amp;IF(AND(P8&lt;&gt;"",COUNTIFS(回路定義!$A:$A,A8,回路定義!$B:$B,P8)=0),"／回路2が定義にない","")&amp;IF(AND(S8&lt;&gt;"",COUNTIFS(回路定義!$A:$A,A8,回路定義!$B:$B,S8)=0),"／回路3が定義にない",""))="","",MID(IF(AND(Y8=0,NOT(SUMPRODUCT(--ISNUMBER(SEARCH({"棚板","棚","アングル","ｱﾝｸﾞﾙ","使用不可","ケーブル","ｹｰﾌﾞﾙ","PatchPnael","パッチ","引き出し","引出","ブランク","ﾌﾞﾗﾝｸ","マネージ","ﾏﾈｰｼﾞ","PDU","ONU"},$F8&amp;"")))&gt;0),NOT(SUMPRODUCT(--ISNUMBER(SEARCH({"電源オフ","未投入","停止","未使用","撤去"},$X8&amp;"")))&gt;0)),"／電力が未記入","")&amp;IF(AND(NOT(ISNUMBER(J8)),NOT(SUMPRODUCT(--ISNUMBER(SEARCH({"棚板","棚","アングル","ｱﾝｸﾞﾙ","使用不可","ケーブル","ｹｰﾌﾞﾙ","PatchPnael","パッチ","引き出し","引出","ブランク","ﾌﾞﾗﾝｸ","マネージ","ﾏﾈｰｼﾞ","PDU","ONU"},$F8&amp;"")))&gt;0)),"／重量が未記入","")&amp;IF(AND(K8&lt;&gt;"",NOT(ISNUMBER(K8))),"／電圧が数値でない","")&amp;IF(AND(N8&lt;&gt;"",NOT(ISNUMBER(N8))),"／電流が数値でない","")&amp;IF(AND(C8&lt;&gt;"",C8&lt;1),"／開始Uが1未満","")&amp;IF(AND(E8&lt;&gt;"",E8&gt;IFERROR(VLOOKUP(A8,ラック定義!$A:$B,2,FALSE),47)),"／総Uをはみ出す","")&amp;IF(AND(A8&lt;&gt;"",COUNTIF(ラック定義!$A:$A,A8)=0),"／ラックが定義にない","")&amp;IF(AND(SUMPRODUCT((機器台帳!$A$2:$A$400=$A8)*((機器台帳!$B$2:$B$400=$B8)+(機器台帳!$B$2:$B$400="両面")+($B8="両面")&gt;0)*(機器台帳!$C$2:$C$400&lt;=$C8+$D8-1)*(機器台帳!$C$2:$C$400+機器台帳!$D$2:$D$400-1&gt;=$C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&amp;"")))&gt;0)),"／同じUに他の機器(横並びなら正常)","")&amp;IF(AND(M8&lt;&gt;"",COUNTIFS(回路定義!$A:$A,A8,回路定義!$B:$B,M8)=0),"／回路1が定義にない","")&amp;IF(AND(P8&lt;&gt;"",COUNTIFS(回路定義!$A:$A,A8,回路定義!$B:$B,P8)=0),"／回路2が定義にない","")&amp;IF(AND(S8&lt;&gt;"",COUNTIFS(回路定義!$A:$A,A8,回路定義!$B:$B,S8)=0),"／回路3が定義にない",""),2,300)))</f>
        <v/>
      </c>
    </row>
    <row r="9">
      <c r="A9" s="5" t="inlineStr">
        <is>
          <t>E24-S8-1</t>
        </is>
      </c>
      <c r="B9" s="5" t="inlineStr">
        <is>
          <t>両面</t>
        </is>
      </c>
      <c r="C9" s="5" t="n">
        <v>30</v>
      </c>
      <c r="D9" s="5" t="n">
        <v>1</v>
      </c>
      <c r="E9" s="6">
        <f>IF(C9="","",C9+D9-1)</f>
        <v/>
      </c>
      <c r="F9" s="5" t="inlineStr">
        <is>
          <t>VxRail E560-3</t>
        </is>
      </c>
      <c r="G9" s="5" t="inlineStr">
        <is>
          <t>H1809662</t>
        </is>
      </c>
      <c r="H9" s="5" t="inlineStr">
        <is>
          <t>AdTech</t>
        </is>
      </c>
      <c r="I9" s="5" t="inlineStr">
        <is>
          <t>Server</t>
        </is>
      </c>
      <c r="J9" s="5" t="n">
        <v>9.5</v>
      </c>
      <c r="K9" s="5" t="n">
        <v>100</v>
      </c>
      <c r="L9" s="5" t="n">
        <v>2</v>
      </c>
      <c r="M9" s="5" t="inlineStr">
        <is>
          <t>100V 20A （2）</t>
        </is>
      </c>
      <c r="N9" s="5" t="n">
        <v>3</v>
      </c>
      <c r="O9" s="5" t="n">
        <v>2</v>
      </c>
      <c r="P9" s="5" t="n"/>
      <c r="Q9" s="5" t="n"/>
      <c r="R9" s="5" t="n"/>
      <c r="S9" s="5" t="n"/>
      <c r="T9" s="5" t="n"/>
      <c r="U9" s="5" t="n"/>
      <c r="V9" s="5" t="inlineStr">
        <is>
          <t>○</t>
        </is>
      </c>
      <c r="W9" s="5" t="inlineStr"/>
      <c r="X9" s="5" t="inlineStr"/>
      <c r="Y9" s="6">
        <f>COUNT(N9,Q9,T9)</f>
        <v/>
      </c>
      <c r="Z9" s="6">
        <f>IF(OR(K9="",NOT(ISNUMBER(K9))),"",K9*SUM(N9,Q9,T9))</f>
        <v/>
      </c>
      <c r="AA9" s="6">
        <f>IF(OR(Y9=0,N9=""),"",N9/Y9)</f>
        <v/>
      </c>
      <c r="AB9" s="6">
        <f>IF(OR(Y9=0,Q9=""),"",Q9/Y9)</f>
        <v/>
      </c>
      <c r="AC9" s="6">
        <f>IF(OR(Y9=0,T9=""),"",T9/Y9)</f>
        <v/>
      </c>
      <c r="AD9" s="6">
        <f>IF(F9="","",IF((IF(AND(Y9=0,NOT(SUMPRODUCT(--ISNUMBER(SEARCH({"棚板","棚","アングル","ｱﾝｸﾞﾙ","使用不可","ケーブル","ｹｰﾌﾞﾙ","PatchPnael","パッチ","引き出し","引出","ブランク","ﾌﾞﾗﾝｸ","マネージ","ﾏﾈｰｼﾞ","PDU","ONU"},$F9&amp;"")))&gt;0),NOT(SUMPRODUCT(--ISNUMBER(SEARCH({"電源オフ","未投入","停止","未使用","撤去"},$X9&amp;"")))&gt;0)),"／電力が未記入","")&amp;IF(AND(NOT(ISNUMBER(J9)),NOT(SUMPRODUCT(--ISNUMBER(SEARCH({"棚板","棚","アングル","ｱﾝｸﾞﾙ","使用不可","ケーブル","ｹｰﾌﾞﾙ","PatchPnael","パッチ","引き出し","引出","ブランク","ﾌﾞﾗﾝｸ","マネージ","ﾏﾈｰｼﾞ","PDU","ONU"},$F9&amp;"")))&gt;0)),"／重量が未記入","")&amp;IF(AND(K9&lt;&gt;"",NOT(ISNUMBER(K9))),"／電圧が数値でない","")&amp;IF(AND(N9&lt;&gt;"",NOT(ISNUMBER(N9))),"／電流が数値でない","")&amp;IF(AND(C9&lt;&gt;"",C9&lt;1),"／開始Uが1未満","")&amp;IF(AND(E9&lt;&gt;"",E9&gt;IFERROR(VLOOKUP(A9,ラック定義!$A:$B,2,FALSE),47)),"／総Uをはみ出す","")&amp;IF(AND(A9&lt;&gt;"",COUNTIF(ラック定義!$A:$A,A9)=0),"／ラックが定義にない","")&amp;IF(AND(SUMPRODUCT((機器台帳!$A$2:$A$400=$A9)*((機器台帳!$B$2:$B$400=$B9)+(機器台帳!$B$2:$B$400="両面")+($B9="両面")&gt;0)*(機器台帳!$C$2:$C$400&lt;=$C9+$D9-1)*(機器台帳!$C$2:$C$400+機器台帳!$D$2:$D$400-1&gt;=$C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&amp;"")))&gt;0)),"／同じUに他の機器(横並びなら正常)","")&amp;IF(AND(M9&lt;&gt;"",COUNTIFS(回路定義!$A:$A,A9,回路定義!$B:$B,M9)=0),"／回路1が定義にない","")&amp;IF(AND(P9&lt;&gt;"",COUNTIFS(回路定義!$A:$A,A9,回路定義!$B:$B,P9)=0),"／回路2が定義にない","")&amp;IF(AND(S9&lt;&gt;"",COUNTIFS(回路定義!$A:$A,A9,回路定義!$B:$B,S9)=0),"／回路3が定義にない",""))="","",MID(IF(AND(Y9=0,NOT(SUMPRODUCT(--ISNUMBER(SEARCH({"棚板","棚","アングル","ｱﾝｸﾞﾙ","使用不可","ケーブル","ｹｰﾌﾞﾙ","PatchPnael","パッチ","引き出し","引出","ブランク","ﾌﾞﾗﾝｸ","マネージ","ﾏﾈｰｼﾞ","PDU","ONU"},$F9&amp;"")))&gt;0),NOT(SUMPRODUCT(--ISNUMBER(SEARCH({"電源オフ","未投入","停止","未使用","撤去"},$X9&amp;"")))&gt;0)),"／電力が未記入","")&amp;IF(AND(NOT(ISNUMBER(J9)),NOT(SUMPRODUCT(--ISNUMBER(SEARCH({"棚板","棚","アングル","ｱﾝｸﾞﾙ","使用不可","ケーブル","ｹｰﾌﾞﾙ","PatchPnael","パッチ","引き出し","引出","ブランク","ﾌﾞﾗﾝｸ","マネージ","ﾏﾈｰｼﾞ","PDU","ONU"},$F9&amp;"")))&gt;0)),"／重量が未記入","")&amp;IF(AND(K9&lt;&gt;"",NOT(ISNUMBER(K9))),"／電圧が数値でない","")&amp;IF(AND(N9&lt;&gt;"",NOT(ISNUMBER(N9))),"／電流が数値でない","")&amp;IF(AND(C9&lt;&gt;"",C9&lt;1),"／開始Uが1未満","")&amp;IF(AND(E9&lt;&gt;"",E9&gt;IFERROR(VLOOKUP(A9,ラック定義!$A:$B,2,FALSE),47)),"／総Uをはみ出す","")&amp;IF(AND(A9&lt;&gt;"",COUNTIF(ラック定義!$A:$A,A9)=0),"／ラックが定義にない","")&amp;IF(AND(SUMPRODUCT((機器台帳!$A$2:$A$400=$A9)*((機器台帳!$B$2:$B$400=$B9)+(機器台帳!$B$2:$B$400="両面")+($B9="両面")&gt;0)*(機器台帳!$C$2:$C$400&lt;=$C9+$D9-1)*(機器台帳!$C$2:$C$400+機器台帳!$D$2:$D$400-1&gt;=$C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&amp;"")))&gt;0)),"／同じUに他の機器(横並びなら正常)","")&amp;IF(AND(M9&lt;&gt;"",COUNTIFS(回路定義!$A:$A,A9,回路定義!$B:$B,M9)=0),"／回路1が定義にない","")&amp;IF(AND(P9&lt;&gt;"",COUNTIFS(回路定義!$A:$A,A9,回路定義!$B:$B,P9)=0),"／回路2が定義にない","")&amp;IF(AND(S9&lt;&gt;"",COUNTIFS(回路定義!$A:$A,A9,回路定義!$B:$B,S9)=0),"／回路3が定義にない",""),2,300)))</f>
        <v/>
      </c>
    </row>
    <row r="10">
      <c r="A10" s="5" t="inlineStr">
        <is>
          <t>E24-S8-1</t>
        </is>
      </c>
      <c r="B10" s="5" t="inlineStr">
        <is>
          <t>両面</t>
        </is>
      </c>
      <c r="C10" s="5" t="n">
        <v>16</v>
      </c>
      <c r="D10" s="5" t="n">
        <v>2</v>
      </c>
      <c r="E10" s="6">
        <f>IF(C10="","",C10+D10-1)</f>
        <v/>
      </c>
      <c r="F10" s="5" t="inlineStr">
        <is>
          <t>PowerSTORE5000X</t>
        </is>
      </c>
      <c r="G10" s="5" t="inlineStr">
        <is>
          <t>H2005294</t>
        </is>
      </c>
      <c r="H10" s="5" t="inlineStr"/>
      <c r="I10" s="5" t="inlineStr">
        <is>
          <t>Storage</t>
        </is>
      </c>
      <c r="J10" s="5" t="n">
        <v>20</v>
      </c>
      <c r="K10" s="5" t="n">
        <v>200</v>
      </c>
      <c r="L10" s="5" t="n">
        <v>2</v>
      </c>
      <c r="M10" s="5" t="inlineStr">
        <is>
          <t>200V 30A （1）</t>
        </is>
      </c>
      <c r="N10" s="5" t="n">
        <v>3</v>
      </c>
      <c r="O10" s="5" t="n">
        <v>2</v>
      </c>
      <c r="P10" s="5" t="n"/>
      <c r="Q10" s="5" t="n"/>
      <c r="R10" s="5" t="n"/>
      <c r="S10" s="5" t="n"/>
      <c r="T10" s="5" t="n"/>
      <c r="U10" s="5" t="n"/>
      <c r="V10" s="5" t="inlineStr"/>
      <c r="W10" s="5" t="inlineStr"/>
      <c r="X10" s="5" t="inlineStr"/>
      <c r="Y10" s="6">
        <f>COUNT(N10,Q10,T10)</f>
        <v/>
      </c>
      <c r="Z10" s="6">
        <f>IF(OR(K10="",NOT(ISNUMBER(K10))),"",K10*SUM(N10,Q10,T10))</f>
        <v/>
      </c>
      <c r="AA10" s="6">
        <f>IF(OR(Y10=0,N10=""),"",N10/Y10)</f>
        <v/>
      </c>
      <c r="AB10" s="6">
        <f>IF(OR(Y10=0,Q10=""),"",Q10/Y10)</f>
        <v/>
      </c>
      <c r="AC10" s="6">
        <f>IF(OR(Y10=0,T10=""),"",T10/Y10)</f>
        <v/>
      </c>
      <c r="AD10" s="6">
        <f>IF(F10="","",IF((IF(AND(Y10=0,NOT(SUMPRODUCT(--ISNUMBER(SEARCH({"棚板","棚","アングル","ｱﾝｸﾞﾙ","使用不可","ケーブル","ｹｰﾌﾞﾙ","PatchPnael","パッチ","引き出し","引出","ブランク","ﾌﾞﾗﾝｸ","マネージ","ﾏﾈｰｼﾞ","PDU","ONU"},$F10&amp;"")))&gt;0),NOT(SUMPRODUCT(--ISNUMBER(SEARCH({"電源オフ","未投入","停止","未使用","撤去"},$X10&amp;"")))&gt;0)),"／電力が未記入","")&amp;IF(AND(NOT(ISNUMBER(J10)),NOT(SUMPRODUCT(--ISNUMBER(SEARCH({"棚板","棚","アングル","ｱﾝｸﾞﾙ","使用不可","ケーブル","ｹｰﾌﾞﾙ","PatchPnael","パッチ","引き出し","引出","ブランク","ﾌﾞﾗﾝｸ","マネージ","ﾏﾈｰｼﾞ","PDU","ONU"},$F10&amp;"")))&gt;0)),"／重量が未記入","")&amp;IF(AND(K10&lt;&gt;"",NOT(ISNUMBER(K10))),"／電圧が数値でない","")&amp;IF(AND(N10&lt;&gt;"",NOT(ISNUMBER(N10))),"／電流が数値でない","")&amp;IF(AND(C10&lt;&gt;"",C10&lt;1),"／開始Uが1未満","")&amp;IF(AND(E10&lt;&gt;"",E10&gt;IFERROR(VLOOKUP(A10,ラック定義!$A:$B,2,FALSE),47)),"／総Uをはみ出す","")&amp;IF(AND(A10&lt;&gt;"",COUNTIF(ラック定義!$A:$A,A10)=0),"／ラックが定義にない","")&amp;IF(AND(SUMPRODUCT((機器台帳!$A$2:$A$400=$A10)*((機器台帳!$B$2:$B$400=$B10)+(機器台帳!$B$2:$B$400="両面")+($B10="両面")&gt;0)*(機器台帳!$C$2:$C$400&lt;=$C10+$D10-1)*(機器台帳!$C$2:$C$400+機器台帳!$D$2:$D$400-1&gt;=$C10)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&amp;"")))&gt;0)),"／同じUに他の機器(横並びなら正常)","")&amp;IF(AND(M10&lt;&gt;"",COUNTIFS(回路定義!$A:$A,A10,回路定義!$B:$B,M10)=0),"／回路1が定義にない","")&amp;IF(AND(P10&lt;&gt;"",COUNTIFS(回路定義!$A:$A,A10,回路定義!$B:$B,P10)=0),"／回路2が定義にない","")&amp;IF(AND(S10&lt;&gt;"",COUNTIFS(回路定義!$A:$A,A10,回路定義!$B:$B,S10)=0),"／回路3が定義にない",""))="","",MID(IF(AND(Y10=0,NOT(SUMPRODUCT(--ISNUMBER(SEARCH({"棚板","棚","アングル","ｱﾝｸﾞﾙ","使用不可","ケーブル","ｹｰﾌﾞﾙ","PatchPnael","パッチ","引き出し","引出","ブランク","ﾌﾞﾗﾝｸ","マネージ","ﾏﾈｰｼﾞ","PDU","ONU"},$F10&amp;"")))&gt;0),NOT(SUMPRODUCT(--ISNUMBER(SEARCH({"電源オフ","未投入","停止","未使用","撤去"},$X10&amp;"")))&gt;0)),"／電力が未記入","")&amp;IF(AND(NOT(ISNUMBER(J10)),NOT(SUMPRODUCT(--ISNUMBER(SEARCH({"棚板","棚","アングル","ｱﾝｸﾞﾙ","使用不可","ケーブル","ｹｰﾌﾞﾙ","PatchPnael","パッチ","引き出し","引出","ブランク","ﾌﾞﾗﾝｸ","マネージ","ﾏﾈｰｼﾞ","PDU","ONU"},$F10&amp;"")))&gt;0)),"／重量が未記入","")&amp;IF(AND(K10&lt;&gt;"",NOT(ISNUMBER(K10))),"／電圧が数値でない","")&amp;IF(AND(N10&lt;&gt;"",NOT(ISNUMBER(N10))),"／電流が数値でない","")&amp;IF(AND(C10&lt;&gt;"",C10&lt;1),"／開始Uが1未満","")&amp;IF(AND(E10&lt;&gt;"",E10&gt;IFERROR(VLOOKUP(A10,ラック定義!$A:$B,2,FALSE),47)),"／総Uをはみ出す","")&amp;IF(AND(A10&lt;&gt;"",COUNTIF(ラック定義!$A:$A,A10)=0),"／ラックが定義にない","")&amp;IF(AND(SUMPRODUCT((機器台帳!$A$2:$A$400=$A10)*((機器台帳!$B$2:$B$400=$B10)+(機器台帳!$B$2:$B$400="両面")+($B10="両面")&gt;0)*(機器台帳!$C$2:$C$400&lt;=$C10+$D10-1)*(機器台帳!$C$2:$C$400+機器台帳!$D$2:$D$400-1&gt;=$C10)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&amp;"")))&gt;0)),"／同じUに他の機器(横並びなら正常)","")&amp;IF(AND(M10&lt;&gt;"",COUNTIFS(回路定義!$A:$A,A10,回路定義!$B:$B,M10)=0),"／回路1が定義にない","")&amp;IF(AND(P10&lt;&gt;"",COUNTIFS(回路定義!$A:$A,A10,回路定義!$B:$B,P10)=0),"／回路2が定義にない","")&amp;IF(AND(S10&lt;&gt;"",COUNTIFS(回路定義!$A:$A,A10,回路定義!$B:$B,S10)=0),"／回路3が定義にない",""),2,300)))</f>
        <v/>
      </c>
    </row>
    <row r="11">
      <c r="A11" s="5" t="inlineStr">
        <is>
          <t>E24-S8-1</t>
        </is>
      </c>
      <c r="B11" s="5" t="inlineStr">
        <is>
          <t>両面</t>
        </is>
      </c>
      <c r="C11" s="5" t="n">
        <v>13</v>
      </c>
      <c r="D11" s="5" t="n">
        <v>2</v>
      </c>
      <c r="E11" s="6">
        <f>IF(C11="","",C11+D11-1)</f>
        <v/>
      </c>
      <c r="F11" s="5" t="inlineStr">
        <is>
          <t>Unity XT 480F</t>
        </is>
      </c>
      <c r="G11" s="5" t="inlineStr">
        <is>
          <t>H1908439</t>
        </is>
      </c>
      <c r="H11" s="5" t="inlineStr"/>
      <c r="I11" s="5" t="inlineStr">
        <is>
          <t>Storage</t>
        </is>
      </c>
      <c r="J11" s="5" t="n">
        <v>20</v>
      </c>
      <c r="K11" s="5" t="n">
        <v>100</v>
      </c>
      <c r="L11" s="5" t="n">
        <v>2</v>
      </c>
      <c r="M11" s="5" t="inlineStr">
        <is>
          <t>100V 20A （1）</t>
        </is>
      </c>
      <c r="N11" s="5" t="n">
        <v>2</v>
      </c>
      <c r="O11" s="5" t="n">
        <v>1</v>
      </c>
      <c r="P11" s="5" t="inlineStr">
        <is>
          <t>100V 20A （2）</t>
        </is>
      </c>
      <c r="Q11" s="5" t="n">
        <v>2</v>
      </c>
      <c r="R11" s="5" t="n">
        <v>1</v>
      </c>
      <c r="S11" s="5" t="n"/>
      <c r="T11" s="5" t="n"/>
      <c r="U11" s="5" t="n"/>
      <c r="V11" s="5" t="inlineStr"/>
      <c r="W11" s="5" t="inlineStr"/>
      <c r="X11" s="5" t="inlineStr"/>
      <c r="Y11" s="6">
        <f>COUNT(N11,Q11,T11)</f>
        <v/>
      </c>
      <c r="Z11" s="6">
        <f>IF(OR(K11="",NOT(ISNUMBER(K11))),"",K11*SUM(N11,Q11,T11))</f>
        <v/>
      </c>
      <c r="AA11" s="6">
        <f>IF(OR(Y11=0,N11=""),"",N11/Y11)</f>
        <v/>
      </c>
      <c r="AB11" s="6">
        <f>IF(OR(Y11=0,Q11=""),"",Q11/Y11)</f>
        <v/>
      </c>
      <c r="AC11" s="6">
        <f>IF(OR(Y11=0,T11=""),"",T11/Y11)</f>
        <v/>
      </c>
      <c r="AD11" s="6">
        <f>IF(F11="","",IF((IF(AND(Y11=0,NOT(SUMPRODUCT(--ISNUMBER(SEARCH({"棚板","棚","アングル","ｱﾝｸﾞﾙ","使用不可","ケーブル","ｹｰﾌﾞﾙ","PatchPnael","パッチ","引き出し","引出","ブランク","ﾌﾞﾗﾝｸ","マネージ","ﾏﾈｰｼﾞ","PDU","ONU"},$F11&amp;"")))&gt;0),NOT(SUMPRODUCT(--ISNUMBER(SEARCH({"電源オフ","未投入","停止","未使用","撤去"},$X11&amp;"")))&gt;0)),"／電力が未記入","")&amp;IF(AND(NOT(ISNUMBER(J11)),NOT(SUMPRODUCT(--ISNUMBER(SEARCH({"棚板","棚","アングル","ｱﾝｸﾞﾙ","使用不可","ケーブル","ｹｰﾌﾞﾙ","PatchPnael","パッチ","引き出し","引出","ブランク","ﾌﾞﾗﾝｸ","マネージ","ﾏﾈｰｼﾞ","PDU","ONU"},$F11&amp;"")))&gt;0)),"／重量が未記入","")&amp;IF(AND(K11&lt;&gt;"",NOT(ISNUMBER(K11))),"／電圧が数値でない","")&amp;IF(AND(N11&lt;&gt;"",NOT(ISNUMBER(N11))),"／電流が数値でない","")&amp;IF(AND(C11&lt;&gt;"",C11&lt;1),"／開始Uが1未満","")&amp;IF(AND(E11&lt;&gt;"",E11&gt;IFERROR(VLOOKUP(A11,ラック定義!$A:$B,2,FALSE),47)),"／総Uをはみ出す","")&amp;IF(AND(A11&lt;&gt;"",COUNTIF(ラック定義!$A:$A,A11)=0),"／ラックが定義にない","")&amp;IF(AND(SUMPRODUCT((機器台帳!$A$2:$A$400=$A11)*((機器台帳!$B$2:$B$400=$B11)+(機器台帳!$B$2:$B$400="両面")+($B11="両面")&gt;0)*(機器台帳!$C$2:$C$400&lt;=$C11+$D11-1)*(機器台帳!$C$2:$C$400+機器台帳!$D$2:$D$400-1&gt;=$C11)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&amp;"")))&gt;0)),"／同じUに他の機器(横並びなら正常)","")&amp;IF(AND(M11&lt;&gt;"",COUNTIFS(回路定義!$A:$A,A11,回路定義!$B:$B,M11)=0),"／回路1が定義にない","")&amp;IF(AND(P11&lt;&gt;"",COUNTIFS(回路定義!$A:$A,A11,回路定義!$B:$B,P11)=0),"／回路2が定義にない","")&amp;IF(AND(S11&lt;&gt;"",COUNTIFS(回路定義!$A:$A,A11,回路定義!$B:$B,S11)=0),"／回路3が定義にない",""))="","",MID(IF(AND(Y11=0,NOT(SUMPRODUCT(--ISNUMBER(SEARCH({"棚板","棚","アングル","ｱﾝｸﾞﾙ","使用不可","ケーブル","ｹｰﾌﾞﾙ","PatchPnael","パッチ","引き出し","引出","ブランク","ﾌﾞﾗﾝｸ","マネージ","ﾏﾈｰｼﾞ","PDU","ONU"},$F11&amp;"")))&gt;0),NOT(SUMPRODUCT(--ISNUMBER(SEARCH({"電源オフ","未投入","停止","未使用","撤去"},$X11&amp;"")))&gt;0)),"／電力が未記入","")&amp;IF(AND(NOT(ISNUMBER(J11)),NOT(SUMPRODUCT(--ISNUMBER(SEARCH({"棚板","棚","アングル","ｱﾝｸﾞﾙ","使用不可","ケーブル","ｹｰﾌﾞﾙ","PatchPnael","パッチ","引き出し","引出","ブランク","ﾌﾞﾗﾝｸ","マネージ","ﾏﾈｰｼﾞ","PDU","ONU"},$F11&amp;"")))&gt;0)),"／重量が未記入","")&amp;IF(AND(K11&lt;&gt;"",NOT(ISNUMBER(K11))),"／電圧が数値でない","")&amp;IF(AND(N11&lt;&gt;"",NOT(ISNUMBER(N11))),"／電流が数値でない","")&amp;IF(AND(C11&lt;&gt;"",C11&lt;1),"／開始Uが1未満","")&amp;IF(AND(E11&lt;&gt;"",E11&gt;IFERROR(VLOOKUP(A11,ラック定義!$A:$B,2,FALSE),47)),"／総Uをはみ出す","")&amp;IF(AND(A11&lt;&gt;"",COUNTIF(ラック定義!$A:$A,A11)=0),"／ラックが定義にない","")&amp;IF(AND(SUMPRODUCT((機器台帳!$A$2:$A$400=$A11)*((機器台帳!$B$2:$B$400=$B11)+(機器台帳!$B$2:$B$400="両面")+($B11="両面")&gt;0)*(機器台帳!$C$2:$C$400&lt;=$C11+$D11-1)*(機器台帳!$C$2:$C$400+機器台帳!$D$2:$D$400-1&gt;=$C11)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&amp;"")))&gt;0)),"／同じUに他の機器(横並びなら正常)","")&amp;IF(AND(M11&lt;&gt;"",COUNTIFS(回路定義!$A:$A,A11,回路定義!$B:$B,M11)=0),"／回路1が定義にない","")&amp;IF(AND(P11&lt;&gt;"",COUNTIFS(回路定義!$A:$A,A11,回路定義!$B:$B,P11)=0),"／回路2が定義にない","")&amp;IF(AND(S11&lt;&gt;"",COUNTIFS(回路定義!$A:$A,A11,回路定義!$B:$B,S11)=0),"／回路3が定義にない",""),2,300)))</f>
        <v/>
      </c>
    </row>
    <row r="12">
      <c r="A12" s="5" t="inlineStr">
        <is>
          <t>E24-S8-1</t>
        </is>
      </c>
      <c r="B12" s="5" t="inlineStr">
        <is>
          <t>両面</t>
        </is>
      </c>
      <c r="C12" s="5" t="n">
        <v>11</v>
      </c>
      <c r="D12" s="5" t="n">
        <v>1</v>
      </c>
      <c r="E12" s="6">
        <f>IF(C12="","",C12+D12-1)</f>
        <v/>
      </c>
      <c r="F12" s="5" t="inlineStr">
        <is>
          <t>Unity XT 480F</t>
        </is>
      </c>
      <c r="G12" s="5" t="inlineStr">
        <is>
          <t>H1911730</t>
        </is>
      </c>
      <c r="H12" s="5" t="inlineStr"/>
      <c r="I12" s="5" t="inlineStr">
        <is>
          <t>Storage</t>
        </is>
      </c>
      <c r="J12" s="5" t="n">
        <v>20</v>
      </c>
      <c r="K12" s="5" t="n">
        <v>200</v>
      </c>
      <c r="L12" s="5" t="n">
        <v>2</v>
      </c>
      <c r="M12" s="5" t="inlineStr">
        <is>
          <t>200V 30A （1）</t>
        </is>
      </c>
      <c r="N12" s="5" t="n">
        <v>2</v>
      </c>
      <c r="O12" s="5" t="n">
        <v>2</v>
      </c>
      <c r="P12" s="5" t="n"/>
      <c r="Q12" s="5" t="n"/>
      <c r="R12" s="5" t="n"/>
      <c r="S12" s="5" t="n"/>
      <c r="T12" s="5" t="n"/>
      <c r="U12" s="5" t="n"/>
      <c r="V12" s="5" t="inlineStr"/>
      <c r="W12" s="5" t="inlineStr"/>
      <c r="X12" s="5" t="inlineStr"/>
      <c r="Y12" s="6">
        <f>COUNT(N12,Q12,T12)</f>
        <v/>
      </c>
      <c r="Z12" s="6">
        <f>IF(OR(K12="",NOT(ISNUMBER(K12))),"",K12*SUM(N12,Q12,T12))</f>
        <v/>
      </c>
      <c r="AA12" s="6">
        <f>IF(OR(Y12=0,N12=""),"",N12/Y12)</f>
        <v/>
      </c>
      <c r="AB12" s="6">
        <f>IF(OR(Y12=0,Q12=""),"",Q12/Y12)</f>
        <v/>
      </c>
      <c r="AC12" s="6">
        <f>IF(OR(Y12=0,T12=""),"",T12/Y12)</f>
        <v/>
      </c>
      <c r="AD12" s="6">
        <f>IF(F12="","",IF((IF(AND(Y12=0,NOT(SUMPRODUCT(--ISNUMBER(SEARCH({"棚板","棚","アングル","ｱﾝｸﾞﾙ","使用不可","ケーブル","ｹｰﾌﾞﾙ","PatchPnael","パッチ","引き出し","引出","ブランク","ﾌﾞﾗﾝｸ","マネージ","ﾏﾈｰｼﾞ","PDU","ONU"},$F12&amp;"")))&gt;0),NOT(SUMPRODUCT(--ISNUMBER(SEARCH({"電源オフ","未投入","停止","未使用","撤去"},$X12&amp;"")))&gt;0)),"／電力が未記入","")&amp;IF(AND(NOT(ISNUMBER(J12)),NOT(SUMPRODUCT(--ISNUMBER(SEARCH({"棚板","棚","アングル","ｱﾝｸﾞﾙ","使用不可","ケーブル","ｹｰﾌﾞﾙ","PatchPnael","パッチ","引き出し","引出","ブランク","ﾌﾞﾗﾝｸ","マネージ","ﾏﾈｰｼﾞ","PDU","ONU"},$F12&amp;"")))&gt;0)),"／重量が未記入","")&amp;IF(AND(K12&lt;&gt;"",NOT(ISNUMBER(K12))),"／電圧が数値でない","")&amp;IF(AND(N12&lt;&gt;"",NOT(ISNUMBER(N12))),"／電流が数値でない","")&amp;IF(AND(C12&lt;&gt;"",C12&lt;1),"／開始Uが1未満","")&amp;IF(AND(E12&lt;&gt;"",E12&gt;IFERROR(VLOOKUP(A12,ラック定義!$A:$B,2,FALSE),47)),"／総Uをはみ出す","")&amp;IF(AND(A12&lt;&gt;"",COUNTIF(ラック定義!$A:$A,A12)=0),"／ラックが定義にない","")&amp;IF(AND(SUMPRODUCT((機器台帳!$A$2:$A$400=$A12)*((機器台帳!$B$2:$B$400=$B12)+(機器台帳!$B$2:$B$400="両面")+($B12="両面")&gt;0)*(機器台帳!$C$2:$C$400&lt;=$C12+$D12-1)*(機器台帳!$C$2:$C$400+機器台帳!$D$2:$D$400-1&gt;=$C12)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&amp;"")))&gt;0)),"／同じUに他の機器(横並びなら正常)","")&amp;IF(AND(M12&lt;&gt;"",COUNTIFS(回路定義!$A:$A,A12,回路定義!$B:$B,M12)=0),"／回路1が定義にない","")&amp;IF(AND(P12&lt;&gt;"",COUNTIFS(回路定義!$A:$A,A12,回路定義!$B:$B,P12)=0),"／回路2が定義にない","")&amp;IF(AND(S12&lt;&gt;"",COUNTIFS(回路定義!$A:$A,A12,回路定義!$B:$B,S12)=0),"／回路3が定義にない",""))="","",MID(IF(AND(Y12=0,NOT(SUMPRODUCT(--ISNUMBER(SEARCH({"棚板","棚","アングル","ｱﾝｸﾞﾙ","使用不可","ケーブル","ｹｰﾌﾞﾙ","PatchPnael","パッチ","引き出し","引出","ブランク","ﾌﾞﾗﾝｸ","マネージ","ﾏﾈｰｼﾞ","PDU","ONU"},$F12&amp;"")))&gt;0),NOT(SUMPRODUCT(--ISNUMBER(SEARCH({"電源オフ","未投入","停止","未使用","撤去"},$X12&amp;"")))&gt;0)),"／電力が未記入","")&amp;IF(AND(NOT(ISNUMBER(J12)),NOT(SUMPRODUCT(--ISNUMBER(SEARCH({"棚板","棚","アングル","ｱﾝｸﾞﾙ","使用不可","ケーブル","ｹｰﾌﾞﾙ","PatchPnael","パッチ","引き出し","引出","ブランク","ﾌﾞﾗﾝｸ","マネージ","ﾏﾈｰｼﾞ","PDU","ONU"},$F12&amp;"")))&gt;0)),"／重量が未記入","")&amp;IF(AND(K12&lt;&gt;"",NOT(ISNUMBER(K12))),"／電圧が数値でない","")&amp;IF(AND(N12&lt;&gt;"",NOT(ISNUMBER(N12))),"／電流が数値でない","")&amp;IF(AND(C12&lt;&gt;"",C12&lt;1),"／開始Uが1未満","")&amp;IF(AND(E12&lt;&gt;"",E12&gt;IFERROR(VLOOKUP(A12,ラック定義!$A:$B,2,FALSE),47)),"／総Uをはみ出す","")&amp;IF(AND(A12&lt;&gt;"",COUNTIF(ラック定義!$A:$A,A12)=0),"／ラックが定義にない","")&amp;IF(AND(SUMPRODUCT((機器台帳!$A$2:$A$400=$A12)*((機器台帳!$B$2:$B$400=$B12)+(機器台帳!$B$2:$B$400="両面")+($B12="両面")&gt;0)*(機器台帳!$C$2:$C$400&lt;=$C12+$D12-1)*(機器台帳!$C$2:$C$400+機器台帳!$D$2:$D$400-1&gt;=$C12)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&amp;"")))&gt;0)),"／同じUに他の機器(横並びなら正常)","")&amp;IF(AND(M12&lt;&gt;"",COUNTIFS(回路定義!$A:$A,A12,回路定義!$B:$B,M12)=0),"／回路1が定義にない","")&amp;IF(AND(P12&lt;&gt;"",COUNTIFS(回路定義!$A:$A,A12,回路定義!$B:$B,P12)=0),"／回路2が定義にない","")&amp;IF(AND(S12&lt;&gt;"",COUNTIFS(回路定義!$A:$A,A12,回路定義!$B:$B,S12)=0),"／回路3が定義にない",""),2,300)))</f>
        <v/>
      </c>
    </row>
    <row r="13">
      <c r="A13" s="5" t="inlineStr">
        <is>
          <t>E24-S8-1</t>
        </is>
      </c>
      <c r="B13" s="5" t="inlineStr">
        <is>
          <t>両面</t>
        </is>
      </c>
      <c r="C13" s="5" t="n">
        <v>4</v>
      </c>
      <c r="D13" s="5" t="n">
        <v>2</v>
      </c>
      <c r="E13" s="6">
        <f>IF(C13="","",C13+D13-1)</f>
        <v/>
      </c>
      <c r="F13" s="5" t="inlineStr">
        <is>
          <t>200V Rack PDU</t>
        </is>
      </c>
      <c r="G13" s="5" t="inlineStr">
        <is>
          <t>H1918632</t>
        </is>
      </c>
      <c r="H13" s="5" t="inlineStr"/>
      <c r="I13" s="5" t="inlineStr">
        <is>
          <t>PDU</t>
        </is>
      </c>
      <c r="J13" s="5" t="n">
        <v>10</v>
      </c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inlineStr">
        <is>
          <t>前留</t>
        </is>
      </c>
      <c r="W13" s="5" t="inlineStr"/>
      <c r="X13" s="5" t="inlineStr">
        <is>
          <t>L6-30R * 1回路×1口</t>
        </is>
      </c>
      <c r="Y13" s="6">
        <f>COUNT(N13,Q13,T13)</f>
        <v/>
      </c>
      <c r="Z13" s="6">
        <f>IF(OR(K13="",NOT(ISNUMBER(K13))),"",K13*SUM(N13,Q13,T13))</f>
        <v/>
      </c>
      <c r="AA13" s="6">
        <f>IF(OR(Y13=0,N13=""),"",N13/Y13)</f>
        <v/>
      </c>
      <c r="AB13" s="6">
        <f>IF(OR(Y13=0,Q13=""),"",Q13/Y13)</f>
        <v/>
      </c>
      <c r="AC13" s="6">
        <f>IF(OR(Y13=0,T13=""),"",T13/Y13)</f>
        <v/>
      </c>
      <c r="AD13" s="6">
        <f>IF(F13="","",IF((IF(AND(Y13=0,NOT(SUMPRODUCT(--ISNUMBER(SEARCH({"棚板","棚","アングル","ｱﾝｸﾞﾙ","使用不可","ケーブル","ｹｰﾌﾞﾙ","PatchPnael","パッチ","引き出し","引出","ブランク","ﾌﾞﾗﾝｸ","マネージ","ﾏﾈｰｼﾞ","PDU","ONU"},$F13&amp;"")))&gt;0),NOT(SUMPRODUCT(--ISNUMBER(SEARCH({"電源オフ","未投入","停止","未使用","撤去"},$X13&amp;"")))&gt;0)),"／電力が未記入","")&amp;IF(AND(NOT(ISNUMBER(J13)),NOT(SUMPRODUCT(--ISNUMBER(SEARCH({"棚板","棚","アングル","ｱﾝｸﾞﾙ","使用不可","ケーブル","ｹｰﾌﾞﾙ","PatchPnael","パッチ","引き出し","引出","ブランク","ﾌﾞﾗﾝｸ","マネージ","ﾏﾈｰｼﾞ","PDU","ONU"},$F13&amp;"")))&gt;0)),"／重量が未記入","")&amp;IF(AND(K13&lt;&gt;"",NOT(ISNUMBER(K13))),"／電圧が数値でない","")&amp;IF(AND(N13&lt;&gt;"",NOT(ISNUMBER(N13))),"／電流が数値でない","")&amp;IF(AND(C13&lt;&gt;"",C13&lt;1),"／開始Uが1未満","")&amp;IF(AND(E13&lt;&gt;"",E13&gt;IFERROR(VLOOKUP(A13,ラック定義!$A:$B,2,FALSE),47)),"／総Uをはみ出す","")&amp;IF(AND(A13&lt;&gt;"",COUNTIF(ラック定義!$A:$A,A13)=0),"／ラックが定義にない","")&amp;IF(AND(SUMPRODUCT((機器台帳!$A$2:$A$400=$A13)*((機器台帳!$B$2:$B$400=$B13)+(機器台帳!$B$2:$B$400="両面")+($B13="両面")&gt;0)*(機器台帳!$C$2:$C$400&lt;=$C13+$D13-1)*(機器台帳!$C$2:$C$400+機器台帳!$D$2:$D$400-1&gt;=$C13)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&amp;"")))&gt;0)),"／同じUに他の機器(横並びなら正常)","")&amp;IF(AND(M13&lt;&gt;"",COUNTIFS(回路定義!$A:$A,A13,回路定義!$B:$B,M13)=0),"／回路1が定義にない","")&amp;IF(AND(P13&lt;&gt;"",COUNTIFS(回路定義!$A:$A,A13,回路定義!$B:$B,P13)=0),"／回路2が定義にない","")&amp;IF(AND(S13&lt;&gt;"",COUNTIFS(回路定義!$A:$A,A13,回路定義!$B:$B,S13)=0),"／回路3が定義にない",""))="","",MID(IF(AND(Y13=0,NOT(SUMPRODUCT(--ISNUMBER(SEARCH({"棚板","棚","アングル","ｱﾝｸﾞﾙ","使用不可","ケーブル","ｹｰﾌﾞﾙ","PatchPnael","パッチ","引き出し","引出","ブランク","ﾌﾞﾗﾝｸ","マネージ","ﾏﾈｰｼﾞ","PDU","ONU"},$F13&amp;"")))&gt;0),NOT(SUMPRODUCT(--ISNUMBER(SEARCH({"電源オフ","未投入","停止","未使用","撤去"},$X13&amp;"")))&gt;0)),"／電力が未記入","")&amp;IF(AND(NOT(ISNUMBER(J13)),NOT(SUMPRODUCT(--ISNUMBER(SEARCH({"棚板","棚","アングル","ｱﾝｸﾞﾙ","使用不可","ケーブル","ｹｰﾌﾞﾙ","PatchPnael","パッチ","引き出し","引出","ブランク","ﾌﾞﾗﾝｸ","マネージ","ﾏﾈｰｼﾞ","PDU","ONU"},$F13&amp;"")))&gt;0)),"／重量が未記入","")&amp;IF(AND(K13&lt;&gt;"",NOT(ISNUMBER(K13))),"／電圧が数値でない","")&amp;IF(AND(N13&lt;&gt;"",NOT(ISNUMBER(N13))),"／電流が数値でない","")&amp;IF(AND(C13&lt;&gt;"",C13&lt;1),"／開始Uが1未満","")&amp;IF(AND(E13&lt;&gt;"",E13&gt;IFERROR(VLOOKUP(A13,ラック定義!$A:$B,2,FALSE),47)),"／総Uをはみ出す","")&amp;IF(AND(A13&lt;&gt;"",COUNTIF(ラック定義!$A:$A,A13)=0),"／ラックが定義にない","")&amp;IF(AND(SUMPRODUCT((機器台帳!$A$2:$A$400=$A13)*((機器台帳!$B$2:$B$400=$B13)+(機器台帳!$B$2:$B$400="両面")+($B13="両面")&gt;0)*(機器台帳!$C$2:$C$400&lt;=$C13+$D13-1)*(機器台帳!$C$2:$C$400+機器台帳!$D$2:$D$400-1&gt;=$C13)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&amp;"")))&gt;0)),"／同じUに他の機器(横並びなら正常)","")&amp;IF(AND(M13&lt;&gt;"",COUNTIFS(回路定義!$A:$A,A13,回路定義!$B:$B,M13)=0),"／回路1が定義にない","")&amp;IF(AND(P13&lt;&gt;"",COUNTIFS(回路定義!$A:$A,A13,回路定義!$B:$B,P13)=0),"／回路2が定義にない","")&amp;IF(AND(S13&lt;&gt;"",COUNTIFS(回路定義!$A:$A,A13,回路定義!$B:$B,S13)=0),"／回路3が定義にない",""),2,300)))</f>
        <v/>
      </c>
    </row>
    <row r="14">
      <c r="A14" s="5" t="inlineStr">
        <is>
          <t>E24-S8-1</t>
        </is>
      </c>
      <c r="B14" s="5" t="inlineStr">
        <is>
          <t>両面</t>
        </is>
      </c>
      <c r="C14" s="5" t="n">
        <v>1</v>
      </c>
      <c r="D14" s="5" t="n">
        <v>3</v>
      </c>
      <c r="E14" s="6">
        <f>IF(C14="","",C14+D14-1)</f>
        <v/>
      </c>
      <c r="F14" s="5" t="inlineStr">
        <is>
          <t>使用不可</t>
        </is>
      </c>
      <c r="G14" s="5" t="inlineStr"/>
      <c r="H14" s="5" t="inlineStr"/>
      <c r="I14" s="5" t="inlineStr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inlineStr"/>
      <c r="W14" s="5" t="inlineStr"/>
      <c r="X14" s="5" t="inlineStr"/>
      <c r="Y14" s="6">
        <f>COUNT(N14,Q14,T14)</f>
        <v/>
      </c>
      <c r="Z14" s="6">
        <f>IF(OR(K14="",NOT(ISNUMBER(K14))),"",K14*SUM(N14,Q14,T14))</f>
        <v/>
      </c>
      <c r="AA14" s="6">
        <f>IF(OR(Y14=0,N14=""),"",N14/Y14)</f>
        <v/>
      </c>
      <c r="AB14" s="6">
        <f>IF(OR(Y14=0,Q14=""),"",Q14/Y14)</f>
        <v/>
      </c>
      <c r="AC14" s="6">
        <f>IF(OR(Y14=0,T14=""),"",T14/Y14)</f>
        <v/>
      </c>
      <c r="AD14" s="6">
        <f>IF(F14="","",IF((IF(AND(Y14=0,NOT(SUMPRODUCT(--ISNUMBER(SEARCH({"棚板","棚","アングル","ｱﾝｸﾞﾙ","使用不可","ケーブル","ｹｰﾌﾞﾙ","PatchPnael","パッチ","引き出し","引出","ブランク","ﾌﾞﾗﾝｸ","マネージ","ﾏﾈｰｼﾞ","PDU","ONU"},$F14&amp;"")))&gt;0),NOT(SUMPRODUCT(--ISNUMBER(SEARCH({"電源オフ","未投入","停止","未使用","撤去"},$X14&amp;"")))&gt;0)),"／電力が未記入","")&amp;IF(AND(NOT(ISNUMBER(J14)),NOT(SUMPRODUCT(--ISNUMBER(SEARCH({"棚板","棚","アングル","ｱﾝｸﾞﾙ","使用不可","ケーブル","ｹｰﾌﾞﾙ","PatchPnael","パッチ","引き出し","引出","ブランク","ﾌﾞﾗﾝｸ","マネージ","ﾏﾈｰｼﾞ","PDU","ONU"},$F14&amp;"")))&gt;0)),"／重量が未記入","")&amp;IF(AND(K14&lt;&gt;"",NOT(ISNUMBER(K14))),"／電圧が数値でない","")&amp;IF(AND(N14&lt;&gt;"",NOT(ISNUMBER(N14))),"／電流が数値でない","")&amp;IF(AND(C14&lt;&gt;"",C14&lt;1),"／開始Uが1未満","")&amp;IF(AND(E14&lt;&gt;"",E14&gt;IFERROR(VLOOKUP(A14,ラック定義!$A:$B,2,FALSE),47)),"／総Uをはみ出す","")&amp;IF(AND(A14&lt;&gt;"",COUNTIF(ラック定義!$A:$A,A14)=0),"／ラックが定義にない","")&amp;IF(AND(SUMPRODUCT((機器台帳!$A$2:$A$400=$A14)*((機器台帳!$B$2:$B$400=$B14)+(機器台帳!$B$2:$B$400="両面")+($B14="両面")&gt;0)*(機器台帳!$C$2:$C$400&lt;=$C14+$D14-1)*(機器台帳!$C$2:$C$400+機器台帳!$D$2:$D$400-1&gt;=$C14)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&amp;"")))&gt;0)),"／同じUに他の機器(横並びなら正常)","")&amp;IF(AND(M14&lt;&gt;"",COUNTIFS(回路定義!$A:$A,A14,回路定義!$B:$B,M14)=0),"／回路1が定義にない","")&amp;IF(AND(P14&lt;&gt;"",COUNTIFS(回路定義!$A:$A,A14,回路定義!$B:$B,P14)=0),"／回路2が定義にない","")&amp;IF(AND(S14&lt;&gt;"",COUNTIFS(回路定義!$A:$A,A14,回路定義!$B:$B,S14)=0),"／回路3が定義にない",""))="","",MID(IF(AND(Y14=0,NOT(SUMPRODUCT(--ISNUMBER(SEARCH({"棚板","棚","アングル","ｱﾝｸﾞﾙ","使用不可","ケーブル","ｹｰﾌﾞﾙ","PatchPnael","パッチ","引き出し","引出","ブランク","ﾌﾞﾗﾝｸ","マネージ","ﾏﾈｰｼﾞ","PDU","ONU"},$F14&amp;"")))&gt;0),NOT(SUMPRODUCT(--ISNUMBER(SEARCH({"電源オフ","未投入","停止","未使用","撤去"},$X14&amp;"")))&gt;0)),"／電力が未記入","")&amp;IF(AND(NOT(ISNUMBER(J14)),NOT(SUMPRODUCT(--ISNUMBER(SEARCH({"棚板","棚","アングル","ｱﾝｸﾞﾙ","使用不可","ケーブル","ｹｰﾌﾞﾙ","PatchPnael","パッチ","引き出し","引出","ブランク","ﾌﾞﾗﾝｸ","マネージ","ﾏﾈｰｼﾞ","PDU","ONU"},$F14&amp;"")))&gt;0)),"／重量が未記入","")&amp;IF(AND(K14&lt;&gt;"",NOT(ISNUMBER(K14))),"／電圧が数値でない","")&amp;IF(AND(N14&lt;&gt;"",NOT(ISNUMBER(N14))),"／電流が数値でない","")&amp;IF(AND(C14&lt;&gt;"",C14&lt;1),"／開始Uが1未満","")&amp;IF(AND(E14&lt;&gt;"",E14&gt;IFERROR(VLOOKUP(A14,ラック定義!$A:$B,2,FALSE),47)),"／総Uをはみ出す","")&amp;IF(AND(A14&lt;&gt;"",COUNTIF(ラック定義!$A:$A,A14)=0),"／ラックが定義にない","")&amp;IF(AND(SUMPRODUCT((機器台帳!$A$2:$A$400=$A14)*((機器台帳!$B$2:$B$400=$B14)+(機器台帳!$B$2:$B$400="両面")+($B14="両面")&gt;0)*(機器台帳!$C$2:$C$400&lt;=$C14+$D14-1)*(機器台帳!$C$2:$C$400+機器台帳!$D$2:$D$400-1&gt;=$C14)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&amp;"")))&gt;0)),"／同じUに他の機器(横並びなら正常)","")&amp;IF(AND(M14&lt;&gt;"",COUNTIFS(回路定義!$A:$A,A14,回路定義!$B:$B,M14)=0),"／回路1が定義にない","")&amp;IF(AND(P14&lt;&gt;"",COUNTIFS(回路定義!$A:$A,A14,回路定義!$B:$B,P14)=0),"／回路2が定義にない","")&amp;IF(AND(S14&lt;&gt;"",COUNTIFS(回路定義!$A:$A,A14,回路定義!$B:$B,S14)=0),"／回路3が定義にない",""),2,300)))</f>
        <v/>
      </c>
    </row>
    <row r="15">
      <c r="A15" s="5" t="inlineStr">
        <is>
          <t>E24-S8-1</t>
        </is>
      </c>
      <c r="B15" s="5" t="inlineStr">
        <is>
          <t>背面</t>
        </is>
      </c>
      <c r="C15" s="5" t="n">
        <v>47</v>
      </c>
      <c r="D15" s="5" t="n">
        <v>1</v>
      </c>
      <c r="E15" s="6">
        <f>IF(C15="","",C15+D15-1)</f>
        <v/>
      </c>
      <c r="F15" s="5" t="inlineStr">
        <is>
          <t>ｹｰﾌﾞﾙﾏﾈｰｼﾞﾒﾝﾄ（背面）</t>
        </is>
      </c>
      <c r="G15" s="5" t="inlineStr"/>
      <c r="H15" s="5" t="inlineStr"/>
      <c r="I15" s="5" t="inlineStr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inlineStr"/>
      <c r="W15" s="5" t="inlineStr"/>
      <c r="X15" s="5" t="inlineStr"/>
      <c r="Y15" s="6">
        <f>COUNT(N15,Q15,T15)</f>
        <v/>
      </c>
      <c r="Z15" s="6">
        <f>IF(OR(K15="",NOT(ISNUMBER(K15))),"",K15*SUM(N15,Q15,T15))</f>
        <v/>
      </c>
      <c r="AA15" s="6">
        <f>IF(OR(Y15=0,N15=""),"",N15/Y15)</f>
        <v/>
      </c>
      <c r="AB15" s="6">
        <f>IF(OR(Y15=0,Q15=""),"",Q15/Y15)</f>
        <v/>
      </c>
      <c r="AC15" s="6">
        <f>IF(OR(Y15=0,T15=""),"",T15/Y15)</f>
        <v/>
      </c>
      <c r="AD15" s="6">
        <f>IF(F15="","",IF((IF(AND(Y15=0,NOT(SUMPRODUCT(--ISNUMBER(SEARCH({"棚板","棚","アングル","ｱﾝｸﾞﾙ","使用不可","ケーブル","ｹｰﾌﾞﾙ","PatchPnael","パッチ","引き出し","引出","ブランク","ﾌﾞﾗﾝｸ","マネージ","ﾏﾈｰｼﾞ","PDU","ONU"},$F15&amp;"")))&gt;0),NOT(SUMPRODUCT(--ISNUMBER(SEARCH({"電源オフ","未投入","停止","未使用","撤去"},$X15&amp;"")))&gt;0)),"／電力が未記入","")&amp;IF(AND(NOT(ISNUMBER(J15)),NOT(SUMPRODUCT(--ISNUMBER(SEARCH({"棚板","棚","アングル","ｱﾝｸﾞﾙ","使用不可","ケーブル","ｹｰﾌﾞﾙ","PatchPnael","パッチ","引き出し","引出","ブランク","ﾌﾞﾗﾝｸ","マネージ","ﾏﾈｰｼﾞ","PDU","ONU"},$F15&amp;"")))&gt;0)),"／重量が未記入","")&amp;IF(AND(K15&lt;&gt;"",NOT(ISNUMBER(K15))),"／電圧が数値でない","")&amp;IF(AND(N15&lt;&gt;"",NOT(ISNUMBER(N15))),"／電流が数値でない","")&amp;IF(AND(C15&lt;&gt;"",C15&lt;1),"／開始Uが1未満","")&amp;IF(AND(E15&lt;&gt;"",E15&gt;IFERROR(VLOOKUP(A15,ラック定義!$A:$B,2,FALSE),47)),"／総Uをはみ出す","")&amp;IF(AND(A15&lt;&gt;"",COUNTIF(ラック定義!$A:$A,A15)=0),"／ラックが定義にない","")&amp;IF(AND(SUMPRODUCT((機器台帳!$A$2:$A$400=$A15)*((機器台帳!$B$2:$B$400=$B15)+(機器台帳!$B$2:$B$400="両面")+($B15="両面")&gt;0)*(機器台帳!$C$2:$C$400&lt;=$C15+$D15-1)*(機器台帳!$C$2:$C$400+機器台帳!$D$2:$D$400-1&gt;=$C15)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&amp;"")))&gt;0)),"／同じUに他の機器(横並びなら正常)","")&amp;IF(AND(M15&lt;&gt;"",COUNTIFS(回路定義!$A:$A,A15,回路定義!$B:$B,M15)=0),"／回路1が定義にない","")&amp;IF(AND(P15&lt;&gt;"",COUNTIFS(回路定義!$A:$A,A15,回路定義!$B:$B,P15)=0),"／回路2が定義にない","")&amp;IF(AND(S15&lt;&gt;"",COUNTIFS(回路定義!$A:$A,A15,回路定義!$B:$B,S15)=0),"／回路3が定義にない",""))="","",MID(IF(AND(Y15=0,NOT(SUMPRODUCT(--ISNUMBER(SEARCH({"棚板","棚","アングル","ｱﾝｸﾞﾙ","使用不可","ケーブル","ｹｰﾌﾞﾙ","PatchPnael","パッチ","引き出し","引出","ブランク","ﾌﾞﾗﾝｸ","マネージ","ﾏﾈｰｼﾞ","PDU","ONU"},$F15&amp;"")))&gt;0),NOT(SUMPRODUCT(--ISNUMBER(SEARCH({"電源オフ","未投入","停止","未使用","撤去"},$X15&amp;"")))&gt;0)),"／電力が未記入","")&amp;IF(AND(NOT(ISNUMBER(J15)),NOT(SUMPRODUCT(--ISNUMBER(SEARCH({"棚板","棚","アングル","ｱﾝｸﾞﾙ","使用不可","ケーブル","ｹｰﾌﾞﾙ","PatchPnael","パッチ","引き出し","引出","ブランク","ﾌﾞﾗﾝｸ","マネージ","ﾏﾈｰｼﾞ","PDU","ONU"},$F15&amp;"")))&gt;0)),"／重量が未記入","")&amp;IF(AND(K15&lt;&gt;"",NOT(ISNUMBER(K15))),"／電圧が数値でない","")&amp;IF(AND(N15&lt;&gt;"",NOT(ISNUMBER(N15))),"／電流が数値でない","")&amp;IF(AND(C15&lt;&gt;"",C15&lt;1),"／開始Uが1未満","")&amp;IF(AND(E15&lt;&gt;"",E15&gt;IFERROR(VLOOKUP(A15,ラック定義!$A:$B,2,FALSE),47)),"／総Uをはみ出す","")&amp;IF(AND(A15&lt;&gt;"",COUNTIF(ラック定義!$A:$A,A15)=0),"／ラックが定義にない","")&amp;IF(AND(SUMPRODUCT((機器台帳!$A$2:$A$400=$A15)*((機器台帳!$B$2:$B$400=$B15)+(機器台帳!$B$2:$B$400="両面")+($B15="両面")&gt;0)*(機器台帳!$C$2:$C$400&lt;=$C15+$D15-1)*(機器台帳!$C$2:$C$400+機器台帳!$D$2:$D$400-1&gt;=$C15)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&amp;"")))&gt;0)),"／同じUに他の機器(横並びなら正常)","")&amp;IF(AND(M15&lt;&gt;"",COUNTIFS(回路定義!$A:$A,A15,回路定義!$B:$B,M15)=0),"／回路1が定義にない","")&amp;IF(AND(P15&lt;&gt;"",COUNTIFS(回路定義!$A:$A,A15,回路定義!$B:$B,P15)=0),"／回路2が定義にない","")&amp;IF(AND(S15&lt;&gt;"",COUNTIFS(回路定義!$A:$A,A15,回路定義!$B:$B,S15)=0),"／回路3が定義にない",""),2,300)))</f>
        <v/>
      </c>
    </row>
    <row r="16">
      <c r="A16" s="5" t="inlineStr">
        <is>
          <t>E24-S8-1</t>
        </is>
      </c>
      <c r="B16" s="5" t="inlineStr">
        <is>
          <t>前面</t>
        </is>
      </c>
      <c r="C16" s="5" t="n">
        <v>46</v>
      </c>
      <c r="D16" s="5" t="n">
        <v>1</v>
      </c>
      <c r="E16" s="6">
        <f>IF(C16="","",C16+D16-1)</f>
        <v/>
      </c>
      <c r="F16" s="5" t="inlineStr">
        <is>
          <t>UTP 12port PatchPnael(前面)</t>
        </is>
      </c>
      <c r="G16" s="5" t="inlineStr"/>
      <c r="H16" s="5" t="inlineStr"/>
      <c r="I16" s="5" t="inlineStr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inlineStr"/>
      <c r="W16" s="5" t="inlineStr"/>
      <c r="X16" s="5" t="inlineStr"/>
      <c r="Y16" s="6">
        <f>COUNT(N16,Q16,T16)</f>
        <v/>
      </c>
      <c r="Z16" s="6">
        <f>IF(OR(K16="",NOT(ISNUMBER(K16))),"",K16*SUM(N16,Q16,T16))</f>
        <v/>
      </c>
      <c r="AA16" s="6">
        <f>IF(OR(Y16=0,N16=""),"",N16/Y16)</f>
        <v/>
      </c>
      <c r="AB16" s="6">
        <f>IF(OR(Y16=0,Q16=""),"",Q16/Y16)</f>
        <v/>
      </c>
      <c r="AC16" s="6">
        <f>IF(OR(Y16=0,T16=""),"",T16/Y16)</f>
        <v/>
      </c>
      <c r="AD16" s="6">
        <f>IF(F16="","",IF((IF(AND(Y16=0,NOT(SUMPRODUCT(--ISNUMBER(SEARCH({"棚板","棚","アングル","ｱﾝｸﾞﾙ","使用不可","ケーブル","ｹｰﾌﾞﾙ","PatchPnael","パッチ","引き出し","引出","ブランク","ﾌﾞﾗﾝｸ","マネージ","ﾏﾈｰｼﾞ","PDU","ONU"},$F16&amp;"")))&gt;0),NOT(SUMPRODUCT(--ISNUMBER(SEARCH({"電源オフ","未投入","停止","未使用","撤去"},$X16&amp;"")))&gt;0)),"／電力が未記入","")&amp;IF(AND(NOT(ISNUMBER(J16)),NOT(SUMPRODUCT(--ISNUMBER(SEARCH({"棚板","棚","アングル","ｱﾝｸﾞﾙ","使用不可","ケーブル","ｹｰﾌﾞﾙ","PatchPnael","パッチ","引き出し","引出","ブランク","ﾌﾞﾗﾝｸ","マネージ","ﾏﾈｰｼﾞ","PDU","ONU"},$F16&amp;"")))&gt;0)),"／重量が未記入","")&amp;IF(AND(K16&lt;&gt;"",NOT(ISNUMBER(K16))),"／電圧が数値でない","")&amp;IF(AND(N16&lt;&gt;"",NOT(ISNUMBER(N16))),"／電流が数値でない","")&amp;IF(AND(C16&lt;&gt;"",C16&lt;1),"／開始Uが1未満","")&amp;IF(AND(E16&lt;&gt;"",E16&gt;IFERROR(VLOOKUP(A16,ラック定義!$A:$B,2,FALSE),47)),"／総Uをはみ出す","")&amp;IF(AND(A16&lt;&gt;"",COUNTIF(ラック定義!$A:$A,A16)=0),"／ラックが定義にない","")&amp;IF(AND(SUMPRODUCT((機器台帳!$A$2:$A$400=$A16)*((機器台帳!$B$2:$B$400=$B16)+(機器台帳!$B$2:$B$400="両面")+($B16="両面")&gt;0)*(機器台帳!$C$2:$C$400&lt;=$C16+$D16-1)*(機器台帳!$C$2:$C$400+機器台帳!$D$2:$D$400-1&gt;=$C16)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&amp;"")))&gt;0)),"／同じUに他の機器(横並びなら正常)","")&amp;IF(AND(M16&lt;&gt;"",COUNTIFS(回路定義!$A:$A,A16,回路定義!$B:$B,M16)=0),"／回路1が定義にない","")&amp;IF(AND(P16&lt;&gt;"",COUNTIFS(回路定義!$A:$A,A16,回路定義!$B:$B,P16)=0),"／回路2が定義にない","")&amp;IF(AND(S16&lt;&gt;"",COUNTIFS(回路定義!$A:$A,A16,回路定義!$B:$B,S16)=0),"／回路3が定義にない",""))="","",MID(IF(AND(Y16=0,NOT(SUMPRODUCT(--ISNUMBER(SEARCH({"棚板","棚","アングル","ｱﾝｸﾞﾙ","使用不可","ケーブル","ｹｰﾌﾞﾙ","PatchPnael","パッチ","引き出し","引出","ブランク","ﾌﾞﾗﾝｸ","マネージ","ﾏﾈｰｼﾞ","PDU","ONU"},$F16&amp;"")))&gt;0),NOT(SUMPRODUCT(--ISNUMBER(SEARCH({"電源オフ","未投入","停止","未使用","撤去"},$X16&amp;"")))&gt;0)),"／電力が未記入","")&amp;IF(AND(NOT(ISNUMBER(J16)),NOT(SUMPRODUCT(--ISNUMBER(SEARCH({"棚板","棚","アングル","ｱﾝｸﾞﾙ","使用不可","ケーブル","ｹｰﾌﾞﾙ","PatchPnael","パッチ","引き出し","引出","ブランク","ﾌﾞﾗﾝｸ","マネージ","ﾏﾈｰｼﾞ","PDU","ONU"},$F16&amp;"")))&gt;0)),"／重量が未記入","")&amp;IF(AND(K16&lt;&gt;"",NOT(ISNUMBER(K16))),"／電圧が数値でない","")&amp;IF(AND(N16&lt;&gt;"",NOT(ISNUMBER(N16))),"／電流が数値でない","")&amp;IF(AND(C16&lt;&gt;"",C16&lt;1),"／開始Uが1未満","")&amp;IF(AND(E16&lt;&gt;"",E16&gt;IFERROR(VLOOKUP(A16,ラック定義!$A:$B,2,FALSE),47)),"／総Uをはみ出す","")&amp;IF(AND(A16&lt;&gt;"",COUNTIF(ラック定義!$A:$A,A16)=0),"／ラックが定義にない","")&amp;IF(AND(SUMPRODUCT((機器台帳!$A$2:$A$400=$A16)*((機器台帳!$B$2:$B$400=$B16)+(機器台帳!$B$2:$B$400="両面")+($B16="両面")&gt;0)*(機器台帳!$C$2:$C$400&lt;=$C16+$D16-1)*(機器台帳!$C$2:$C$400+機器台帳!$D$2:$D$400-1&gt;=$C16)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&amp;"")))&gt;0)),"／同じUに他の機器(横並びなら正常)","")&amp;IF(AND(M16&lt;&gt;"",COUNTIFS(回路定義!$A:$A,A16,回路定義!$B:$B,M16)=0),"／回路1が定義にない","")&amp;IF(AND(P16&lt;&gt;"",COUNTIFS(回路定義!$A:$A,A16,回路定義!$B:$B,P16)=0),"／回路2が定義にない","")&amp;IF(AND(S16&lt;&gt;"",COUNTIFS(回路定義!$A:$A,A16,回路定義!$B:$B,S16)=0),"／回路3が定義にない",""),2,300)))</f>
        <v/>
      </c>
    </row>
    <row r="17">
      <c r="A17" s="5" t="inlineStr">
        <is>
          <t>E24-S8-1</t>
        </is>
      </c>
      <c r="B17" s="5" t="inlineStr">
        <is>
          <t>背面</t>
        </is>
      </c>
      <c r="C17" s="5" t="n">
        <v>46</v>
      </c>
      <c r="D17" s="5" t="n">
        <v>1</v>
      </c>
      <c r="E17" s="6">
        <f>IF(C17="","",C17+D17-1)</f>
        <v/>
      </c>
      <c r="F17" s="5" t="inlineStr">
        <is>
          <t>UTP 12port PatchPnael(背面)</t>
        </is>
      </c>
      <c r="G17" s="5" t="inlineStr"/>
      <c r="H17" s="5" t="inlineStr"/>
      <c r="I17" s="5" t="inlineStr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inlineStr"/>
      <c r="W17" s="5" t="inlineStr"/>
      <c r="X17" s="5" t="inlineStr"/>
      <c r="Y17" s="6">
        <f>COUNT(N17,Q17,T17)</f>
        <v/>
      </c>
      <c r="Z17" s="6">
        <f>IF(OR(K17="",NOT(ISNUMBER(K17))),"",K17*SUM(N17,Q17,T17))</f>
        <v/>
      </c>
      <c r="AA17" s="6">
        <f>IF(OR(Y17=0,N17=""),"",N17/Y17)</f>
        <v/>
      </c>
      <c r="AB17" s="6">
        <f>IF(OR(Y17=0,Q17=""),"",Q17/Y17)</f>
        <v/>
      </c>
      <c r="AC17" s="6">
        <f>IF(OR(Y17=0,T17=""),"",T17/Y17)</f>
        <v/>
      </c>
      <c r="AD17" s="6">
        <f>IF(F17="","",IF((IF(AND(Y17=0,NOT(SUMPRODUCT(--ISNUMBER(SEARCH({"棚板","棚","アングル","ｱﾝｸﾞﾙ","使用不可","ケーブル","ｹｰﾌﾞﾙ","PatchPnael","パッチ","引き出し","引出","ブランク","ﾌﾞﾗﾝｸ","マネージ","ﾏﾈｰｼﾞ","PDU","ONU"},$F17&amp;"")))&gt;0),NOT(SUMPRODUCT(--ISNUMBER(SEARCH({"電源オフ","未投入","停止","未使用","撤去"},$X17&amp;"")))&gt;0)),"／電力が未記入","")&amp;IF(AND(NOT(ISNUMBER(J17)),NOT(SUMPRODUCT(--ISNUMBER(SEARCH({"棚板","棚","アングル","ｱﾝｸﾞﾙ","使用不可","ケーブル","ｹｰﾌﾞﾙ","PatchPnael","パッチ","引き出し","引出","ブランク","ﾌﾞﾗﾝｸ","マネージ","ﾏﾈｰｼﾞ","PDU","ONU"},$F17&amp;"")))&gt;0)),"／重量が未記入","")&amp;IF(AND(K17&lt;&gt;"",NOT(ISNUMBER(K17))),"／電圧が数値でない","")&amp;IF(AND(N17&lt;&gt;"",NOT(ISNUMBER(N17))),"／電流が数値でない","")&amp;IF(AND(C17&lt;&gt;"",C17&lt;1),"／開始Uが1未満","")&amp;IF(AND(E17&lt;&gt;"",E17&gt;IFERROR(VLOOKUP(A17,ラック定義!$A:$B,2,FALSE),47)),"／総Uをはみ出す","")&amp;IF(AND(A17&lt;&gt;"",COUNTIF(ラック定義!$A:$A,A17)=0),"／ラックが定義にない","")&amp;IF(AND(SUMPRODUCT((機器台帳!$A$2:$A$400=$A17)*((機器台帳!$B$2:$B$400=$B17)+(機器台帳!$B$2:$B$400="両面")+($B17="両面")&gt;0)*(機器台帳!$C$2:$C$400&lt;=$C17+$D17-1)*(機器台帳!$C$2:$C$400+機器台帳!$D$2:$D$400-1&gt;=$C17)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&amp;"")))&gt;0)),"／同じUに他の機器(横並びなら正常)","")&amp;IF(AND(M17&lt;&gt;"",COUNTIFS(回路定義!$A:$A,A17,回路定義!$B:$B,M17)=0),"／回路1が定義にない","")&amp;IF(AND(P17&lt;&gt;"",COUNTIFS(回路定義!$A:$A,A17,回路定義!$B:$B,P17)=0),"／回路2が定義にない","")&amp;IF(AND(S17&lt;&gt;"",COUNTIFS(回路定義!$A:$A,A17,回路定義!$B:$B,S17)=0),"／回路3が定義にない",""))="","",MID(IF(AND(Y17=0,NOT(SUMPRODUCT(--ISNUMBER(SEARCH({"棚板","棚","アングル","ｱﾝｸﾞﾙ","使用不可","ケーブル","ｹｰﾌﾞﾙ","PatchPnael","パッチ","引き出し","引出","ブランク","ﾌﾞﾗﾝｸ","マネージ","ﾏﾈｰｼﾞ","PDU","ONU"},$F17&amp;"")))&gt;0),NOT(SUMPRODUCT(--ISNUMBER(SEARCH({"電源オフ","未投入","停止","未使用","撤去"},$X17&amp;"")))&gt;0)),"／電力が未記入","")&amp;IF(AND(NOT(ISNUMBER(J17)),NOT(SUMPRODUCT(--ISNUMBER(SEARCH({"棚板","棚","アングル","ｱﾝｸﾞﾙ","使用不可","ケーブル","ｹｰﾌﾞﾙ","PatchPnael","パッチ","引き出し","引出","ブランク","ﾌﾞﾗﾝｸ","マネージ","ﾏﾈｰｼﾞ","PDU","ONU"},$F17&amp;"")))&gt;0)),"／重量が未記入","")&amp;IF(AND(K17&lt;&gt;"",NOT(ISNUMBER(K17))),"／電圧が数値でない","")&amp;IF(AND(N17&lt;&gt;"",NOT(ISNUMBER(N17))),"／電流が数値でない","")&amp;IF(AND(C17&lt;&gt;"",C17&lt;1),"／開始Uが1未満","")&amp;IF(AND(E17&lt;&gt;"",E17&gt;IFERROR(VLOOKUP(A17,ラック定義!$A:$B,2,FALSE),47)),"／総Uをはみ出す","")&amp;IF(AND(A17&lt;&gt;"",COUNTIF(ラック定義!$A:$A,A17)=0),"／ラックが定義にない","")&amp;IF(AND(SUMPRODUCT((機器台帳!$A$2:$A$400=$A17)*((機器台帳!$B$2:$B$400=$B17)+(機器台帳!$B$2:$B$400="両面")+($B17="両面")&gt;0)*(機器台帳!$C$2:$C$400&lt;=$C17+$D17-1)*(機器台帳!$C$2:$C$400+機器台帳!$D$2:$D$400-1&gt;=$C17)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&amp;"")))&gt;0)),"／同じUに他の機器(横並びなら正常)","")&amp;IF(AND(M17&lt;&gt;"",COUNTIFS(回路定義!$A:$A,A17,回路定義!$B:$B,M17)=0),"／回路1が定義にない","")&amp;IF(AND(P17&lt;&gt;"",COUNTIFS(回路定義!$A:$A,A17,回路定義!$B:$B,P17)=0),"／回路2が定義にない","")&amp;IF(AND(S17&lt;&gt;"",COUNTIFS(回路定義!$A:$A,A17,回路定義!$B:$B,S17)=0),"／回路3が定義にない",""),2,300)))</f>
        <v/>
      </c>
    </row>
    <row r="18">
      <c r="A18" s="5" t="inlineStr">
        <is>
          <t>E24-S8-1</t>
        </is>
      </c>
      <c r="B18" s="5" t="inlineStr">
        <is>
          <t>前面</t>
        </is>
      </c>
      <c r="C18" s="5" t="n">
        <v>24</v>
      </c>
      <c r="D18" s="5" t="n">
        <v>1</v>
      </c>
      <c r="E18" s="6">
        <f>IF(C18="","",C18+D18-1)</f>
        <v/>
      </c>
      <c r="F18" s="5" t="inlineStr">
        <is>
          <t>XC660</t>
        </is>
      </c>
      <c r="G18" s="5" t="inlineStr">
        <is>
          <t>H2401558</t>
        </is>
      </c>
      <c r="H18" s="5" t="inlineStr"/>
      <c r="I18" s="5" t="inlineStr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inlineStr"/>
      <c r="W18" s="5" t="inlineStr"/>
      <c r="X18" s="5" t="inlineStr"/>
      <c r="Y18" s="6">
        <f>COUNT(N18,Q18,T18)</f>
        <v/>
      </c>
      <c r="Z18" s="6">
        <f>IF(OR(K18="",NOT(ISNUMBER(K18))),"",K18*SUM(N18,Q18,T18))</f>
        <v/>
      </c>
      <c r="AA18" s="6">
        <f>IF(OR(Y18=0,N18=""),"",N18/Y18)</f>
        <v/>
      </c>
      <c r="AB18" s="6">
        <f>IF(OR(Y18=0,Q18=""),"",Q18/Y18)</f>
        <v/>
      </c>
      <c r="AC18" s="6">
        <f>IF(OR(Y18=0,T18=""),"",T18/Y18)</f>
        <v/>
      </c>
      <c r="AD18" s="6">
        <f>IF(F18="","",IF((IF(AND(Y18=0,NOT(SUMPRODUCT(--ISNUMBER(SEARCH({"棚板","棚","アングル","ｱﾝｸﾞﾙ","使用不可","ケーブル","ｹｰﾌﾞﾙ","PatchPnael","パッチ","引き出し","引出","ブランク","ﾌﾞﾗﾝｸ","マネージ","ﾏﾈｰｼﾞ","PDU","ONU"},$F18&amp;"")))&gt;0),NOT(SUMPRODUCT(--ISNUMBER(SEARCH({"電源オフ","未投入","停止","未使用","撤去"},$X18&amp;"")))&gt;0)),"／電力が未記入","")&amp;IF(AND(NOT(ISNUMBER(J18)),NOT(SUMPRODUCT(--ISNUMBER(SEARCH({"棚板","棚","アングル","ｱﾝｸﾞﾙ","使用不可","ケーブル","ｹｰﾌﾞﾙ","PatchPnael","パッチ","引き出し","引出","ブランク","ﾌﾞﾗﾝｸ","マネージ","ﾏﾈｰｼﾞ","PDU","ONU"},$F18&amp;"")))&gt;0)),"／重量が未記入","")&amp;IF(AND(K18&lt;&gt;"",NOT(ISNUMBER(K18))),"／電圧が数値でない","")&amp;IF(AND(N18&lt;&gt;"",NOT(ISNUMBER(N18))),"／電流が数値でない","")&amp;IF(AND(C18&lt;&gt;"",C18&lt;1),"／開始Uが1未満","")&amp;IF(AND(E18&lt;&gt;"",E18&gt;IFERROR(VLOOKUP(A18,ラック定義!$A:$B,2,FALSE),47)),"／総Uをはみ出す","")&amp;IF(AND(A18&lt;&gt;"",COUNTIF(ラック定義!$A:$A,A18)=0),"／ラックが定義にない","")&amp;IF(AND(SUMPRODUCT((機器台帳!$A$2:$A$400=$A18)*((機器台帳!$B$2:$B$400=$B18)+(機器台帳!$B$2:$B$400="両面")+($B18="両面")&gt;0)*(機器台帳!$C$2:$C$400&lt;=$C18+$D18-1)*(機器台帳!$C$2:$C$400+機器台帳!$D$2:$D$400-1&gt;=$C18)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&amp;"")))&gt;0)),"／同じUに他の機器(横並びなら正常)","")&amp;IF(AND(M18&lt;&gt;"",COUNTIFS(回路定義!$A:$A,A18,回路定義!$B:$B,M18)=0),"／回路1が定義にない","")&amp;IF(AND(P18&lt;&gt;"",COUNTIFS(回路定義!$A:$A,A18,回路定義!$B:$B,P18)=0),"／回路2が定義にない","")&amp;IF(AND(S18&lt;&gt;"",COUNTIFS(回路定義!$A:$A,A18,回路定義!$B:$B,S18)=0),"／回路3が定義にない",""))="","",MID(IF(AND(Y18=0,NOT(SUMPRODUCT(--ISNUMBER(SEARCH({"棚板","棚","アングル","ｱﾝｸﾞﾙ","使用不可","ケーブル","ｹｰﾌﾞﾙ","PatchPnael","パッチ","引き出し","引出","ブランク","ﾌﾞﾗﾝｸ","マネージ","ﾏﾈｰｼﾞ","PDU","ONU"},$F18&amp;"")))&gt;0),NOT(SUMPRODUCT(--ISNUMBER(SEARCH({"電源オフ","未投入","停止","未使用","撤去"},$X18&amp;"")))&gt;0)),"／電力が未記入","")&amp;IF(AND(NOT(ISNUMBER(J18)),NOT(SUMPRODUCT(--ISNUMBER(SEARCH({"棚板","棚","アングル","ｱﾝｸﾞﾙ","使用不可","ケーブル","ｹｰﾌﾞﾙ","PatchPnael","パッチ","引き出し","引出","ブランク","ﾌﾞﾗﾝｸ","マネージ","ﾏﾈｰｼﾞ","PDU","ONU"},$F18&amp;"")))&gt;0)),"／重量が未記入","")&amp;IF(AND(K18&lt;&gt;"",NOT(ISNUMBER(K18))),"／電圧が数値でない","")&amp;IF(AND(N18&lt;&gt;"",NOT(ISNUMBER(N18))),"／電流が数値でない","")&amp;IF(AND(C18&lt;&gt;"",C18&lt;1),"／開始Uが1未満","")&amp;IF(AND(E18&lt;&gt;"",E18&gt;IFERROR(VLOOKUP(A18,ラック定義!$A:$B,2,FALSE),47)),"／総Uをはみ出す","")&amp;IF(AND(A18&lt;&gt;"",COUNTIF(ラック定義!$A:$A,A18)=0),"／ラックが定義にない","")&amp;IF(AND(SUMPRODUCT((機器台帳!$A$2:$A$400=$A18)*((機器台帳!$B$2:$B$400=$B18)+(機器台帳!$B$2:$B$400="両面")+($B18="両面")&gt;0)*(機器台帳!$C$2:$C$400&lt;=$C18+$D18-1)*(機器台帳!$C$2:$C$400+機器台帳!$D$2:$D$400-1&gt;=$C18)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&amp;"")))&gt;0)),"／同じUに他の機器(横並びなら正常)","")&amp;IF(AND(M18&lt;&gt;"",COUNTIFS(回路定義!$A:$A,A18,回路定義!$B:$B,M18)=0),"／回路1が定義にない","")&amp;IF(AND(P18&lt;&gt;"",COUNTIFS(回路定義!$A:$A,A18,回路定義!$B:$B,P18)=0),"／回路2が定義にない","")&amp;IF(AND(S18&lt;&gt;"",COUNTIFS(回路定義!$A:$A,A18,回路定義!$B:$B,S18)=0),"／回路3が定義にない",""),2,300)))</f>
        <v/>
      </c>
    </row>
    <row r="19">
      <c r="A19" s="5" t="inlineStr">
        <is>
          <t>E24-S8-1</t>
        </is>
      </c>
      <c r="B19" s="5" t="inlineStr">
        <is>
          <t>前面</t>
        </is>
      </c>
      <c r="C19" s="5" t="n">
        <v>22</v>
      </c>
      <c r="D19" s="5" t="n">
        <v>1</v>
      </c>
      <c r="E19" s="6">
        <f>IF(C19="","",C19+D19-1)</f>
        <v/>
      </c>
      <c r="F19" s="5" t="inlineStr">
        <is>
          <t>XC660</t>
        </is>
      </c>
      <c r="G19" s="5" t="inlineStr">
        <is>
          <t>H2401559</t>
        </is>
      </c>
      <c r="H19" s="5" t="inlineStr"/>
      <c r="I19" s="5" t="inlineStr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inlineStr"/>
      <c r="W19" s="5" t="inlineStr"/>
      <c r="X19" s="5" t="inlineStr"/>
      <c r="Y19" s="6">
        <f>COUNT(N19,Q19,T19)</f>
        <v/>
      </c>
      <c r="Z19" s="6">
        <f>IF(OR(K19="",NOT(ISNUMBER(K19))),"",K19*SUM(N19,Q19,T19))</f>
        <v/>
      </c>
      <c r="AA19" s="6">
        <f>IF(OR(Y19=0,N19=""),"",N19/Y19)</f>
        <v/>
      </c>
      <c r="AB19" s="6">
        <f>IF(OR(Y19=0,Q19=""),"",Q19/Y19)</f>
        <v/>
      </c>
      <c r="AC19" s="6">
        <f>IF(OR(Y19=0,T19=""),"",T19/Y19)</f>
        <v/>
      </c>
      <c r="AD19" s="6">
        <f>IF(F19="","",IF((IF(AND(Y19=0,NOT(SUMPRODUCT(--ISNUMBER(SEARCH({"棚板","棚","アングル","ｱﾝｸﾞﾙ","使用不可","ケーブル","ｹｰﾌﾞﾙ","PatchPnael","パッチ","引き出し","引出","ブランク","ﾌﾞﾗﾝｸ","マネージ","ﾏﾈｰｼﾞ","PDU","ONU"},$F19&amp;"")))&gt;0),NOT(SUMPRODUCT(--ISNUMBER(SEARCH({"電源オフ","未投入","停止","未使用","撤去"},$X19&amp;"")))&gt;0)),"／電力が未記入","")&amp;IF(AND(NOT(ISNUMBER(J19)),NOT(SUMPRODUCT(--ISNUMBER(SEARCH({"棚板","棚","アングル","ｱﾝｸﾞﾙ","使用不可","ケーブル","ｹｰﾌﾞﾙ","PatchPnael","パッチ","引き出し","引出","ブランク","ﾌﾞﾗﾝｸ","マネージ","ﾏﾈｰｼﾞ","PDU","ONU"},$F19&amp;"")))&gt;0)),"／重量が未記入","")&amp;IF(AND(K19&lt;&gt;"",NOT(ISNUMBER(K19))),"／電圧が数値でない","")&amp;IF(AND(N19&lt;&gt;"",NOT(ISNUMBER(N19))),"／電流が数値でない","")&amp;IF(AND(C19&lt;&gt;"",C19&lt;1),"／開始Uが1未満","")&amp;IF(AND(E19&lt;&gt;"",E19&gt;IFERROR(VLOOKUP(A19,ラック定義!$A:$B,2,FALSE),47)),"／総Uをはみ出す","")&amp;IF(AND(A19&lt;&gt;"",COUNTIF(ラック定義!$A:$A,A19)=0),"／ラックが定義にない","")&amp;IF(AND(SUMPRODUCT((機器台帳!$A$2:$A$400=$A19)*((機器台帳!$B$2:$B$400=$B19)+(機器台帳!$B$2:$B$400="両面")+($B19="両面")&gt;0)*(機器台帳!$C$2:$C$400&lt;=$C19+$D19-1)*(機器台帳!$C$2:$C$400+機器台帳!$D$2:$D$400-1&gt;=$C19)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&amp;"")))&gt;0)),"／同じUに他の機器(横並びなら正常)","")&amp;IF(AND(M19&lt;&gt;"",COUNTIFS(回路定義!$A:$A,A19,回路定義!$B:$B,M19)=0),"／回路1が定義にない","")&amp;IF(AND(P19&lt;&gt;"",COUNTIFS(回路定義!$A:$A,A19,回路定義!$B:$B,P19)=0),"／回路2が定義にない","")&amp;IF(AND(S19&lt;&gt;"",COUNTIFS(回路定義!$A:$A,A19,回路定義!$B:$B,S19)=0),"／回路3が定義にない",""))="","",MID(IF(AND(Y19=0,NOT(SUMPRODUCT(--ISNUMBER(SEARCH({"棚板","棚","アングル","ｱﾝｸﾞﾙ","使用不可","ケーブル","ｹｰﾌﾞﾙ","PatchPnael","パッチ","引き出し","引出","ブランク","ﾌﾞﾗﾝｸ","マネージ","ﾏﾈｰｼﾞ","PDU","ONU"},$F19&amp;"")))&gt;0),NOT(SUMPRODUCT(--ISNUMBER(SEARCH({"電源オフ","未投入","停止","未使用","撤去"},$X19&amp;"")))&gt;0)),"／電力が未記入","")&amp;IF(AND(NOT(ISNUMBER(J19)),NOT(SUMPRODUCT(--ISNUMBER(SEARCH({"棚板","棚","アングル","ｱﾝｸﾞﾙ","使用不可","ケーブル","ｹｰﾌﾞﾙ","PatchPnael","パッチ","引き出し","引出","ブランク","ﾌﾞﾗﾝｸ","マネージ","ﾏﾈｰｼﾞ","PDU","ONU"},$F19&amp;"")))&gt;0)),"／重量が未記入","")&amp;IF(AND(K19&lt;&gt;"",NOT(ISNUMBER(K19))),"／電圧が数値でない","")&amp;IF(AND(N19&lt;&gt;"",NOT(ISNUMBER(N19))),"／電流が数値でない","")&amp;IF(AND(C19&lt;&gt;"",C19&lt;1),"／開始Uが1未満","")&amp;IF(AND(E19&lt;&gt;"",E19&gt;IFERROR(VLOOKUP(A19,ラック定義!$A:$B,2,FALSE),47)),"／総Uをはみ出す","")&amp;IF(AND(A19&lt;&gt;"",COUNTIF(ラック定義!$A:$A,A19)=0),"／ラックが定義にない","")&amp;IF(AND(SUMPRODUCT((機器台帳!$A$2:$A$400=$A19)*((機器台帳!$B$2:$B$400=$B19)+(機器台帳!$B$2:$B$400="両面")+($B19="両面")&gt;0)*(機器台帳!$C$2:$C$400&lt;=$C19+$D19-1)*(機器台帳!$C$2:$C$400+機器台帳!$D$2:$D$400-1&gt;=$C19)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&amp;"")))&gt;0)),"／同じUに他の機器(横並びなら正常)","")&amp;IF(AND(M19&lt;&gt;"",COUNTIFS(回路定義!$A:$A,A19,回路定義!$B:$B,M19)=0),"／回路1が定義にない","")&amp;IF(AND(P19&lt;&gt;"",COUNTIFS(回路定義!$A:$A,A19,回路定義!$B:$B,P19)=0),"／回路2が定義にない","")&amp;IF(AND(S19&lt;&gt;"",COUNTIFS(回路定義!$A:$A,A19,回路定義!$B:$B,S19)=0),"／回路3が定義にない",""),2,300)))</f>
        <v/>
      </c>
    </row>
    <row r="20">
      <c r="A20" s="5" t="inlineStr">
        <is>
          <t>E24-S8-1</t>
        </is>
      </c>
      <c r="B20" s="5" t="inlineStr">
        <is>
          <t>前面</t>
        </is>
      </c>
      <c r="C20" s="5" t="n">
        <v>21</v>
      </c>
      <c r="D20" s="5" t="n">
        <v>1</v>
      </c>
      <c r="E20" s="6">
        <f>IF(C20="","",C20+D20-1)</f>
        <v/>
      </c>
      <c r="F20" s="5" t="inlineStr">
        <is>
          <t>XC660</t>
        </is>
      </c>
      <c r="G20" s="5" t="inlineStr">
        <is>
          <t>H2401560</t>
        </is>
      </c>
      <c r="H20" s="5" t="inlineStr"/>
      <c r="I20" s="5" t="inlineStr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inlineStr"/>
      <c r="W20" s="5" t="inlineStr"/>
      <c r="X20" s="5" t="inlineStr"/>
      <c r="Y20" s="6">
        <f>COUNT(N20,Q20,T20)</f>
        <v/>
      </c>
      <c r="Z20" s="6">
        <f>IF(OR(K20="",NOT(ISNUMBER(K20))),"",K20*SUM(N20,Q20,T20))</f>
        <v/>
      </c>
      <c r="AA20" s="6">
        <f>IF(OR(Y20=0,N20=""),"",N20/Y20)</f>
        <v/>
      </c>
      <c r="AB20" s="6">
        <f>IF(OR(Y20=0,Q20=""),"",Q20/Y20)</f>
        <v/>
      </c>
      <c r="AC20" s="6">
        <f>IF(OR(Y20=0,T20=""),"",T20/Y20)</f>
        <v/>
      </c>
      <c r="AD20" s="6">
        <f>IF(F20="","",IF((IF(AND(Y20=0,NOT(SUMPRODUCT(--ISNUMBER(SEARCH({"棚板","棚","アングル","ｱﾝｸﾞﾙ","使用不可","ケーブル","ｹｰﾌﾞﾙ","PatchPnael","パッチ","引き出し","引出","ブランク","ﾌﾞﾗﾝｸ","マネージ","ﾏﾈｰｼﾞ","PDU","ONU"},$F20&amp;"")))&gt;0),NOT(SUMPRODUCT(--ISNUMBER(SEARCH({"電源オフ","未投入","停止","未使用","撤去"},$X20&amp;"")))&gt;0)),"／電力が未記入","")&amp;IF(AND(NOT(ISNUMBER(J20)),NOT(SUMPRODUCT(--ISNUMBER(SEARCH({"棚板","棚","アングル","ｱﾝｸﾞﾙ","使用不可","ケーブル","ｹｰﾌﾞﾙ","PatchPnael","パッチ","引き出し","引出","ブランク","ﾌﾞﾗﾝｸ","マネージ","ﾏﾈｰｼﾞ","PDU","ONU"},$F20&amp;"")))&gt;0)),"／重量が未記入","")&amp;IF(AND(K20&lt;&gt;"",NOT(ISNUMBER(K20))),"／電圧が数値でない","")&amp;IF(AND(N20&lt;&gt;"",NOT(ISNUMBER(N20))),"／電流が数値でない","")&amp;IF(AND(C20&lt;&gt;"",C20&lt;1),"／開始Uが1未満","")&amp;IF(AND(E20&lt;&gt;"",E20&gt;IFERROR(VLOOKUP(A20,ラック定義!$A:$B,2,FALSE),47)),"／総Uをはみ出す","")&amp;IF(AND(A20&lt;&gt;"",COUNTIF(ラック定義!$A:$A,A20)=0),"／ラックが定義にない","")&amp;IF(AND(SUMPRODUCT((機器台帳!$A$2:$A$400=$A20)*((機器台帳!$B$2:$B$400=$B20)+(機器台帳!$B$2:$B$400="両面")+($B20="両面")&gt;0)*(機器台帳!$C$2:$C$400&lt;=$C20+$D20-1)*(機器台帳!$C$2:$C$400+機器台帳!$D$2:$D$400-1&gt;=$C20)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&amp;"")))&gt;0)),"／同じUに他の機器(横並びなら正常)","")&amp;IF(AND(M20&lt;&gt;"",COUNTIFS(回路定義!$A:$A,A20,回路定義!$B:$B,M20)=0),"／回路1が定義にない","")&amp;IF(AND(P20&lt;&gt;"",COUNTIFS(回路定義!$A:$A,A20,回路定義!$B:$B,P20)=0),"／回路2が定義にない","")&amp;IF(AND(S20&lt;&gt;"",COUNTIFS(回路定義!$A:$A,A20,回路定義!$B:$B,S20)=0),"／回路3が定義にない",""))="","",MID(IF(AND(Y20=0,NOT(SUMPRODUCT(--ISNUMBER(SEARCH({"棚板","棚","アングル","ｱﾝｸﾞﾙ","使用不可","ケーブル","ｹｰﾌﾞﾙ","PatchPnael","パッチ","引き出し","引出","ブランク","ﾌﾞﾗﾝｸ","マネージ","ﾏﾈｰｼﾞ","PDU","ONU"},$F20&amp;"")))&gt;0),NOT(SUMPRODUCT(--ISNUMBER(SEARCH({"電源オフ","未投入","停止","未使用","撤去"},$X20&amp;"")))&gt;0)),"／電力が未記入","")&amp;IF(AND(NOT(ISNUMBER(J20)),NOT(SUMPRODUCT(--ISNUMBER(SEARCH({"棚板","棚","アングル","ｱﾝｸﾞﾙ","使用不可","ケーブル","ｹｰﾌﾞﾙ","PatchPnael","パッチ","引き出し","引出","ブランク","ﾌﾞﾗﾝｸ","マネージ","ﾏﾈｰｼﾞ","PDU","ONU"},$F20&amp;"")))&gt;0)),"／重量が未記入","")&amp;IF(AND(K20&lt;&gt;"",NOT(ISNUMBER(K20))),"／電圧が数値でない","")&amp;IF(AND(N20&lt;&gt;"",NOT(ISNUMBER(N20))),"／電流が数値でない","")&amp;IF(AND(C20&lt;&gt;"",C20&lt;1),"／開始Uが1未満","")&amp;IF(AND(E20&lt;&gt;"",E20&gt;IFERROR(VLOOKUP(A20,ラック定義!$A:$B,2,FALSE),47)),"／総Uをはみ出す","")&amp;IF(AND(A20&lt;&gt;"",COUNTIF(ラック定義!$A:$A,A20)=0),"／ラックが定義にない","")&amp;IF(AND(SUMPRODUCT((機器台帳!$A$2:$A$400=$A20)*((機器台帳!$B$2:$B$400=$B20)+(機器台帳!$B$2:$B$400="両面")+($B20="両面")&gt;0)*(機器台帳!$C$2:$C$400&lt;=$C20+$D20-1)*(機器台帳!$C$2:$C$400+機器台帳!$D$2:$D$400-1&gt;=$C20)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&amp;"")))&gt;0)),"／同じUに他の機器(横並びなら正常)","")&amp;IF(AND(M20&lt;&gt;"",COUNTIFS(回路定義!$A:$A,A20,回路定義!$B:$B,M20)=0),"／回路1が定義にない","")&amp;IF(AND(P20&lt;&gt;"",COUNTIFS(回路定義!$A:$A,A20,回路定義!$B:$B,P20)=0),"／回路2が定義にない","")&amp;IF(AND(S20&lt;&gt;"",COUNTIFS(回路定義!$A:$A,A20,回路定義!$B:$B,S20)=0),"／回路3が定義にない",""),2,300)))</f>
        <v/>
      </c>
    </row>
    <row r="21">
      <c r="A21" s="5" t="inlineStr">
        <is>
          <t>E24-S8-1</t>
        </is>
      </c>
      <c r="B21" s="5" t="inlineStr">
        <is>
          <t>背面</t>
        </is>
      </c>
      <c r="C21" s="5" t="n">
        <v>18</v>
      </c>
      <c r="D21" s="5" t="n">
        <v>2</v>
      </c>
      <c r="E21" s="6">
        <f>IF(C21="","",C21+D21-1)</f>
        <v/>
      </c>
      <c r="F21" s="5" t="inlineStr">
        <is>
          <t>Huawei CE8860-4C-EI</t>
        </is>
      </c>
      <c r="G21" s="5" t="inlineStr">
        <is>
          <t>H1703067</t>
        </is>
      </c>
      <c r="H21" s="5" t="inlineStr"/>
      <c r="I21" s="5" t="inlineStr">
        <is>
          <t>SW</t>
        </is>
      </c>
      <c r="J21" s="5" t="n">
        <v>10</v>
      </c>
      <c r="K21" s="5" t="n">
        <v>200</v>
      </c>
      <c r="L21" s="5" t="n">
        <v>2</v>
      </c>
      <c r="M21" s="5" t="inlineStr">
        <is>
          <t>200V 30A （1）</t>
        </is>
      </c>
      <c r="N21" s="5" t="n">
        <v>2</v>
      </c>
      <c r="O21" s="5" t="n">
        <v>2</v>
      </c>
      <c r="P21" s="5" t="n"/>
      <c r="Q21" s="5" t="n"/>
      <c r="R21" s="5" t="n"/>
      <c r="S21" s="5" t="n"/>
      <c r="T21" s="5" t="n"/>
      <c r="U21" s="5" t="n"/>
      <c r="V21" s="5" t="inlineStr"/>
      <c r="W21" s="5" t="inlineStr"/>
      <c r="X21" s="5" t="inlineStr"/>
      <c r="Y21" s="6">
        <f>COUNT(N21,Q21,T21)</f>
        <v/>
      </c>
      <c r="Z21" s="6">
        <f>IF(OR(K21="",NOT(ISNUMBER(K21))),"",K21*SUM(N21,Q21,T21))</f>
        <v/>
      </c>
      <c r="AA21" s="6">
        <f>IF(OR(Y21=0,N21=""),"",N21/Y21)</f>
        <v/>
      </c>
      <c r="AB21" s="6">
        <f>IF(OR(Y21=0,Q21=""),"",Q21/Y21)</f>
        <v/>
      </c>
      <c r="AC21" s="6">
        <f>IF(OR(Y21=0,T21=""),"",T21/Y21)</f>
        <v/>
      </c>
      <c r="AD21" s="6">
        <f>IF(F21="","",IF((IF(AND(Y21=0,NOT(SUMPRODUCT(--ISNUMBER(SEARCH({"棚板","棚","アングル","ｱﾝｸﾞﾙ","使用不可","ケーブル","ｹｰﾌﾞﾙ","PatchPnael","パッチ","引き出し","引出","ブランク","ﾌﾞﾗﾝｸ","マネージ","ﾏﾈｰｼﾞ","PDU","ONU"},$F21&amp;"")))&gt;0),NOT(SUMPRODUCT(--ISNUMBER(SEARCH({"電源オフ","未投入","停止","未使用","撤去"},$X21&amp;"")))&gt;0)),"／電力が未記入","")&amp;IF(AND(NOT(ISNUMBER(J21)),NOT(SUMPRODUCT(--ISNUMBER(SEARCH({"棚板","棚","アングル","ｱﾝｸﾞﾙ","使用不可","ケーブル","ｹｰﾌﾞﾙ","PatchPnael","パッチ","引き出し","引出","ブランク","ﾌﾞﾗﾝｸ","マネージ","ﾏﾈｰｼﾞ","PDU","ONU"},$F21&amp;"")))&gt;0)),"／重量が未記入","")&amp;IF(AND(K21&lt;&gt;"",NOT(ISNUMBER(K21))),"／電圧が数値でない","")&amp;IF(AND(N21&lt;&gt;"",NOT(ISNUMBER(N21))),"／電流が数値でない","")&amp;IF(AND(C21&lt;&gt;"",C21&lt;1),"／開始Uが1未満","")&amp;IF(AND(E21&lt;&gt;"",E21&gt;IFERROR(VLOOKUP(A21,ラック定義!$A:$B,2,FALSE),47)),"／総Uをはみ出す","")&amp;IF(AND(A21&lt;&gt;"",COUNTIF(ラック定義!$A:$A,A21)=0),"／ラックが定義にない","")&amp;IF(AND(SUMPRODUCT((機器台帳!$A$2:$A$400=$A21)*((機器台帳!$B$2:$B$400=$B21)+(機器台帳!$B$2:$B$400="両面")+($B21="両面")&gt;0)*(機器台帳!$C$2:$C$400&lt;=$C21+$D21-1)*(機器台帳!$C$2:$C$400+機器台帳!$D$2:$D$400-1&gt;=$C21)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&amp;"")))&gt;0)),"／同じUに他の機器(横並びなら正常)","")&amp;IF(AND(M21&lt;&gt;"",COUNTIFS(回路定義!$A:$A,A21,回路定義!$B:$B,M21)=0),"／回路1が定義にない","")&amp;IF(AND(P21&lt;&gt;"",COUNTIFS(回路定義!$A:$A,A21,回路定義!$B:$B,P21)=0),"／回路2が定義にない","")&amp;IF(AND(S21&lt;&gt;"",COUNTIFS(回路定義!$A:$A,A21,回路定義!$B:$B,S21)=0),"／回路3が定義にない",""))="","",MID(IF(AND(Y21=0,NOT(SUMPRODUCT(--ISNUMBER(SEARCH({"棚板","棚","アングル","ｱﾝｸﾞﾙ","使用不可","ケーブル","ｹｰﾌﾞﾙ","PatchPnael","パッチ","引き出し","引出","ブランク","ﾌﾞﾗﾝｸ","マネージ","ﾏﾈｰｼﾞ","PDU","ONU"},$F21&amp;"")))&gt;0),NOT(SUMPRODUCT(--ISNUMBER(SEARCH({"電源オフ","未投入","停止","未使用","撤去"},$X21&amp;"")))&gt;0)),"／電力が未記入","")&amp;IF(AND(NOT(ISNUMBER(J21)),NOT(SUMPRODUCT(--ISNUMBER(SEARCH({"棚板","棚","アングル","ｱﾝｸﾞﾙ","使用不可","ケーブル","ｹｰﾌﾞﾙ","PatchPnael","パッチ","引き出し","引出","ブランク","ﾌﾞﾗﾝｸ","マネージ","ﾏﾈｰｼﾞ","PDU","ONU"},$F21&amp;"")))&gt;0)),"／重量が未記入","")&amp;IF(AND(K21&lt;&gt;"",NOT(ISNUMBER(K21))),"／電圧が数値でない","")&amp;IF(AND(N21&lt;&gt;"",NOT(ISNUMBER(N21))),"／電流が数値でない","")&amp;IF(AND(C21&lt;&gt;"",C21&lt;1),"／開始Uが1未満","")&amp;IF(AND(E21&lt;&gt;"",E21&gt;IFERROR(VLOOKUP(A21,ラック定義!$A:$B,2,FALSE),47)),"／総Uをはみ出す","")&amp;IF(AND(A21&lt;&gt;"",COUNTIF(ラック定義!$A:$A,A21)=0),"／ラックが定義にない","")&amp;IF(AND(SUMPRODUCT((機器台帳!$A$2:$A$400=$A21)*((機器台帳!$B$2:$B$400=$B21)+(機器台帳!$B$2:$B$400="両面")+($B21="両面")&gt;0)*(機器台帳!$C$2:$C$400&lt;=$C21+$D21-1)*(機器台帳!$C$2:$C$400+機器台帳!$D$2:$D$400-1&gt;=$C21)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&amp;"")))&gt;0)),"／同じUに他の機器(横並びなら正常)","")&amp;IF(AND(M21&lt;&gt;"",COUNTIFS(回路定義!$A:$A,A21,回路定義!$B:$B,M21)=0),"／回路1が定義にない","")&amp;IF(AND(P21&lt;&gt;"",COUNTIFS(回路定義!$A:$A,A21,回路定義!$B:$B,P21)=0),"／回路2が定義にない","")&amp;IF(AND(S21&lt;&gt;"",COUNTIFS(回路定義!$A:$A,A21,回路定義!$B:$B,S21)=0),"／回路3が定義にない",""),2,300)))</f>
        <v/>
      </c>
    </row>
    <row r="22">
      <c r="A22" s="5" t="inlineStr">
        <is>
          <t>E24-S8-2</t>
        </is>
      </c>
      <c r="B22" s="5" t="inlineStr">
        <is>
          <t>両面</t>
        </is>
      </c>
      <c r="C22" s="5" t="n">
        <v>28</v>
      </c>
      <c r="D22" s="5" t="n">
        <v>1</v>
      </c>
      <c r="E22" s="6">
        <f>IF(C22="","",C22+D22-1)</f>
        <v/>
      </c>
      <c r="F22" s="5" t="inlineStr">
        <is>
          <t>HPE DX360-2</t>
        </is>
      </c>
      <c r="G22" s="5" t="inlineStr">
        <is>
          <t>H1914272</t>
        </is>
      </c>
      <c r="H22" s="5" t="inlineStr">
        <is>
          <t>Nutanix</t>
        </is>
      </c>
      <c r="I22" s="5" t="inlineStr">
        <is>
          <t>Server</t>
        </is>
      </c>
      <c r="J22" s="5" t="n">
        <v>10</v>
      </c>
      <c r="K22" s="5" t="n">
        <v>200</v>
      </c>
      <c r="L22" s="5" t="n">
        <v>2</v>
      </c>
      <c r="M22" s="5" t="inlineStr">
        <is>
          <t>200V 30A （1）</t>
        </is>
      </c>
      <c r="N22" s="5" t="n">
        <v>1.5</v>
      </c>
      <c r="O22" s="5" t="n">
        <v>2</v>
      </c>
      <c r="P22" s="5" t="n"/>
      <c r="Q22" s="5" t="n"/>
      <c r="R22" s="5" t="n"/>
      <c r="S22" s="5" t="n"/>
      <c r="T22" s="5" t="n"/>
      <c r="U22" s="5" t="n"/>
      <c r="V22" s="5" t="inlineStr">
        <is>
          <t>○</t>
        </is>
      </c>
      <c r="W22" s="5" t="inlineStr"/>
      <c r="X22" s="5" t="inlineStr"/>
      <c r="Y22" s="6">
        <f>COUNT(N22,Q22,T22)</f>
        <v/>
      </c>
      <c r="Z22" s="6">
        <f>IF(OR(K22="",NOT(ISNUMBER(K22))),"",K22*SUM(N22,Q22,T22))</f>
        <v/>
      </c>
      <c r="AA22" s="6">
        <f>IF(OR(Y22=0,N22=""),"",N22/Y22)</f>
        <v/>
      </c>
      <c r="AB22" s="6">
        <f>IF(OR(Y22=0,Q22=""),"",Q22/Y22)</f>
        <v/>
      </c>
      <c r="AC22" s="6">
        <f>IF(OR(Y22=0,T22=""),"",T22/Y22)</f>
        <v/>
      </c>
      <c r="AD22" s="6">
        <f>IF(F22="","",IF((IF(AND(Y22=0,NOT(SUMPRODUCT(--ISNUMBER(SEARCH({"棚板","棚","アングル","ｱﾝｸﾞﾙ","使用不可","ケーブル","ｹｰﾌﾞﾙ","PatchPnael","パッチ","引き出し","引出","ブランク","ﾌﾞﾗﾝｸ","マネージ","ﾏﾈｰｼﾞ","PDU","ONU"},$F22&amp;"")))&gt;0),NOT(SUMPRODUCT(--ISNUMBER(SEARCH({"電源オフ","未投入","停止","未使用","撤去"},$X22&amp;"")))&gt;0)),"／電力が未記入","")&amp;IF(AND(NOT(ISNUMBER(J22)),NOT(SUMPRODUCT(--ISNUMBER(SEARCH({"棚板","棚","アングル","ｱﾝｸﾞﾙ","使用不可","ケーブル","ｹｰﾌﾞﾙ","PatchPnael","パッチ","引き出し","引出","ブランク","ﾌﾞﾗﾝｸ","マネージ","ﾏﾈｰｼﾞ","PDU","ONU"},$F22&amp;"")))&gt;0)),"／重量が未記入","")&amp;IF(AND(K22&lt;&gt;"",NOT(ISNUMBER(K22))),"／電圧が数値でない","")&amp;IF(AND(N22&lt;&gt;"",NOT(ISNUMBER(N22))),"／電流が数値でない","")&amp;IF(AND(C22&lt;&gt;"",C22&lt;1),"／開始Uが1未満","")&amp;IF(AND(E22&lt;&gt;"",E22&gt;IFERROR(VLOOKUP(A22,ラック定義!$A:$B,2,FALSE),47)),"／総Uをはみ出す","")&amp;IF(AND(A22&lt;&gt;"",COUNTIF(ラック定義!$A:$A,A22)=0),"／ラックが定義にない","")&amp;IF(AND(SUMPRODUCT((機器台帳!$A$2:$A$400=$A22)*((機器台帳!$B$2:$B$400=$B22)+(機器台帳!$B$2:$B$400="両面")+($B22="両面")&gt;0)*(機器台帳!$C$2:$C$400&lt;=$C22+$D22-1)*(機器台帳!$C$2:$C$400+機器台帳!$D$2:$D$400-1&gt;=$C22)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&amp;"")))&gt;0)),"／同じUに他の機器(横並びなら正常)","")&amp;IF(AND(M22&lt;&gt;"",COUNTIFS(回路定義!$A:$A,A22,回路定義!$B:$B,M22)=0),"／回路1が定義にない","")&amp;IF(AND(P22&lt;&gt;"",COUNTIFS(回路定義!$A:$A,A22,回路定義!$B:$B,P22)=0),"／回路2が定義にない","")&amp;IF(AND(S22&lt;&gt;"",COUNTIFS(回路定義!$A:$A,A22,回路定義!$B:$B,S22)=0),"／回路3が定義にない",""))="","",MID(IF(AND(Y22=0,NOT(SUMPRODUCT(--ISNUMBER(SEARCH({"棚板","棚","アングル","ｱﾝｸﾞﾙ","使用不可","ケーブル","ｹｰﾌﾞﾙ","PatchPnael","パッチ","引き出し","引出","ブランク","ﾌﾞﾗﾝｸ","マネージ","ﾏﾈｰｼﾞ","PDU","ONU"},$F22&amp;"")))&gt;0),NOT(SUMPRODUCT(--ISNUMBER(SEARCH({"電源オフ","未投入","停止","未使用","撤去"},$X22&amp;"")))&gt;0)),"／電力が未記入","")&amp;IF(AND(NOT(ISNUMBER(J22)),NOT(SUMPRODUCT(--ISNUMBER(SEARCH({"棚板","棚","アングル","ｱﾝｸﾞﾙ","使用不可","ケーブル","ｹｰﾌﾞﾙ","PatchPnael","パッチ","引き出し","引出","ブランク","ﾌﾞﾗﾝｸ","マネージ","ﾏﾈｰｼﾞ","PDU","ONU"},$F22&amp;"")))&gt;0)),"／重量が未記入","")&amp;IF(AND(K22&lt;&gt;"",NOT(ISNUMBER(K22))),"／電圧が数値でない","")&amp;IF(AND(N22&lt;&gt;"",NOT(ISNUMBER(N22))),"／電流が数値でない","")&amp;IF(AND(C22&lt;&gt;"",C22&lt;1),"／開始Uが1未満","")&amp;IF(AND(E22&lt;&gt;"",E22&gt;IFERROR(VLOOKUP(A22,ラック定義!$A:$B,2,FALSE),47)),"／総Uをはみ出す","")&amp;IF(AND(A22&lt;&gt;"",COUNTIF(ラック定義!$A:$A,A22)=0),"／ラックが定義にない","")&amp;IF(AND(SUMPRODUCT((機器台帳!$A$2:$A$400=$A22)*((機器台帳!$B$2:$B$400=$B22)+(機器台帳!$B$2:$B$400="両面")+($B22="両面")&gt;0)*(機器台帳!$C$2:$C$400&lt;=$C22+$D22-1)*(機器台帳!$C$2:$C$400+機器台帳!$D$2:$D$400-1&gt;=$C22)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&amp;"")))&gt;0)),"／同じUに他の機器(横並びなら正常)","")&amp;IF(AND(M22&lt;&gt;"",COUNTIFS(回路定義!$A:$A,A22,回路定義!$B:$B,M22)=0),"／回路1が定義にない","")&amp;IF(AND(P22&lt;&gt;"",COUNTIFS(回路定義!$A:$A,A22,回路定義!$B:$B,P22)=0),"／回路2が定義にない","")&amp;IF(AND(S22&lt;&gt;"",COUNTIFS(回路定義!$A:$A,A22,回路定義!$B:$B,S22)=0),"／回路3が定義にない",""),2,300)))</f>
        <v/>
      </c>
    </row>
    <row r="23">
      <c r="A23" s="5" t="inlineStr">
        <is>
          <t>E24-S8-2</t>
        </is>
      </c>
      <c r="B23" s="5" t="inlineStr">
        <is>
          <t>両面</t>
        </is>
      </c>
      <c r="C23" s="5" t="n">
        <v>26</v>
      </c>
      <c r="D23" s="5" t="n">
        <v>1</v>
      </c>
      <c r="E23" s="6">
        <f>IF(C23="","",C23+D23-1)</f>
        <v/>
      </c>
      <c r="F23" s="5" t="inlineStr">
        <is>
          <t>HPE DX360-4</t>
        </is>
      </c>
      <c r="G23" s="5" t="inlineStr">
        <is>
          <t>H2008899</t>
        </is>
      </c>
      <c r="H23" s="5" t="inlineStr">
        <is>
          <t>Nutanix</t>
        </is>
      </c>
      <c r="I23" s="5" t="inlineStr">
        <is>
          <t>Server</t>
        </is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inlineStr">
        <is>
          <t>○</t>
        </is>
      </c>
      <c r="W23" s="5" t="inlineStr"/>
      <c r="X23" s="5" t="inlineStr"/>
      <c r="Y23" s="6">
        <f>COUNT(N23,Q23,T23)</f>
        <v/>
      </c>
      <c r="Z23" s="6">
        <f>IF(OR(K23="",NOT(ISNUMBER(K23))),"",K23*SUM(N23,Q23,T23))</f>
        <v/>
      </c>
      <c r="AA23" s="6">
        <f>IF(OR(Y23=0,N23=""),"",N23/Y23)</f>
        <v/>
      </c>
      <c r="AB23" s="6">
        <f>IF(OR(Y23=0,Q23=""),"",Q23/Y23)</f>
        <v/>
      </c>
      <c r="AC23" s="6">
        <f>IF(OR(Y23=0,T23=""),"",T23/Y23)</f>
        <v/>
      </c>
      <c r="AD23" s="6">
        <f>IF(F23="","",IF((IF(AND(Y23=0,NOT(SUMPRODUCT(--ISNUMBER(SEARCH({"棚板","棚","アングル","ｱﾝｸﾞﾙ","使用不可","ケーブル","ｹｰﾌﾞﾙ","PatchPnael","パッチ","引き出し","引出","ブランク","ﾌﾞﾗﾝｸ","マネージ","ﾏﾈｰｼﾞ","PDU","ONU"},$F23&amp;"")))&gt;0),NOT(SUMPRODUCT(--ISNUMBER(SEARCH({"電源オフ","未投入","停止","未使用","撤去"},$X23&amp;"")))&gt;0)),"／電力が未記入","")&amp;IF(AND(NOT(ISNUMBER(J23)),NOT(SUMPRODUCT(--ISNUMBER(SEARCH({"棚板","棚","アングル","ｱﾝｸﾞﾙ","使用不可","ケーブル","ｹｰﾌﾞﾙ","PatchPnael","パッチ","引き出し","引出","ブランク","ﾌﾞﾗﾝｸ","マネージ","ﾏﾈｰｼﾞ","PDU","ONU"},$F23&amp;"")))&gt;0)),"／重量が未記入","")&amp;IF(AND(K23&lt;&gt;"",NOT(ISNUMBER(K23))),"／電圧が数値でない","")&amp;IF(AND(N23&lt;&gt;"",NOT(ISNUMBER(N23))),"／電流が数値でない","")&amp;IF(AND(C23&lt;&gt;"",C23&lt;1),"／開始Uが1未満","")&amp;IF(AND(E23&lt;&gt;"",E23&gt;IFERROR(VLOOKUP(A23,ラック定義!$A:$B,2,FALSE),47)),"／総Uをはみ出す","")&amp;IF(AND(A23&lt;&gt;"",COUNTIF(ラック定義!$A:$A,A23)=0),"／ラックが定義にない","")&amp;IF(AND(SUMPRODUCT((機器台帳!$A$2:$A$400=$A23)*((機器台帳!$B$2:$B$400=$B23)+(機器台帳!$B$2:$B$400="両面")+($B23="両面")&gt;0)*(機器台帳!$C$2:$C$400&lt;=$C23+$D23-1)*(機器台帳!$C$2:$C$400+機器台帳!$D$2:$D$400-1&gt;=$C23)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&amp;"")))&gt;0)),"／同じUに他の機器(横並びなら正常)","")&amp;IF(AND(M23&lt;&gt;"",COUNTIFS(回路定義!$A:$A,A23,回路定義!$B:$B,M23)=0),"／回路1が定義にない","")&amp;IF(AND(P23&lt;&gt;"",COUNTIFS(回路定義!$A:$A,A23,回路定義!$B:$B,P23)=0),"／回路2が定義にない","")&amp;IF(AND(S23&lt;&gt;"",COUNTIFS(回路定義!$A:$A,A23,回路定義!$B:$B,S23)=0),"／回路3が定義にない",""))="","",MID(IF(AND(Y23=0,NOT(SUMPRODUCT(--ISNUMBER(SEARCH({"棚板","棚","アングル","ｱﾝｸﾞﾙ","使用不可","ケーブル","ｹｰﾌﾞﾙ","PatchPnael","パッチ","引き出し","引出","ブランク","ﾌﾞﾗﾝｸ","マネージ","ﾏﾈｰｼﾞ","PDU","ONU"},$F23&amp;"")))&gt;0),NOT(SUMPRODUCT(--ISNUMBER(SEARCH({"電源オフ","未投入","停止","未使用","撤去"},$X23&amp;"")))&gt;0)),"／電力が未記入","")&amp;IF(AND(NOT(ISNUMBER(J23)),NOT(SUMPRODUCT(--ISNUMBER(SEARCH({"棚板","棚","アングル","ｱﾝｸﾞﾙ","使用不可","ケーブル","ｹｰﾌﾞﾙ","PatchPnael","パッチ","引き出し","引出","ブランク","ﾌﾞﾗﾝｸ","マネージ","ﾏﾈｰｼﾞ","PDU","ONU"},$F23&amp;"")))&gt;0)),"／重量が未記入","")&amp;IF(AND(K23&lt;&gt;"",NOT(ISNUMBER(K23))),"／電圧が数値でない","")&amp;IF(AND(N23&lt;&gt;"",NOT(ISNUMBER(N23))),"／電流が数値でない","")&amp;IF(AND(C23&lt;&gt;"",C23&lt;1),"／開始Uが1未満","")&amp;IF(AND(E23&lt;&gt;"",E23&gt;IFERROR(VLOOKUP(A23,ラック定義!$A:$B,2,FALSE),47)),"／総Uをはみ出す","")&amp;IF(AND(A23&lt;&gt;"",COUNTIF(ラック定義!$A:$A,A23)=0),"／ラックが定義にない","")&amp;IF(AND(SUMPRODUCT((機器台帳!$A$2:$A$400=$A23)*((機器台帳!$B$2:$B$400=$B23)+(機器台帳!$B$2:$B$400="両面")+($B23="両面")&gt;0)*(機器台帳!$C$2:$C$400&lt;=$C23+$D23-1)*(機器台帳!$C$2:$C$400+機器台帳!$D$2:$D$400-1&gt;=$C23)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&amp;"")))&gt;0)),"／同じUに他の機器(横並びなら正常)","")&amp;IF(AND(M23&lt;&gt;"",COUNTIFS(回路定義!$A:$A,A23,回路定義!$B:$B,M23)=0),"／回路1が定義にない","")&amp;IF(AND(P23&lt;&gt;"",COUNTIFS(回路定義!$A:$A,A23,回路定義!$B:$B,P23)=0),"／回路2が定義にない","")&amp;IF(AND(S23&lt;&gt;"",COUNTIFS(回路定義!$A:$A,A23,回路定義!$B:$B,S23)=0),"／回路3が定義にない",""),2,300)))</f>
        <v/>
      </c>
    </row>
    <row r="24">
      <c r="A24" s="5" t="inlineStr">
        <is>
          <t>E24-S8-2</t>
        </is>
      </c>
      <c r="B24" s="5" t="inlineStr">
        <is>
          <t>両面</t>
        </is>
      </c>
      <c r="C24" s="5" t="n">
        <v>22</v>
      </c>
      <c r="D24" s="5" t="n">
        <v>1</v>
      </c>
      <c r="E24" s="6">
        <f>IF(C24="","",C24+D24-1)</f>
        <v/>
      </c>
      <c r="F24" s="5" t="inlineStr">
        <is>
          <t>Huawei server (?)</t>
        </is>
      </c>
      <c r="G24" s="5" t="inlineStr"/>
      <c r="H24" s="5" t="inlineStr"/>
      <c r="I24" s="5" t="inlineStr">
        <is>
          <t>Server</t>
        </is>
      </c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inlineStr">
        <is>
          <t>○</t>
        </is>
      </c>
      <c r="W24" s="5" t="inlineStr"/>
      <c r="X24" s="5" t="inlineStr"/>
      <c r="Y24" s="6">
        <f>COUNT(N24,Q24,T24)</f>
        <v/>
      </c>
      <c r="Z24" s="6">
        <f>IF(OR(K24="",NOT(ISNUMBER(K24))),"",K24*SUM(N24,Q24,T24))</f>
        <v/>
      </c>
      <c r="AA24" s="6">
        <f>IF(OR(Y24=0,N24=""),"",N24/Y24)</f>
        <v/>
      </c>
      <c r="AB24" s="6">
        <f>IF(OR(Y24=0,Q24=""),"",Q24/Y24)</f>
        <v/>
      </c>
      <c r="AC24" s="6">
        <f>IF(OR(Y24=0,T24=""),"",T24/Y24)</f>
        <v/>
      </c>
      <c r="AD24" s="6">
        <f>IF(F24="","",IF((IF(AND(Y24=0,NOT(SUMPRODUCT(--ISNUMBER(SEARCH({"棚板","棚","アングル","ｱﾝｸﾞﾙ","使用不可","ケーブル","ｹｰﾌﾞﾙ","PatchPnael","パッチ","引き出し","引出","ブランク","ﾌﾞﾗﾝｸ","マネージ","ﾏﾈｰｼﾞ","PDU","ONU"},$F24&amp;"")))&gt;0),NOT(SUMPRODUCT(--ISNUMBER(SEARCH({"電源オフ","未投入","停止","未使用","撤去"},$X24&amp;"")))&gt;0)),"／電力が未記入","")&amp;IF(AND(NOT(ISNUMBER(J24)),NOT(SUMPRODUCT(--ISNUMBER(SEARCH({"棚板","棚","アングル","ｱﾝｸﾞﾙ","使用不可","ケーブル","ｹｰﾌﾞﾙ","PatchPnael","パッチ","引き出し","引出","ブランク","ﾌﾞﾗﾝｸ","マネージ","ﾏﾈｰｼﾞ","PDU","ONU"},$F24&amp;"")))&gt;0)),"／重量が未記入","")&amp;IF(AND(K24&lt;&gt;"",NOT(ISNUMBER(K24))),"／電圧が数値でない","")&amp;IF(AND(N24&lt;&gt;"",NOT(ISNUMBER(N24))),"／電流が数値でない","")&amp;IF(AND(C24&lt;&gt;"",C24&lt;1),"／開始Uが1未満","")&amp;IF(AND(E24&lt;&gt;"",E24&gt;IFERROR(VLOOKUP(A24,ラック定義!$A:$B,2,FALSE),47)),"／総Uをはみ出す","")&amp;IF(AND(A24&lt;&gt;"",COUNTIF(ラック定義!$A:$A,A24)=0),"／ラックが定義にない","")&amp;IF(AND(SUMPRODUCT((機器台帳!$A$2:$A$400=$A24)*((機器台帳!$B$2:$B$400=$B24)+(機器台帳!$B$2:$B$400="両面")+($B24="両面")&gt;0)*(機器台帳!$C$2:$C$400&lt;=$C24+$D24-1)*(機器台帳!$C$2:$C$400+機器台帳!$D$2:$D$400-1&gt;=$C24)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&amp;"")))&gt;0)),"／同じUに他の機器(横並びなら正常)","")&amp;IF(AND(M24&lt;&gt;"",COUNTIFS(回路定義!$A:$A,A24,回路定義!$B:$B,M24)=0),"／回路1が定義にない","")&amp;IF(AND(P24&lt;&gt;"",COUNTIFS(回路定義!$A:$A,A24,回路定義!$B:$B,P24)=0),"／回路2が定義にない","")&amp;IF(AND(S24&lt;&gt;"",COUNTIFS(回路定義!$A:$A,A24,回路定義!$B:$B,S24)=0),"／回路3が定義にない",""))="","",MID(IF(AND(Y24=0,NOT(SUMPRODUCT(--ISNUMBER(SEARCH({"棚板","棚","アングル","ｱﾝｸﾞﾙ","使用不可","ケーブル","ｹｰﾌﾞﾙ","PatchPnael","パッチ","引き出し","引出","ブランク","ﾌﾞﾗﾝｸ","マネージ","ﾏﾈｰｼﾞ","PDU","ONU"},$F24&amp;"")))&gt;0),NOT(SUMPRODUCT(--ISNUMBER(SEARCH({"電源オフ","未投入","停止","未使用","撤去"},$X24&amp;"")))&gt;0)),"／電力が未記入","")&amp;IF(AND(NOT(ISNUMBER(J24)),NOT(SUMPRODUCT(--ISNUMBER(SEARCH({"棚板","棚","アングル","ｱﾝｸﾞﾙ","使用不可","ケーブル","ｹｰﾌﾞﾙ","PatchPnael","パッチ","引き出し","引出","ブランク","ﾌﾞﾗﾝｸ","マネージ","ﾏﾈｰｼﾞ","PDU","ONU"},$F24&amp;"")))&gt;0)),"／重量が未記入","")&amp;IF(AND(K24&lt;&gt;"",NOT(ISNUMBER(K24))),"／電圧が数値でない","")&amp;IF(AND(N24&lt;&gt;"",NOT(ISNUMBER(N24))),"／電流が数値でない","")&amp;IF(AND(C24&lt;&gt;"",C24&lt;1),"／開始Uが1未満","")&amp;IF(AND(E24&lt;&gt;"",E24&gt;IFERROR(VLOOKUP(A24,ラック定義!$A:$B,2,FALSE),47)),"／総Uをはみ出す","")&amp;IF(AND(A24&lt;&gt;"",COUNTIF(ラック定義!$A:$A,A24)=0),"／ラックが定義にない","")&amp;IF(AND(SUMPRODUCT((機器台帳!$A$2:$A$400=$A24)*((機器台帳!$B$2:$B$400=$B24)+(機器台帳!$B$2:$B$400="両面")+($B24="両面")&gt;0)*(機器台帳!$C$2:$C$400&lt;=$C24+$D24-1)*(機器台帳!$C$2:$C$400+機器台帳!$D$2:$D$400-1&gt;=$C24)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&amp;"")))&gt;0)),"／同じUに他の機器(横並びなら正常)","")&amp;IF(AND(M24&lt;&gt;"",COUNTIFS(回路定義!$A:$A,A24,回路定義!$B:$B,M24)=0),"／回路1が定義にない","")&amp;IF(AND(P24&lt;&gt;"",COUNTIFS(回路定義!$A:$A,A24,回路定義!$B:$B,P24)=0),"／回路2が定義にない","")&amp;IF(AND(S24&lt;&gt;"",COUNTIFS(回路定義!$A:$A,A24,回路定義!$B:$B,S24)=0),"／回路3が定義にない",""),2,300)))</f>
        <v/>
      </c>
    </row>
    <row r="25">
      <c r="A25" s="5" t="inlineStr">
        <is>
          <t>E24-S8-2</t>
        </is>
      </c>
      <c r="B25" s="5" t="inlineStr">
        <is>
          <t>両面</t>
        </is>
      </c>
      <c r="C25" s="5" t="n">
        <v>16</v>
      </c>
      <c r="D25" s="5" t="n">
        <v>1</v>
      </c>
      <c r="E25" s="6">
        <f>IF(C25="","",C25+D25-1)</f>
        <v/>
      </c>
      <c r="F25" s="5" t="inlineStr">
        <is>
          <t>Dell S4148T-4</t>
        </is>
      </c>
      <c r="G25" s="5" t="inlineStr">
        <is>
          <t>H2005296</t>
        </is>
      </c>
      <c r="H25" s="5" t="inlineStr"/>
      <c r="I25" s="5" t="inlineStr">
        <is>
          <t>SW</t>
        </is>
      </c>
      <c r="J25" s="5" t="n">
        <v>4.5</v>
      </c>
      <c r="K25" s="5" t="n">
        <v>100</v>
      </c>
      <c r="L25" s="5" t="n">
        <v>2</v>
      </c>
      <c r="M25" s="5" t="inlineStr">
        <is>
          <t>100V 20A （1）</t>
        </is>
      </c>
      <c r="N25" s="5" t="n">
        <v>0.5</v>
      </c>
      <c r="O25" s="5" t="n">
        <v>1</v>
      </c>
      <c r="P25" s="5" t="inlineStr">
        <is>
          <t>100V 20A （2）</t>
        </is>
      </c>
      <c r="Q25" s="5" t="n">
        <v>0.5</v>
      </c>
      <c r="R25" s="5" t="n">
        <v>1</v>
      </c>
      <c r="S25" s="5" t="n"/>
      <c r="T25" s="5" t="n"/>
      <c r="U25" s="5" t="n"/>
      <c r="V25" s="5" t="inlineStr">
        <is>
          <t>○</t>
        </is>
      </c>
      <c r="W25" s="5" t="inlineStr"/>
      <c r="X25" s="5" t="inlineStr"/>
      <c r="Y25" s="6">
        <f>COUNT(N25,Q25,T25)</f>
        <v/>
      </c>
      <c r="Z25" s="6">
        <f>IF(OR(K25="",NOT(ISNUMBER(K25))),"",K25*SUM(N25,Q25,T25))</f>
        <v/>
      </c>
      <c r="AA25" s="6">
        <f>IF(OR(Y25=0,N25=""),"",N25/Y25)</f>
        <v/>
      </c>
      <c r="AB25" s="6">
        <f>IF(OR(Y25=0,Q25=""),"",Q25/Y25)</f>
        <v/>
      </c>
      <c r="AC25" s="6">
        <f>IF(OR(Y25=0,T25=""),"",T25/Y25)</f>
        <v/>
      </c>
      <c r="AD25" s="6">
        <f>IF(F25="","",IF((IF(AND(Y25=0,NOT(SUMPRODUCT(--ISNUMBER(SEARCH({"棚板","棚","アングル","ｱﾝｸﾞﾙ","使用不可","ケーブル","ｹｰﾌﾞﾙ","PatchPnael","パッチ","引き出し","引出","ブランク","ﾌﾞﾗﾝｸ","マネージ","ﾏﾈｰｼﾞ","PDU","ONU"},$F25&amp;"")))&gt;0),NOT(SUMPRODUCT(--ISNUMBER(SEARCH({"電源オフ","未投入","停止","未使用","撤去"},$X25&amp;"")))&gt;0)),"／電力が未記入","")&amp;IF(AND(NOT(ISNUMBER(J25)),NOT(SUMPRODUCT(--ISNUMBER(SEARCH({"棚板","棚","アングル","ｱﾝｸﾞﾙ","使用不可","ケーブル","ｹｰﾌﾞﾙ","PatchPnael","パッチ","引き出し","引出","ブランク","ﾌﾞﾗﾝｸ","マネージ","ﾏﾈｰｼﾞ","PDU","ONU"},$F25&amp;"")))&gt;0)),"／重量が未記入","")&amp;IF(AND(K25&lt;&gt;"",NOT(ISNUMBER(K25))),"／電圧が数値でない","")&amp;IF(AND(N25&lt;&gt;"",NOT(ISNUMBER(N25))),"／電流が数値でない","")&amp;IF(AND(C25&lt;&gt;"",C25&lt;1),"／開始Uが1未満","")&amp;IF(AND(E25&lt;&gt;"",E25&gt;IFERROR(VLOOKUP(A25,ラック定義!$A:$B,2,FALSE),47)),"／総Uをはみ出す","")&amp;IF(AND(A25&lt;&gt;"",COUNTIF(ラック定義!$A:$A,A25)=0),"／ラックが定義にない","")&amp;IF(AND(SUMPRODUCT((機器台帳!$A$2:$A$400=$A25)*((機器台帳!$B$2:$B$400=$B25)+(機器台帳!$B$2:$B$400="両面")+($B25="両面")&gt;0)*(機器台帳!$C$2:$C$400&lt;=$C25+$D25-1)*(機器台帳!$C$2:$C$400+機器台帳!$D$2:$D$400-1&gt;=$C25)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&amp;"")))&gt;0)),"／同じUに他の機器(横並びなら正常)","")&amp;IF(AND(M25&lt;&gt;"",COUNTIFS(回路定義!$A:$A,A25,回路定義!$B:$B,M25)=0),"／回路1が定義にない","")&amp;IF(AND(P25&lt;&gt;"",COUNTIFS(回路定義!$A:$A,A25,回路定義!$B:$B,P25)=0),"／回路2が定義にない","")&amp;IF(AND(S25&lt;&gt;"",COUNTIFS(回路定義!$A:$A,A25,回路定義!$B:$B,S25)=0),"／回路3が定義にない",""))="","",MID(IF(AND(Y25=0,NOT(SUMPRODUCT(--ISNUMBER(SEARCH({"棚板","棚","アングル","ｱﾝｸﾞﾙ","使用不可","ケーブル","ｹｰﾌﾞﾙ","PatchPnael","パッチ","引き出し","引出","ブランク","ﾌﾞﾗﾝｸ","マネージ","ﾏﾈｰｼﾞ","PDU","ONU"},$F25&amp;"")))&gt;0),NOT(SUMPRODUCT(--ISNUMBER(SEARCH({"電源オフ","未投入","停止","未使用","撤去"},$X25&amp;"")))&gt;0)),"／電力が未記入","")&amp;IF(AND(NOT(ISNUMBER(J25)),NOT(SUMPRODUCT(--ISNUMBER(SEARCH({"棚板","棚","アングル","ｱﾝｸﾞﾙ","使用不可","ケーブル","ｹｰﾌﾞﾙ","PatchPnael","パッチ","引き出し","引出","ブランク","ﾌﾞﾗﾝｸ","マネージ","ﾏﾈｰｼﾞ","PDU","ONU"},$F25&amp;"")))&gt;0)),"／重量が未記入","")&amp;IF(AND(K25&lt;&gt;"",NOT(ISNUMBER(K25))),"／電圧が数値でない","")&amp;IF(AND(N25&lt;&gt;"",NOT(ISNUMBER(N25))),"／電流が数値でない","")&amp;IF(AND(C25&lt;&gt;"",C25&lt;1),"／開始Uが1未満","")&amp;IF(AND(E25&lt;&gt;"",E25&gt;IFERROR(VLOOKUP(A25,ラック定義!$A:$B,2,FALSE),47)),"／総Uをはみ出す","")&amp;IF(AND(A25&lt;&gt;"",COUNTIF(ラック定義!$A:$A,A25)=0),"／ラックが定義にない","")&amp;IF(AND(SUMPRODUCT((機器台帳!$A$2:$A$400=$A25)*((機器台帳!$B$2:$B$400=$B25)+(機器台帳!$B$2:$B$400="両面")+($B25="両面")&gt;0)*(機器台帳!$C$2:$C$400&lt;=$C25+$D25-1)*(機器台帳!$C$2:$C$400+機器台帳!$D$2:$D$400-1&gt;=$C25)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&amp;"")))&gt;0)),"／同じUに他の機器(横並びなら正常)","")&amp;IF(AND(M25&lt;&gt;"",COUNTIFS(回路定義!$A:$A,A25,回路定義!$B:$B,M25)=0),"／回路1が定義にない","")&amp;IF(AND(P25&lt;&gt;"",COUNTIFS(回路定義!$A:$A,A25,回路定義!$B:$B,P25)=0),"／回路2が定義にない","")&amp;IF(AND(S25&lt;&gt;"",COUNTIFS(回路定義!$A:$A,A25,回路定義!$B:$B,S25)=0),"／回路3が定義にない",""),2,300)))</f>
        <v/>
      </c>
    </row>
    <row r="26">
      <c r="A26" s="5" t="inlineStr">
        <is>
          <t>E24-S8-2</t>
        </is>
      </c>
      <c r="B26" s="5" t="inlineStr">
        <is>
          <t>両面</t>
        </is>
      </c>
      <c r="C26" s="5" t="n">
        <v>16</v>
      </c>
      <c r="D26" s="5" t="n">
        <v>1</v>
      </c>
      <c r="E26" s="6">
        <f>IF(C26="","",C26+D26-1)</f>
        <v/>
      </c>
      <c r="F26" s="5" t="inlineStr">
        <is>
          <t>Dell S4148T-3</t>
        </is>
      </c>
      <c r="G26" s="5" t="inlineStr">
        <is>
          <t>H2005295</t>
        </is>
      </c>
      <c r="H26" s="5" t="inlineStr"/>
      <c r="I26" s="5" t="inlineStr">
        <is>
          <t>SW</t>
        </is>
      </c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inlineStr">
        <is>
          <t>○</t>
        </is>
      </c>
      <c r="W26" s="5" t="inlineStr"/>
      <c r="X26" s="5" t="inlineStr"/>
      <c r="Y26" s="6">
        <f>COUNT(N26,Q26,T26)</f>
        <v/>
      </c>
      <c r="Z26" s="6">
        <f>IF(OR(K26="",NOT(ISNUMBER(K26))),"",K26*SUM(N26,Q26,T26))</f>
        <v/>
      </c>
      <c r="AA26" s="6">
        <f>IF(OR(Y26=0,N26=""),"",N26/Y26)</f>
        <v/>
      </c>
      <c r="AB26" s="6">
        <f>IF(OR(Y26=0,Q26=""),"",Q26/Y26)</f>
        <v/>
      </c>
      <c r="AC26" s="6">
        <f>IF(OR(Y26=0,T26=""),"",T26/Y26)</f>
        <v/>
      </c>
      <c r="AD26" s="6">
        <f>IF(F26="","",IF((IF(AND(Y26=0,NOT(SUMPRODUCT(--ISNUMBER(SEARCH({"棚板","棚","アングル","ｱﾝｸﾞﾙ","使用不可","ケーブル","ｹｰﾌﾞﾙ","PatchPnael","パッチ","引き出し","引出","ブランク","ﾌﾞﾗﾝｸ","マネージ","ﾏﾈｰｼﾞ","PDU","ONU"},$F26&amp;"")))&gt;0),NOT(SUMPRODUCT(--ISNUMBER(SEARCH({"電源オフ","未投入","停止","未使用","撤去"},$X26&amp;"")))&gt;0)),"／電力が未記入","")&amp;IF(AND(NOT(ISNUMBER(J26)),NOT(SUMPRODUCT(--ISNUMBER(SEARCH({"棚板","棚","アングル","ｱﾝｸﾞﾙ","使用不可","ケーブル","ｹｰﾌﾞﾙ","PatchPnael","パッチ","引き出し","引出","ブランク","ﾌﾞﾗﾝｸ","マネージ","ﾏﾈｰｼﾞ","PDU","ONU"},$F26&amp;"")))&gt;0)),"／重量が未記入","")&amp;IF(AND(K26&lt;&gt;"",NOT(ISNUMBER(K26))),"／電圧が数値でない","")&amp;IF(AND(N26&lt;&gt;"",NOT(ISNUMBER(N26))),"／電流が数値でない","")&amp;IF(AND(C26&lt;&gt;"",C26&lt;1),"／開始Uが1未満","")&amp;IF(AND(E26&lt;&gt;"",E26&gt;IFERROR(VLOOKUP(A26,ラック定義!$A:$B,2,FALSE),47)),"／総Uをはみ出す","")&amp;IF(AND(A26&lt;&gt;"",COUNTIF(ラック定義!$A:$A,A26)=0),"／ラックが定義にない","")&amp;IF(AND(SUMPRODUCT((機器台帳!$A$2:$A$400=$A26)*((機器台帳!$B$2:$B$400=$B26)+(機器台帳!$B$2:$B$400="両面")+($B26="両面")&gt;0)*(機器台帳!$C$2:$C$400&lt;=$C26+$D26-1)*(機器台帳!$C$2:$C$400+機器台帳!$D$2:$D$400-1&gt;=$C26)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&amp;"")))&gt;0)),"／同じUに他の機器(横並びなら正常)","")&amp;IF(AND(M26&lt;&gt;"",COUNTIFS(回路定義!$A:$A,A26,回路定義!$B:$B,M26)=0),"／回路1が定義にない","")&amp;IF(AND(P26&lt;&gt;"",COUNTIFS(回路定義!$A:$A,A26,回路定義!$B:$B,P26)=0),"／回路2が定義にない","")&amp;IF(AND(S26&lt;&gt;"",COUNTIFS(回路定義!$A:$A,A26,回路定義!$B:$B,S26)=0),"／回路3が定義にない",""))="","",MID(IF(AND(Y26=0,NOT(SUMPRODUCT(--ISNUMBER(SEARCH({"棚板","棚","アングル","ｱﾝｸﾞﾙ","使用不可","ケーブル","ｹｰﾌﾞﾙ","PatchPnael","パッチ","引き出し","引出","ブランク","ﾌﾞﾗﾝｸ","マネージ","ﾏﾈｰｼﾞ","PDU","ONU"},$F26&amp;"")))&gt;0),NOT(SUMPRODUCT(--ISNUMBER(SEARCH({"電源オフ","未投入","停止","未使用","撤去"},$X26&amp;"")))&gt;0)),"／電力が未記入","")&amp;IF(AND(NOT(ISNUMBER(J26)),NOT(SUMPRODUCT(--ISNUMBER(SEARCH({"棚板","棚","アングル","ｱﾝｸﾞﾙ","使用不可","ケーブル","ｹｰﾌﾞﾙ","PatchPnael","パッチ","引き出し","引出","ブランク","ﾌﾞﾗﾝｸ","マネージ","ﾏﾈｰｼﾞ","PDU","ONU"},$F26&amp;"")))&gt;0)),"／重量が未記入","")&amp;IF(AND(K26&lt;&gt;"",NOT(ISNUMBER(K26))),"／電圧が数値でない","")&amp;IF(AND(N26&lt;&gt;"",NOT(ISNUMBER(N26))),"／電流が数値でない","")&amp;IF(AND(C26&lt;&gt;"",C26&lt;1),"／開始Uが1未満","")&amp;IF(AND(E26&lt;&gt;"",E26&gt;IFERROR(VLOOKUP(A26,ラック定義!$A:$B,2,FALSE),47)),"／総Uをはみ出す","")&amp;IF(AND(A26&lt;&gt;"",COUNTIF(ラック定義!$A:$A,A26)=0),"／ラックが定義にない","")&amp;IF(AND(SUMPRODUCT((機器台帳!$A$2:$A$400=$A26)*((機器台帳!$B$2:$B$400=$B26)+(機器台帳!$B$2:$B$400="両面")+($B26="両面")&gt;0)*(機器台帳!$C$2:$C$400&lt;=$C26+$D26-1)*(機器台帳!$C$2:$C$400+機器台帳!$D$2:$D$400-1&gt;=$C26)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&amp;"")))&gt;0)),"／同じUに他の機器(横並びなら正常)","")&amp;IF(AND(M26&lt;&gt;"",COUNTIFS(回路定義!$A:$A,A26,回路定義!$B:$B,M26)=0),"／回路1が定義にない","")&amp;IF(AND(P26&lt;&gt;"",COUNTIFS(回路定義!$A:$A,A26,回路定義!$B:$B,P26)=0),"／回路2が定義にない","")&amp;IF(AND(S26&lt;&gt;"",COUNTIFS(回路定義!$A:$A,A26,回路定義!$B:$B,S26)=0),"／回路3が定義にない",""),2,300)))</f>
        <v/>
      </c>
    </row>
    <row r="27">
      <c r="A27" s="5" t="inlineStr">
        <is>
          <t>E24-S8-2</t>
        </is>
      </c>
      <c r="B27" s="5" t="inlineStr">
        <is>
          <t>両面</t>
        </is>
      </c>
      <c r="C27" s="5" t="n">
        <v>4</v>
      </c>
      <c r="D27" s="5" t="n">
        <v>2</v>
      </c>
      <c r="E27" s="6">
        <f>IF(C27="","",C27+D27-1)</f>
        <v/>
      </c>
      <c r="F27" s="5" t="inlineStr">
        <is>
          <t>200V Rack PDU</t>
        </is>
      </c>
      <c r="G27" s="5" t="inlineStr">
        <is>
          <t>H1918631</t>
        </is>
      </c>
      <c r="H27" s="5" t="inlineStr"/>
      <c r="I27" s="5" t="inlineStr"/>
      <c r="J27" s="5" t="n">
        <v>10</v>
      </c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inlineStr">
        <is>
          <t>前留</t>
        </is>
      </c>
      <c r="W27" s="5" t="inlineStr"/>
      <c r="X27" s="5" t="inlineStr">
        <is>
          <t>L6-30R * 1回路×1口</t>
        </is>
      </c>
      <c r="Y27" s="6">
        <f>COUNT(N27,Q27,T27)</f>
        <v/>
      </c>
      <c r="Z27" s="6">
        <f>IF(OR(K27="",NOT(ISNUMBER(K27))),"",K27*SUM(N27,Q27,T27))</f>
        <v/>
      </c>
      <c r="AA27" s="6">
        <f>IF(OR(Y27=0,N27=""),"",N27/Y27)</f>
        <v/>
      </c>
      <c r="AB27" s="6">
        <f>IF(OR(Y27=0,Q27=""),"",Q27/Y27)</f>
        <v/>
      </c>
      <c r="AC27" s="6">
        <f>IF(OR(Y27=0,T27=""),"",T27/Y27)</f>
        <v/>
      </c>
      <c r="AD27" s="6">
        <f>IF(F27="","",IF((IF(AND(Y27=0,NOT(SUMPRODUCT(--ISNUMBER(SEARCH({"棚板","棚","アングル","ｱﾝｸﾞﾙ","使用不可","ケーブル","ｹｰﾌﾞﾙ","PatchPnael","パッチ","引き出し","引出","ブランク","ﾌﾞﾗﾝｸ","マネージ","ﾏﾈｰｼﾞ","PDU","ONU"},$F27&amp;"")))&gt;0),NOT(SUMPRODUCT(--ISNUMBER(SEARCH({"電源オフ","未投入","停止","未使用","撤去"},$X27&amp;"")))&gt;0)),"／電力が未記入","")&amp;IF(AND(NOT(ISNUMBER(J27)),NOT(SUMPRODUCT(--ISNUMBER(SEARCH({"棚板","棚","アングル","ｱﾝｸﾞﾙ","使用不可","ケーブル","ｹｰﾌﾞﾙ","PatchPnael","パッチ","引き出し","引出","ブランク","ﾌﾞﾗﾝｸ","マネージ","ﾏﾈｰｼﾞ","PDU","ONU"},$F27&amp;"")))&gt;0)),"／重量が未記入","")&amp;IF(AND(K27&lt;&gt;"",NOT(ISNUMBER(K27))),"／電圧が数値でない","")&amp;IF(AND(N27&lt;&gt;"",NOT(ISNUMBER(N27))),"／電流が数値でない","")&amp;IF(AND(C27&lt;&gt;"",C27&lt;1),"／開始Uが1未満","")&amp;IF(AND(E27&lt;&gt;"",E27&gt;IFERROR(VLOOKUP(A27,ラック定義!$A:$B,2,FALSE),47)),"／総Uをはみ出す","")&amp;IF(AND(A27&lt;&gt;"",COUNTIF(ラック定義!$A:$A,A27)=0),"／ラックが定義にない","")&amp;IF(AND(SUMPRODUCT((機器台帳!$A$2:$A$400=$A27)*((機器台帳!$B$2:$B$400=$B27)+(機器台帳!$B$2:$B$400="両面")+($B27="両面")&gt;0)*(機器台帳!$C$2:$C$400&lt;=$C27+$D27-1)*(機器台帳!$C$2:$C$400+機器台帳!$D$2:$D$400-1&gt;=$C27)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&amp;"")))&gt;0)),"／同じUに他の機器(横並びなら正常)","")&amp;IF(AND(M27&lt;&gt;"",COUNTIFS(回路定義!$A:$A,A27,回路定義!$B:$B,M27)=0),"／回路1が定義にない","")&amp;IF(AND(P27&lt;&gt;"",COUNTIFS(回路定義!$A:$A,A27,回路定義!$B:$B,P27)=0),"／回路2が定義にない","")&amp;IF(AND(S27&lt;&gt;"",COUNTIFS(回路定義!$A:$A,A27,回路定義!$B:$B,S27)=0),"／回路3が定義にない",""))="","",MID(IF(AND(Y27=0,NOT(SUMPRODUCT(--ISNUMBER(SEARCH({"棚板","棚","アングル","ｱﾝｸﾞﾙ","使用不可","ケーブル","ｹｰﾌﾞﾙ","PatchPnael","パッチ","引き出し","引出","ブランク","ﾌﾞﾗﾝｸ","マネージ","ﾏﾈｰｼﾞ","PDU","ONU"},$F27&amp;"")))&gt;0),NOT(SUMPRODUCT(--ISNUMBER(SEARCH({"電源オフ","未投入","停止","未使用","撤去"},$X27&amp;"")))&gt;0)),"／電力が未記入","")&amp;IF(AND(NOT(ISNUMBER(J27)),NOT(SUMPRODUCT(--ISNUMBER(SEARCH({"棚板","棚","アングル","ｱﾝｸﾞﾙ","使用不可","ケーブル","ｹｰﾌﾞﾙ","PatchPnael","パッチ","引き出し","引出","ブランク","ﾌﾞﾗﾝｸ","マネージ","ﾏﾈｰｼﾞ","PDU","ONU"},$F27&amp;"")))&gt;0)),"／重量が未記入","")&amp;IF(AND(K27&lt;&gt;"",NOT(ISNUMBER(K27))),"／電圧が数値でない","")&amp;IF(AND(N27&lt;&gt;"",NOT(ISNUMBER(N27))),"／電流が数値でない","")&amp;IF(AND(C27&lt;&gt;"",C27&lt;1),"／開始Uが1未満","")&amp;IF(AND(E27&lt;&gt;"",E27&gt;IFERROR(VLOOKUP(A27,ラック定義!$A:$B,2,FALSE),47)),"／総Uをはみ出す","")&amp;IF(AND(A27&lt;&gt;"",COUNTIF(ラック定義!$A:$A,A27)=0),"／ラックが定義にない","")&amp;IF(AND(SUMPRODUCT((機器台帳!$A$2:$A$400=$A27)*((機器台帳!$B$2:$B$400=$B27)+(機器台帳!$B$2:$B$400="両面")+($B27="両面")&gt;0)*(機器台帳!$C$2:$C$400&lt;=$C27+$D27-1)*(機器台帳!$C$2:$C$400+機器台帳!$D$2:$D$400-1&gt;=$C27)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&amp;"")))&gt;0)),"／同じUに他の機器(横並びなら正常)","")&amp;IF(AND(M27&lt;&gt;"",COUNTIFS(回路定義!$A:$A,A27,回路定義!$B:$B,M27)=0),"／回路1が定義にない","")&amp;IF(AND(P27&lt;&gt;"",COUNTIFS(回路定義!$A:$A,A27,回路定義!$B:$B,P27)=0),"／回路2が定義にない","")&amp;IF(AND(S27&lt;&gt;"",COUNTIFS(回路定義!$A:$A,A27,回路定義!$B:$B,S27)=0),"／回路3が定義にない",""),2,300)))</f>
        <v/>
      </c>
    </row>
    <row r="28">
      <c r="A28" s="5" t="inlineStr">
        <is>
          <t>E24-S8-2</t>
        </is>
      </c>
      <c r="B28" s="5" t="inlineStr">
        <is>
          <t>両面</t>
        </is>
      </c>
      <c r="C28" s="5" t="n">
        <v>1</v>
      </c>
      <c r="D28" s="5" t="n">
        <v>3</v>
      </c>
      <c r="E28" s="6">
        <f>IF(C28="","",C28+D28-1)</f>
        <v/>
      </c>
      <c r="F28" s="5" t="inlineStr">
        <is>
          <t>使用不可</t>
        </is>
      </c>
      <c r="G28" s="5" t="inlineStr"/>
      <c r="H28" s="5" t="inlineStr"/>
      <c r="I28" s="5" t="inlineStr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inlineStr"/>
      <c r="W28" s="5" t="inlineStr"/>
      <c r="X28" s="5" t="inlineStr"/>
      <c r="Y28" s="6">
        <f>COUNT(N28,Q28,T28)</f>
        <v/>
      </c>
      <c r="Z28" s="6">
        <f>IF(OR(K28="",NOT(ISNUMBER(K28))),"",K28*SUM(N28,Q28,T28))</f>
        <v/>
      </c>
      <c r="AA28" s="6">
        <f>IF(OR(Y28=0,N28=""),"",N28/Y28)</f>
        <v/>
      </c>
      <c r="AB28" s="6">
        <f>IF(OR(Y28=0,Q28=""),"",Q28/Y28)</f>
        <v/>
      </c>
      <c r="AC28" s="6">
        <f>IF(OR(Y28=0,T28=""),"",T28/Y28)</f>
        <v/>
      </c>
      <c r="AD28" s="6">
        <f>IF(F28="","",IF((IF(AND(Y28=0,NOT(SUMPRODUCT(--ISNUMBER(SEARCH({"棚板","棚","アングル","ｱﾝｸﾞﾙ","使用不可","ケーブル","ｹｰﾌﾞﾙ","PatchPnael","パッチ","引き出し","引出","ブランク","ﾌﾞﾗﾝｸ","マネージ","ﾏﾈｰｼﾞ","PDU","ONU"},$F28&amp;"")))&gt;0),NOT(SUMPRODUCT(--ISNUMBER(SEARCH({"電源オフ","未投入","停止","未使用","撤去"},$X28&amp;"")))&gt;0)),"／電力が未記入","")&amp;IF(AND(NOT(ISNUMBER(J28)),NOT(SUMPRODUCT(--ISNUMBER(SEARCH({"棚板","棚","アングル","ｱﾝｸﾞﾙ","使用不可","ケーブル","ｹｰﾌﾞﾙ","PatchPnael","パッチ","引き出し","引出","ブランク","ﾌﾞﾗﾝｸ","マネージ","ﾏﾈｰｼﾞ","PDU","ONU"},$F28&amp;"")))&gt;0)),"／重量が未記入","")&amp;IF(AND(K28&lt;&gt;"",NOT(ISNUMBER(K28))),"／電圧が数値でない","")&amp;IF(AND(N28&lt;&gt;"",NOT(ISNUMBER(N28))),"／電流が数値でない","")&amp;IF(AND(C28&lt;&gt;"",C28&lt;1),"／開始Uが1未満","")&amp;IF(AND(E28&lt;&gt;"",E28&gt;IFERROR(VLOOKUP(A28,ラック定義!$A:$B,2,FALSE),47)),"／総Uをはみ出す","")&amp;IF(AND(A28&lt;&gt;"",COUNTIF(ラック定義!$A:$A,A28)=0),"／ラックが定義にない","")&amp;IF(AND(SUMPRODUCT((機器台帳!$A$2:$A$400=$A28)*((機器台帳!$B$2:$B$400=$B28)+(機器台帳!$B$2:$B$400="両面")+($B28="両面")&gt;0)*(機器台帳!$C$2:$C$400&lt;=$C28+$D28-1)*(機器台帳!$C$2:$C$400+機器台帳!$D$2:$D$400-1&gt;=$C28)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&amp;"")))&gt;0)),"／同じUに他の機器(横並びなら正常)","")&amp;IF(AND(M28&lt;&gt;"",COUNTIFS(回路定義!$A:$A,A28,回路定義!$B:$B,M28)=0),"／回路1が定義にない","")&amp;IF(AND(P28&lt;&gt;"",COUNTIFS(回路定義!$A:$A,A28,回路定義!$B:$B,P28)=0),"／回路2が定義にない","")&amp;IF(AND(S28&lt;&gt;"",COUNTIFS(回路定義!$A:$A,A28,回路定義!$B:$B,S28)=0),"／回路3が定義にない",""))="","",MID(IF(AND(Y28=0,NOT(SUMPRODUCT(--ISNUMBER(SEARCH({"棚板","棚","アングル","ｱﾝｸﾞﾙ","使用不可","ケーブル","ｹｰﾌﾞﾙ","PatchPnael","パッチ","引き出し","引出","ブランク","ﾌﾞﾗﾝｸ","マネージ","ﾏﾈｰｼﾞ","PDU","ONU"},$F28&amp;"")))&gt;0),NOT(SUMPRODUCT(--ISNUMBER(SEARCH({"電源オフ","未投入","停止","未使用","撤去"},$X28&amp;"")))&gt;0)),"／電力が未記入","")&amp;IF(AND(NOT(ISNUMBER(J28)),NOT(SUMPRODUCT(--ISNUMBER(SEARCH({"棚板","棚","アングル","ｱﾝｸﾞﾙ","使用不可","ケーブル","ｹｰﾌﾞﾙ","PatchPnael","パッチ","引き出し","引出","ブランク","ﾌﾞﾗﾝｸ","マネージ","ﾏﾈｰｼﾞ","PDU","ONU"},$F28&amp;"")))&gt;0)),"／重量が未記入","")&amp;IF(AND(K28&lt;&gt;"",NOT(ISNUMBER(K28))),"／電圧が数値でない","")&amp;IF(AND(N28&lt;&gt;"",NOT(ISNUMBER(N28))),"／電流が数値でない","")&amp;IF(AND(C28&lt;&gt;"",C28&lt;1),"／開始Uが1未満","")&amp;IF(AND(E28&lt;&gt;"",E28&gt;IFERROR(VLOOKUP(A28,ラック定義!$A:$B,2,FALSE),47)),"／総Uをはみ出す","")&amp;IF(AND(A28&lt;&gt;"",COUNTIF(ラック定義!$A:$A,A28)=0),"／ラックが定義にない","")&amp;IF(AND(SUMPRODUCT((機器台帳!$A$2:$A$400=$A28)*((機器台帳!$B$2:$B$400=$B28)+(機器台帳!$B$2:$B$400="両面")+($B28="両面")&gt;0)*(機器台帳!$C$2:$C$400&lt;=$C28+$D28-1)*(機器台帳!$C$2:$C$400+機器台帳!$D$2:$D$400-1&gt;=$C28)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&amp;"")))&gt;0)),"／同じUに他の機器(横並びなら正常)","")&amp;IF(AND(M28&lt;&gt;"",COUNTIFS(回路定義!$A:$A,A28,回路定義!$B:$B,M28)=0),"／回路1が定義にない","")&amp;IF(AND(P28&lt;&gt;"",COUNTIFS(回路定義!$A:$A,A28,回路定義!$B:$B,P28)=0),"／回路2が定義にない","")&amp;IF(AND(S28&lt;&gt;"",COUNTIFS(回路定義!$A:$A,A28,回路定義!$B:$B,S28)=0),"／回路3が定義にない",""),2,300)))</f>
        <v/>
      </c>
    </row>
    <row r="29">
      <c r="A29" s="5" t="inlineStr">
        <is>
          <t>E24-S8-2</t>
        </is>
      </c>
      <c r="B29" s="5" t="inlineStr">
        <is>
          <t>前面</t>
        </is>
      </c>
      <c r="C29" s="5" t="n">
        <v>47</v>
      </c>
      <c r="D29" s="5" t="n">
        <v>1</v>
      </c>
      <c r="E29" s="6">
        <f>IF(C29="","",C29+D29-1)</f>
        <v/>
      </c>
      <c r="F29" s="5" t="inlineStr">
        <is>
          <t>ｹｰﾌﾞﾙﾏﾈｰｼﾞﾒﾝﾄ</t>
        </is>
      </c>
      <c r="G29" s="5" t="inlineStr"/>
      <c r="H29" s="5" t="inlineStr"/>
      <c r="I29" s="5" t="inlineStr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inlineStr"/>
      <c r="W29" s="5" t="inlineStr"/>
      <c r="X29" s="5" t="inlineStr"/>
      <c r="Y29" s="6">
        <f>COUNT(N29,Q29,T29)</f>
        <v/>
      </c>
      <c r="Z29" s="6">
        <f>IF(OR(K29="",NOT(ISNUMBER(K29))),"",K29*SUM(N29,Q29,T29))</f>
        <v/>
      </c>
      <c r="AA29" s="6">
        <f>IF(OR(Y29=0,N29=""),"",N29/Y29)</f>
        <v/>
      </c>
      <c r="AB29" s="6">
        <f>IF(OR(Y29=0,Q29=""),"",Q29/Y29)</f>
        <v/>
      </c>
      <c r="AC29" s="6">
        <f>IF(OR(Y29=0,T29=""),"",T29/Y29)</f>
        <v/>
      </c>
      <c r="AD29" s="6">
        <f>IF(F29="","",IF((IF(AND(Y29=0,NOT(SUMPRODUCT(--ISNUMBER(SEARCH({"棚板","棚","アングル","ｱﾝｸﾞﾙ","使用不可","ケーブル","ｹｰﾌﾞﾙ","PatchPnael","パッチ","引き出し","引出","ブランク","ﾌﾞﾗﾝｸ","マネージ","ﾏﾈｰｼﾞ","PDU","ONU"},$F29&amp;"")))&gt;0),NOT(SUMPRODUCT(--ISNUMBER(SEARCH({"電源オフ","未投入","停止","未使用","撤去"},$X29&amp;"")))&gt;0)),"／電力が未記入","")&amp;IF(AND(NOT(ISNUMBER(J29)),NOT(SUMPRODUCT(--ISNUMBER(SEARCH({"棚板","棚","アングル","ｱﾝｸﾞﾙ","使用不可","ケーブル","ｹｰﾌﾞﾙ","PatchPnael","パッチ","引き出し","引出","ブランク","ﾌﾞﾗﾝｸ","マネージ","ﾏﾈｰｼﾞ","PDU","ONU"},$F29&amp;"")))&gt;0)),"／重量が未記入","")&amp;IF(AND(K29&lt;&gt;"",NOT(ISNUMBER(K29))),"／電圧が数値でない","")&amp;IF(AND(N29&lt;&gt;"",NOT(ISNUMBER(N29))),"／電流が数値でない","")&amp;IF(AND(C29&lt;&gt;"",C29&lt;1),"／開始Uが1未満","")&amp;IF(AND(E29&lt;&gt;"",E29&gt;IFERROR(VLOOKUP(A29,ラック定義!$A:$B,2,FALSE),47)),"／総Uをはみ出す","")&amp;IF(AND(A29&lt;&gt;"",COUNTIF(ラック定義!$A:$A,A29)=0),"／ラックが定義にない","")&amp;IF(AND(SUMPRODUCT((機器台帳!$A$2:$A$400=$A29)*((機器台帳!$B$2:$B$400=$B29)+(機器台帳!$B$2:$B$400="両面")+($B29="両面")&gt;0)*(機器台帳!$C$2:$C$400&lt;=$C29+$D29-1)*(機器台帳!$C$2:$C$400+機器台帳!$D$2:$D$400-1&gt;=$C29)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&amp;"")))&gt;0)),"／同じUに他の機器(横並びなら正常)","")&amp;IF(AND(M29&lt;&gt;"",COUNTIFS(回路定義!$A:$A,A29,回路定義!$B:$B,M29)=0),"／回路1が定義にない","")&amp;IF(AND(P29&lt;&gt;"",COUNTIFS(回路定義!$A:$A,A29,回路定義!$B:$B,P29)=0),"／回路2が定義にない","")&amp;IF(AND(S29&lt;&gt;"",COUNTIFS(回路定義!$A:$A,A29,回路定義!$B:$B,S29)=0),"／回路3が定義にない",""))="","",MID(IF(AND(Y29=0,NOT(SUMPRODUCT(--ISNUMBER(SEARCH({"棚板","棚","アングル","ｱﾝｸﾞﾙ","使用不可","ケーブル","ｹｰﾌﾞﾙ","PatchPnael","パッチ","引き出し","引出","ブランク","ﾌﾞﾗﾝｸ","マネージ","ﾏﾈｰｼﾞ","PDU","ONU"},$F29&amp;"")))&gt;0),NOT(SUMPRODUCT(--ISNUMBER(SEARCH({"電源オフ","未投入","停止","未使用","撤去"},$X29&amp;"")))&gt;0)),"／電力が未記入","")&amp;IF(AND(NOT(ISNUMBER(J29)),NOT(SUMPRODUCT(--ISNUMBER(SEARCH({"棚板","棚","アングル","ｱﾝｸﾞﾙ","使用不可","ケーブル","ｹｰﾌﾞﾙ","PatchPnael","パッチ","引き出し","引出","ブランク","ﾌﾞﾗﾝｸ","マネージ","ﾏﾈｰｼﾞ","PDU","ONU"},$F29&amp;"")))&gt;0)),"／重量が未記入","")&amp;IF(AND(K29&lt;&gt;"",NOT(ISNUMBER(K29))),"／電圧が数値でない","")&amp;IF(AND(N29&lt;&gt;"",NOT(ISNUMBER(N29))),"／電流が数値でない","")&amp;IF(AND(C29&lt;&gt;"",C29&lt;1),"／開始Uが1未満","")&amp;IF(AND(E29&lt;&gt;"",E29&gt;IFERROR(VLOOKUP(A29,ラック定義!$A:$B,2,FALSE),47)),"／総Uをはみ出す","")&amp;IF(AND(A29&lt;&gt;"",COUNTIF(ラック定義!$A:$A,A29)=0),"／ラックが定義にない","")&amp;IF(AND(SUMPRODUCT((機器台帳!$A$2:$A$400=$A29)*((機器台帳!$B$2:$B$400=$B29)+(機器台帳!$B$2:$B$400="両面")+($B29="両面")&gt;0)*(機器台帳!$C$2:$C$400&lt;=$C29+$D29-1)*(機器台帳!$C$2:$C$400+機器台帳!$D$2:$D$400-1&gt;=$C29)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&amp;"")))&gt;0)),"／同じUに他の機器(横並びなら正常)","")&amp;IF(AND(M29&lt;&gt;"",COUNTIFS(回路定義!$A:$A,A29,回路定義!$B:$B,M29)=0),"／回路1が定義にない","")&amp;IF(AND(P29&lt;&gt;"",COUNTIFS(回路定義!$A:$A,A29,回路定義!$B:$B,P29)=0),"／回路2が定義にない","")&amp;IF(AND(S29&lt;&gt;"",COUNTIFS(回路定義!$A:$A,A29,回路定義!$B:$B,S29)=0),"／回路3が定義にない",""),2,300)))</f>
        <v/>
      </c>
    </row>
    <row r="30">
      <c r="A30" s="5" t="inlineStr">
        <is>
          <t>E24-S8-2</t>
        </is>
      </c>
      <c r="B30" s="5" t="inlineStr">
        <is>
          <t>背面</t>
        </is>
      </c>
      <c r="C30" s="5" t="n">
        <v>47</v>
      </c>
      <c r="D30" s="5" t="n">
        <v>1</v>
      </c>
      <c r="E30" s="6">
        <f>IF(C30="","",C30+D30-1)</f>
        <v/>
      </c>
      <c r="F30" s="5" t="inlineStr">
        <is>
          <t>ｹｰﾌﾞﾙﾏﾈｰｼﾞﾒﾝﾄ（背面）</t>
        </is>
      </c>
      <c r="G30" s="5" t="inlineStr"/>
      <c r="H30" s="5" t="inlineStr"/>
      <c r="I30" s="5" t="inlineStr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inlineStr"/>
      <c r="W30" s="5" t="inlineStr"/>
      <c r="X30" s="5" t="inlineStr"/>
      <c r="Y30" s="6">
        <f>COUNT(N30,Q30,T30)</f>
        <v/>
      </c>
      <c r="Z30" s="6">
        <f>IF(OR(K30="",NOT(ISNUMBER(K30))),"",K30*SUM(N30,Q30,T30))</f>
        <v/>
      </c>
      <c r="AA30" s="6">
        <f>IF(OR(Y30=0,N30=""),"",N30/Y30)</f>
        <v/>
      </c>
      <c r="AB30" s="6">
        <f>IF(OR(Y30=0,Q30=""),"",Q30/Y30)</f>
        <v/>
      </c>
      <c r="AC30" s="6">
        <f>IF(OR(Y30=0,T30=""),"",T30/Y30)</f>
        <v/>
      </c>
      <c r="AD30" s="6">
        <f>IF(F30="","",IF((IF(AND(Y30=0,NOT(SUMPRODUCT(--ISNUMBER(SEARCH({"棚板","棚","アングル","ｱﾝｸﾞﾙ","使用不可","ケーブル","ｹｰﾌﾞﾙ","PatchPnael","パッチ","引き出し","引出","ブランク","ﾌﾞﾗﾝｸ","マネージ","ﾏﾈｰｼﾞ","PDU","ONU"},$F30&amp;"")))&gt;0),NOT(SUMPRODUCT(--ISNUMBER(SEARCH({"電源オフ","未投入","停止","未使用","撤去"},$X30&amp;"")))&gt;0)),"／電力が未記入","")&amp;IF(AND(NOT(ISNUMBER(J30)),NOT(SUMPRODUCT(--ISNUMBER(SEARCH({"棚板","棚","アングル","ｱﾝｸﾞﾙ","使用不可","ケーブル","ｹｰﾌﾞﾙ","PatchPnael","パッチ","引き出し","引出","ブランク","ﾌﾞﾗﾝｸ","マネージ","ﾏﾈｰｼﾞ","PDU","ONU"},$F30&amp;"")))&gt;0)),"／重量が未記入","")&amp;IF(AND(K30&lt;&gt;"",NOT(ISNUMBER(K30))),"／電圧が数値でない","")&amp;IF(AND(N30&lt;&gt;"",NOT(ISNUMBER(N30))),"／電流が数値でない","")&amp;IF(AND(C30&lt;&gt;"",C30&lt;1),"／開始Uが1未満","")&amp;IF(AND(E30&lt;&gt;"",E30&gt;IFERROR(VLOOKUP(A30,ラック定義!$A:$B,2,FALSE),47)),"／総Uをはみ出す","")&amp;IF(AND(A30&lt;&gt;"",COUNTIF(ラック定義!$A:$A,A30)=0),"／ラックが定義にない","")&amp;IF(AND(SUMPRODUCT((機器台帳!$A$2:$A$400=$A30)*((機器台帳!$B$2:$B$400=$B30)+(機器台帳!$B$2:$B$400="両面")+($B30="両面")&gt;0)*(機器台帳!$C$2:$C$400&lt;=$C30+$D30-1)*(機器台帳!$C$2:$C$400+機器台帳!$D$2:$D$400-1&gt;=$C30)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&amp;"")))&gt;0)),"／同じUに他の機器(横並びなら正常)","")&amp;IF(AND(M30&lt;&gt;"",COUNTIFS(回路定義!$A:$A,A30,回路定義!$B:$B,M30)=0),"／回路1が定義にない","")&amp;IF(AND(P30&lt;&gt;"",COUNTIFS(回路定義!$A:$A,A30,回路定義!$B:$B,P30)=0),"／回路2が定義にない","")&amp;IF(AND(S30&lt;&gt;"",COUNTIFS(回路定義!$A:$A,A30,回路定義!$B:$B,S30)=0),"／回路3が定義にない",""))="","",MID(IF(AND(Y30=0,NOT(SUMPRODUCT(--ISNUMBER(SEARCH({"棚板","棚","アングル","ｱﾝｸﾞﾙ","使用不可","ケーブル","ｹｰﾌﾞﾙ","PatchPnael","パッチ","引き出し","引出","ブランク","ﾌﾞﾗﾝｸ","マネージ","ﾏﾈｰｼﾞ","PDU","ONU"},$F30&amp;"")))&gt;0),NOT(SUMPRODUCT(--ISNUMBER(SEARCH({"電源オフ","未投入","停止","未使用","撤去"},$X30&amp;"")))&gt;0)),"／電力が未記入","")&amp;IF(AND(NOT(ISNUMBER(J30)),NOT(SUMPRODUCT(--ISNUMBER(SEARCH({"棚板","棚","アングル","ｱﾝｸﾞﾙ","使用不可","ケーブル","ｹｰﾌﾞﾙ","PatchPnael","パッチ","引き出し","引出","ブランク","ﾌﾞﾗﾝｸ","マネージ","ﾏﾈｰｼﾞ","PDU","ONU"},$F30&amp;"")))&gt;0)),"／重量が未記入","")&amp;IF(AND(K30&lt;&gt;"",NOT(ISNUMBER(K30))),"／電圧が数値でない","")&amp;IF(AND(N30&lt;&gt;"",NOT(ISNUMBER(N30))),"／電流が数値でない","")&amp;IF(AND(C30&lt;&gt;"",C30&lt;1),"／開始Uが1未満","")&amp;IF(AND(E30&lt;&gt;"",E30&gt;IFERROR(VLOOKUP(A30,ラック定義!$A:$B,2,FALSE),47)),"／総Uをはみ出す","")&amp;IF(AND(A30&lt;&gt;"",COUNTIF(ラック定義!$A:$A,A30)=0),"／ラックが定義にない","")&amp;IF(AND(SUMPRODUCT((機器台帳!$A$2:$A$400=$A30)*((機器台帳!$B$2:$B$400=$B30)+(機器台帳!$B$2:$B$400="両面")+($B30="両面")&gt;0)*(機器台帳!$C$2:$C$400&lt;=$C30+$D30-1)*(機器台帳!$C$2:$C$400+機器台帳!$D$2:$D$400-1&gt;=$C30)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&amp;"")))&gt;0)),"／同じUに他の機器(横並びなら正常)","")&amp;IF(AND(M30&lt;&gt;"",COUNTIFS(回路定義!$A:$A,A30,回路定義!$B:$B,M30)=0),"／回路1が定義にない","")&amp;IF(AND(P30&lt;&gt;"",COUNTIFS(回路定義!$A:$A,A30,回路定義!$B:$B,P30)=0),"／回路2が定義にない","")&amp;IF(AND(S30&lt;&gt;"",COUNTIFS(回路定義!$A:$A,A30,回路定義!$B:$B,S30)=0),"／回路3が定義にない",""),2,300)))</f>
        <v/>
      </c>
    </row>
    <row r="31">
      <c r="A31" s="5" t="inlineStr">
        <is>
          <t>E24-S8-2</t>
        </is>
      </c>
      <c r="B31" s="5" t="inlineStr">
        <is>
          <t>前面</t>
        </is>
      </c>
      <c r="C31" s="5" t="n">
        <v>46</v>
      </c>
      <c r="D31" s="5" t="n">
        <v>1</v>
      </c>
      <c r="E31" s="6">
        <f>IF(C31="","",C31+D31-1)</f>
        <v/>
      </c>
      <c r="F31" s="5" t="inlineStr">
        <is>
          <t>UTP 12port PatchPnael(前面)</t>
        </is>
      </c>
      <c r="G31" s="5" t="inlineStr"/>
      <c r="H31" s="5" t="inlineStr"/>
      <c r="I31" s="5" t="inlineStr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inlineStr"/>
      <c r="W31" s="5" t="inlineStr"/>
      <c r="X31" s="5" t="inlineStr"/>
      <c r="Y31" s="6">
        <f>COUNT(N31,Q31,T31)</f>
        <v/>
      </c>
      <c r="Z31" s="6">
        <f>IF(OR(K31="",NOT(ISNUMBER(K31))),"",K31*SUM(N31,Q31,T31))</f>
        <v/>
      </c>
      <c r="AA31" s="6">
        <f>IF(OR(Y31=0,N31=""),"",N31/Y31)</f>
        <v/>
      </c>
      <c r="AB31" s="6">
        <f>IF(OR(Y31=0,Q31=""),"",Q31/Y31)</f>
        <v/>
      </c>
      <c r="AC31" s="6">
        <f>IF(OR(Y31=0,T31=""),"",T31/Y31)</f>
        <v/>
      </c>
      <c r="AD31" s="6">
        <f>IF(F31="","",IF((IF(AND(Y31=0,NOT(SUMPRODUCT(--ISNUMBER(SEARCH({"棚板","棚","アングル","ｱﾝｸﾞﾙ","使用不可","ケーブル","ｹｰﾌﾞﾙ","PatchPnael","パッチ","引き出し","引出","ブランク","ﾌﾞﾗﾝｸ","マネージ","ﾏﾈｰｼﾞ","PDU","ONU"},$F31&amp;"")))&gt;0),NOT(SUMPRODUCT(--ISNUMBER(SEARCH({"電源オフ","未投入","停止","未使用","撤去"},$X31&amp;"")))&gt;0)),"／電力が未記入","")&amp;IF(AND(NOT(ISNUMBER(J31)),NOT(SUMPRODUCT(--ISNUMBER(SEARCH({"棚板","棚","アングル","ｱﾝｸﾞﾙ","使用不可","ケーブル","ｹｰﾌﾞﾙ","PatchPnael","パッチ","引き出し","引出","ブランク","ﾌﾞﾗﾝｸ","マネージ","ﾏﾈｰｼﾞ","PDU","ONU"},$F31&amp;"")))&gt;0)),"／重量が未記入","")&amp;IF(AND(K31&lt;&gt;"",NOT(ISNUMBER(K31))),"／電圧が数値でない","")&amp;IF(AND(N31&lt;&gt;"",NOT(ISNUMBER(N31))),"／電流が数値でない","")&amp;IF(AND(C31&lt;&gt;"",C31&lt;1),"／開始Uが1未満","")&amp;IF(AND(E31&lt;&gt;"",E31&gt;IFERROR(VLOOKUP(A31,ラック定義!$A:$B,2,FALSE),47)),"／総Uをはみ出す","")&amp;IF(AND(A31&lt;&gt;"",COUNTIF(ラック定義!$A:$A,A31)=0),"／ラックが定義にない","")&amp;IF(AND(SUMPRODUCT((機器台帳!$A$2:$A$400=$A31)*((機器台帳!$B$2:$B$400=$B31)+(機器台帳!$B$2:$B$400="両面")+($B31="両面")&gt;0)*(機器台帳!$C$2:$C$400&lt;=$C31+$D31-1)*(機器台帳!$C$2:$C$400+機器台帳!$D$2:$D$400-1&gt;=$C31)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&amp;"")))&gt;0)),"／同じUに他の機器(横並びなら正常)","")&amp;IF(AND(M31&lt;&gt;"",COUNTIFS(回路定義!$A:$A,A31,回路定義!$B:$B,M31)=0),"／回路1が定義にない","")&amp;IF(AND(P31&lt;&gt;"",COUNTIFS(回路定義!$A:$A,A31,回路定義!$B:$B,P31)=0),"／回路2が定義にない","")&amp;IF(AND(S31&lt;&gt;"",COUNTIFS(回路定義!$A:$A,A31,回路定義!$B:$B,S31)=0),"／回路3が定義にない",""))="","",MID(IF(AND(Y31=0,NOT(SUMPRODUCT(--ISNUMBER(SEARCH({"棚板","棚","アングル","ｱﾝｸﾞﾙ","使用不可","ケーブル","ｹｰﾌﾞﾙ","PatchPnael","パッチ","引き出し","引出","ブランク","ﾌﾞﾗﾝｸ","マネージ","ﾏﾈｰｼﾞ","PDU","ONU"},$F31&amp;"")))&gt;0),NOT(SUMPRODUCT(--ISNUMBER(SEARCH({"電源オフ","未投入","停止","未使用","撤去"},$X31&amp;"")))&gt;0)),"／電力が未記入","")&amp;IF(AND(NOT(ISNUMBER(J31)),NOT(SUMPRODUCT(--ISNUMBER(SEARCH({"棚板","棚","アングル","ｱﾝｸﾞﾙ","使用不可","ケーブル","ｹｰﾌﾞﾙ","PatchPnael","パッチ","引き出し","引出","ブランク","ﾌﾞﾗﾝｸ","マネージ","ﾏﾈｰｼﾞ","PDU","ONU"},$F31&amp;"")))&gt;0)),"／重量が未記入","")&amp;IF(AND(K31&lt;&gt;"",NOT(ISNUMBER(K31))),"／電圧が数値でない","")&amp;IF(AND(N31&lt;&gt;"",NOT(ISNUMBER(N31))),"／電流が数値でない","")&amp;IF(AND(C31&lt;&gt;"",C31&lt;1),"／開始Uが1未満","")&amp;IF(AND(E31&lt;&gt;"",E31&gt;IFERROR(VLOOKUP(A31,ラック定義!$A:$B,2,FALSE),47)),"／総Uをはみ出す","")&amp;IF(AND(A31&lt;&gt;"",COUNTIF(ラック定義!$A:$A,A31)=0),"／ラックが定義にない","")&amp;IF(AND(SUMPRODUCT((機器台帳!$A$2:$A$400=$A31)*((機器台帳!$B$2:$B$400=$B31)+(機器台帳!$B$2:$B$400="両面")+($B31="両面")&gt;0)*(機器台帳!$C$2:$C$400&lt;=$C31+$D31-1)*(機器台帳!$C$2:$C$400+機器台帳!$D$2:$D$400-1&gt;=$C31)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&amp;"")))&gt;0)),"／同じUに他の機器(横並びなら正常)","")&amp;IF(AND(M31&lt;&gt;"",COUNTIFS(回路定義!$A:$A,A31,回路定義!$B:$B,M31)=0),"／回路1が定義にない","")&amp;IF(AND(P31&lt;&gt;"",COUNTIFS(回路定義!$A:$A,A31,回路定義!$B:$B,P31)=0),"／回路2が定義にない","")&amp;IF(AND(S31&lt;&gt;"",COUNTIFS(回路定義!$A:$A,A31,回路定義!$B:$B,S31)=0),"／回路3が定義にない",""),2,300)))</f>
        <v/>
      </c>
    </row>
    <row r="32">
      <c r="A32" s="5" t="inlineStr">
        <is>
          <t>E24-S8-2</t>
        </is>
      </c>
      <c r="B32" s="5" t="inlineStr">
        <is>
          <t>背面</t>
        </is>
      </c>
      <c r="C32" s="5" t="n">
        <v>46</v>
      </c>
      <c r="D32" s="5" t="n">
        <v>1</v>
      </c>
      <c r="E32" s="6">
        <f>IF(C32="","",C32+D32-1)</f>
        <v/>
      </c>
      <c r="F32" s="5" t="inlineStr">
        <is>
          <t>UTP 12port PatchPnael(背面)</t>
        </is>
      </c>
      <c r="G32" s="5" t="inlineStr"/>
      <c r="H32" s="5" t="inlineStr"/>
      <c r="I32" s="5" t="inlineStr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inlineStr"/>
      <c r="W32" s="5" t="inlineStr"/>
      <c r="X32" s="5" t="inlineStr"/>
      <c r="Y32" s="6">
        <f>COUNT(N32,Q32,T32)</f>
        <v/>
      </c>
      <c r="Z32" s="6">
        <f>IF(OR(K32="",NOT(ISNUMBER(K32))),"",K32*SUM(N32,Q32,T32))</f>
        <v/>
      </c>
      <c r="AA32" s="6">
        <f>IF(OR(Y32=0,N32=""),"",N32/Y32)</f>
        <v/>
      </c>
      <c r="AB32" s="6">
        <f>IF(OR(Y32=0,Q32=""),"",Q32/Y32)</f>
        <v/>
      </c>
      <c r="AC32" s="6">
        <f>IF(OR(Y32=0,T32=""),"",T32/Y32)</f>
        <v/>
      </c>
      <c r="AD32" s="6">
        <f>IF(F32="","",IF((IF(AND(Y32=0,NOT(SUMPRODUCT(--ISNUMBER(SEARCH({"棚板","棚","アングル","ｱﾝｸﾞﾙ","使用不可","ケーブル","ｹｰﾌﾞﾙ","PatchPnael","パッチ","引き出し","引出","ブランク","ﾌﾞﾗﾝｸ","マネージ","ﾏﾈｰｼﾞ","PDU","ONU"},$F32&amp;"")))&gt;0),NOT(SUMPRODUCT(--ISNUMBER(SEARCH({"電源オフ","未投入","停止","未使用","撤去"},$X32&amp;"")))&gt;0)),"／電力が未記入","")&amp;IF(AND(NOT(ISNUMBER(J32)),NOT(SUMPRODUCT(--ISNUMBER(SEARCH({"棚板","棚","アングル","ｱﾝｸﾞﾙ","使用不可","ケーブル","ｹｰﾌﾞﾙ","PatchPnael","パッチ","引き出し","引出","ブランク","ﾌﾞﾗﾝｸ","マネージ","ﾏﾈｰｼﾞ","PDU","ONU"},$F32&amp;"")))&gt;0)),"／重量が未記入","")&amp;IF(AND(K32&lt;&gt;"",NOT(ISNUMBER(K32))),"／電圧が数値でない","")&amp;IF(AND(N32&lt;&gt;"",NOT(ISNUMBER(N32))),"／電流が数値でない","")&amp;IF(AND(C32&lt;&gt;"",C32&lt;1),"／開始Uが1未満","")&amp;IF(AND(E32&lt;&gt;"",E32&gt;IFERROR(VLOOKUP(A32,ラック定義!$A:$B,2,FALSE),47)),"／総Uをはみ出す","")&amp;IF(AND(A32&lt;&gt;"",COUNTIF(ラック定義!$A:$A,A32)=0),"／ラックが定義にない","")&amp;IF(AND(SUMPRODUCT((機器台帳!$A$2:$A$400=$A32)*((機器台帳!$B$2:$B$400=$B32)+(機器台帳!$B$2:$B$400="両面")+($B32="両面")&gt;0)*(機器台帳!$C$2:$C$400&lt;=$C32+$D32-1)*(機器台帳!$C$2:$C$400+機器台帳!$D$2:$D$400-1&gt;=$C32)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&amp;"")))&gt;0)),"／同じUに他の機器(横並びなら正常)","")&amp;IF(AND(M32&lt;&gt;"",COUNTIFS(回路定義!$A:$A,A32,回路定義!$B:$B,M32)=0),"／回路1が定義にない","")&amp;IF(AND(P32&lt;&gt;"",COUNTIFS(回路定義!$A:$A,A32,回路定義!$B:$B,P32)=0),"／回路2が定義にない","")&amp;IF(AND(S32&lt;&gt;"",COUNTIFS(回路定義!$A:$A,A32,回路定義!$B:$B,S32)=0),"／回路3が定義にない",""))="","",MID(IF(AND(Y32=0,NOT(SUMPRODUCT(--ISNUMBER(SEARCH({"棚板","棚","アングル","ｱﾝｸﾞﾙ","使用不可","ケーブル","ｹｰﾌﾞﾙ","PatchPnael","パッチ","引き出し","引出","ブランク","ﾌﾞﾗﾝｸ","マネージ","ﾏﾈｰｼﾞ","PDU","ONU"},$F32&amp;"")))&gt;0),NOT(SUMPRODUCT(--ISNUMBER(SEARCH({"電源オフ","未投入","停止","未使用","撤去"},$X32&amp;"")))&gt;0)),"／電力が未記入","")&amp;IF(AND(NOT(ISNUMBER(J32)),NOT(SUMPRODUCT(--ISNUMBER(SEARCH({"棚板","棚","アングル","ｱﾝｸﾞﾙ","使用不可","ケーブル","ｹｰﾌﾞﾙ","PatchPnael","パッチ","引き出し","引出","ブランク","ﾌﾞﾗﾝｸ","マネージ","ﾏﾈｰｼﾞ","PDU","ONU"},$F32&amp;"")))&gt;0)),"／重量が未記入","")&amp;IF(AND(K32&lt;&gt;"",NOT(ISNUMBER(K32))),"／電圧が数値でない","")&amp;IF(AND(N32&lt;&gt;"",NOT(ISNUMBER(N32))),"／電流が数値でない","")&amp;IF(AND(C32&lt;&gt;"",C32&lt;1),"／開始Uが1未満","")&amp;IF(AND(E32&lt;&gt;"",E32&gt;IFERROR(VLOOKUP(A32,ラック定義!$A:$B,2,FALSE),47)),"／総Uをはみ出す","")&amp;IF(AND(A32&lt;&gt;"",COUNTIF(ラック定義!$A:$A,A32)=0),"／ラックが定義にない","")&amp;IF(AND(SUMPRODUCT((機器台帳!$A$2:$A$400=$A32)*((機器台帳!$B$2:$B$400=$B32)+(機器台帳!$B$2:$B$400="両面")+($B32="両面")&gt;0)*(機器台帳!$C$2:$C$400&lt;=$C32+$D32-1)*(機器台帳!$C$2:$C$400+機器台帳!$D$2:$D$400-1&gt;=$C32)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&amp;"")))&gt;0)),"／同じUに他の機器(横並びなら正常)","")&amp;IF(AND(M32&lt;&gt;"",COUNTIFS(回路定義!$A:$A,A32,回路定義!$B:$B,M32)=0),"／回路1が定義にない","")&amp;IF(AND(P32&lt;&gt;"",COUNTIFS(回路定義!$A:$A,A32,回路定義!$B:$B,P32)=0),"／回路2が定義にない","")&amp;IF(AND(S32&lt;&gt;"",COUNTIFS(回路定義!$A:$A,A32,回路定義!$B:$B,S32)=0),"／回路3が定義にない",""),2,300)))</f>
        <v/>
      </c>
    </row>
    <row r="33">
      <c r="A33" s="5" t="inlineStr">
        <is>
          <t>E24-S8-2</t>
        </is>
      </c>
      <c r="B33" s="5" t="inlineStr">
        <is>
          <t>背面</t>
        </is>
      </c>
      <c r="C33" s="5" t="n">
        <v>29</v>
      </c>
      <c r="D33" s="5" t="n">
        <v>1</v>
      </c>
      <c r="E33" s="6">
        <f>IF(C33="","",C33+D33-1)</f>
        <v/>
      </c>
      <c r="F33" s="5" t="inlineStr">
        <is>
          <t>HPE DX360-1</t>
        </is>
      </c>
      <c r="G33" s="5" t="inlineStr">
        <is>
          <t>H1914271</t>
        </is>
      </c>
      <c r="H33" s="5" t="inlineStr">
        <is>
          <t>Nutanix</t>
        </is>
      </c>
      <c r="I33" s="5" t="inlineStr">
        <is>
          <t>Server</t>
        </is>
      </c>
      <c r="J33" s="5" t="n">
        <v>10</v>
      </c>
      <c r="K33" s="5" t="n">
        <v>200</v>
      </c>
      <c r="L33" s="5" t="n">
        <v>2</v>
      </c>
      <c r="M33" s="5" t="inlineStr">
        <is>
          <t>200V 30A （1）</t>
        </is>
      </c>
      <c r="N33" s="5" t="n">
        <v>1.5</v>
      </c>
      <c r="O33" s="5" t="n">
        <v>2</v>
      </c>
      <c r="P33" s="5" t="n"/>
      <c r="Q33" s="5" t="n"/>
      <c r="R33" s="5" t="n"/>
      <c r="S33" s="5" t="n"/>
      <c r="T33" s="5" t="n"/>
      <c r="U33" s="5" t="n"/>
      <c r="V33" s="5" t="inlineStr">
        <is>
          <t>○</t>
        </is>
      </c>
      <c r="W33" s="5" t="inlineStr"/>
      <c r="X33" s="5" t="inlineStr"/>
      <c r="Y33" s="6">
        <f>COUNT(N33,Q33,T33)</f>
        <v/>
      </c>
      <c r="Z33" s="6">
        <f>IF(OR(K33="",NOT(ISNUMBER(K33))),"",K33*SUM(N33,Q33,T33))</f>
        <v/>
      </c>
      <c r="AA33" s="6">
        <f>IF(OR(Y33=0,N33=""),"",N33/Y33)</f>
        <v/>
      </c>
      <c r="AB33" s="6">
        <f>IF(OR(Y33=0,Q33=""),"",Q33/Y33)</f>
        <v/>
      </c>
      <c r="AC33" s="6">
        <f>IF(OR(Y33=0,T33=""),"",T33/Y33)</f>
        <v/>
      </c>
      <c r="AD33" s="6">
        <f>IF(F33="","",IF((IF(AND(Y33=0,NOT(SUMPRODUCT(--ISNUMBER(SEARCH({"棚板","棚","アングル","ｱﾝｸﾞﾙ","使用不可","ケーブル","ｹｰﾌﾞﾙ","PatchPnael","パッチ","引き出し","引出","ブランク","ﾌﾞﾗﾝｸ","マネージ","ﾏﾈｰｼﾞ","PDU","ONU"},$F33&amp;"")))&gt;0),NOT(SUMPRODUCT(--ISNUMBER(SEARCH({"電源オフ","未投入","停止","未使用","撤去"},$X33&amp;"")))&gt;0)),"／電力が未記入","")&amp;IF(AND(NOT(ISNUMBER(J33)),NOT(SUMPRODUCT(--ISNUMBER(SEARCH({"棚板","棚","アングル","ｱﾝｸﾞﾙ","使用不可","ケーブル","ｹｰﾌﾞﾙ","PatchPnael","パッチ","引き出し","引出","ブランク","ﾌﾞﾗﾝｸ","マネージ","ﾏﾈｰｼﾞ","PDU","ONU"},$F33&amp;"")))&gt;0)),"／重量が未記入","")&amp;IF(AND(K33&lt;&gt;"",NOT(ISNUMBER(K33))),"／電圧が数値でない","")&amp;IF(AND(N33&lt;&gt;"",NOT(ISNUMBER(N33))),"／電流が数値でない","")&amp;IF(AND(C33&lt;&gt;"",C33&lt;1),"／開始Uが1未満","")&amp;IF(AND(E33&lt;&gt;"",E33&gt;IFERROR(VLOOKUP(A33,ラック定義!$A:$B,2,FALSE),47)),"／総Uをはみ出す","")&amp;IF(AND(A33&lt;&gt;"",COUNTIF(ラック定義!$A:$A,A33)=0),"／ラックが定義にない","")&amp;IF(AND(SUMPRODUCT((機器台帳!$A$2:$A$400=$A33)*((機器台帳!$B$2:$B$400=$B33)+(機器台帳!$B$2:$B$400="両面")+($B33="両面")&gt;0)*(機器台帳!$C$2:$C$400&lt;=$C33+$D33-1)*(機器台帳!$C$2:$C$400+機器台帳!$D$2:$D$400-1&gt;=$C33)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&amp;"")))&gt;0)),"／同じUに他の機器(横並びなら正常)","")&amp;IF(AND(M33&lt;&gt;"",COUNTIFS(回路定義!$A:$A,A33,回路定義!$B:$B,M33)=0),"／回路1が定義にない","")&amp;IF(AND(P33&lt;&gt;"",COUNTIFS(回路定義!$A:$A,A33,回路定義!$B:$B,P33)=0),"／回路2が定義にない","")&amp;IF(AND(S33&lt;&gt;"",COUNTIFS(回路定義!$A:$A,A33,回路定義!$B:$B,S33)=0),"／回路3が定義にない",""))="","",MID(IF(AND(Y33=0,NOT(SUMPRODUCT(--ISNUMBER(SEARCH({"棚板","棚","アングル","ｱﾝｸﾞﾙ","使用不可","ケーブル","ｹｰﾌﾞﾙ","PatchPnael","パッチ","引き出し","引出","ブランク","ﾌﾞﾗﾝｸ","マネージ","ﾏﾈｰｼﾞ","PDU","ONU"},$F33&amp;"")))&gt;0),NOT(SUMPRODUCT(--ISNUMBER(SEARCH({"電源オフ","未投入","停止","未使用","撤去"},$X33&amp;"")))&gt;0)),"／電力が未記入","")&amp;IF(AND(NOT(ISNUMBER(J33)),NOT(SUMPRODUCT(--ISNUMBER(SEARCH({"棚板","棚","アングル","ｱﾝｸﾞﾙ","使用不可","ケーブル","ｹｰﾌﾞﾙ","PatchPnael","パッチ","引き出し","引出","ブランク","ﾌﾞﾗﾝｸ","マネージ","ﾏﾈｰｼﾞ","PDU","ONU"},$F33&amp;"")))&gt;0)),"／重量が未記入","")&amp;IF(AND(K33&lt;&gt;"",NOT(ISNUMBER(K33))),"／電圧が数値でない","")&amp;IF(AND(N33&lt;&gt;"",NOT(ISNUMBER(N33))),"／電流が数値でない","")&amp;IF(AND(C33&lt;&gt;"",C33&lt;1),"／開始Uが1未満","")&amp;IF(AND(E33&lt;&gt;"",E33&gt;IFERROR(VLOOKUP(A33,ラック定義!$A:$B,2,FALSE),47)),"／総Uをはみ出す","")&amp;IF(AND(A33&lt;&gt;"",COUNTIF(ラック定義!$A:$A,A33)=0),"／ラックが定義にない","")&amp;IF(AND(SUMPRODUCT((機器台帳!$A$2:$A$400=$A33)*((機器台帳!$B$2:$B$400=$B33)+(機器台帳!$B$2:$B$400="両面")+($B33="両面")&gt;0)*(機器台帳!$C$2:$C$400&lt;=$C33+$D33-1)*(機器台帳!$C$2:$C$400+機器台帳!$D$2:$D$400-1&gt;=$C33)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&amp;"")))&gt;0)),"／同じUに他の機器(横並びなら正常)","")&amp;IF(AND(M33&lt;&gt;"",COUNTIFS(回路定義!$A:$A,A33,回路定義!$B:$B,M33)=0),"／回路1が定義にない","")&amp;IF(AND(P33&lt;&gt;"",COUNTIFS(回路定義!$A:$A,A33,回路定義!$B:$B,P33)=0),"／回路2が定義にない","")&amp;IF(AND(S33&lt;&gt;"",COUNTIFS(回路定義!$A:$A,A33,回路定義!$B:$B,S33)=0),"／回路3が定義にない",""),2,300)))</f>
        <v/>
      </c>
    </row>
    <row r="34">
      <c r="A34" s="5" t="inlineStr">
        <is>
          <t>E24-S8-2</t>
        </is>
      </c>
      <c r="B34" s="5" t="inlineStr">
        <is>
          <t>前面</t>
        </is>
      </c>
      <c r="C34" s="5" t="n">
        <v>27</v>
      </c>
      <c r="D34" s="5" t="n">
        <v>1</v>
      </c>
      <c r="E34" s="6">
        <f>IF(C34="","",C34+D34-1)</f>
        <v/>
      </c>
      <c r="F34" s="5" t="inlineStr">
        <is>
          <t>HPE DX360-3</t>
        </is>
      </c>
      <c r="G34" s="5" t="inlineStr">
        <is>
          <t>H1914273</t>
        </is>
      </c>
      <c r="H34" s="5" t="inlineStr">
        <is>
          <t>Nutanix</t>
        </is>
      </c>
      <c r="I34" s="5" t="inlineStr">
        <is>
          <t>Server</t>
        </is>
      </c>
      <c r="J34" s="5" t="n">
        <v>10</v>
      </c>
      <c r="K34" s="5" t="n">
        <v>200</v>
      </c>
      <c r="L34" s="5" t="n">
        <v>2</v>
      </c>
      <c r="M34" s="5" t="inlineStr">
        <is>
          <t>200V 30A （1）</t>
        </is>
      </c>
      <c r="N34" s="5" t="n">
        <v>1.5</v>
      </c>
      <c r="O34" s="5" t="n">
        <v>2</v>
      </c>
      <c r="P34" s="5" t="n"/>
      <c r="Q34" s="5" t="n"/>
      <c r="R34" s="5" t="n"/>
      <c r="S34" s="5" t="n"/>
      <c r="T34" s="5" t="n"/>
      <c r="U34" s="5" t="n"/>
      <c r="V34" s="5" t="inlineStr">
        <is>
          <t>○</t>
        </is>
      </c>
      <c r="W34" s="5" t="inlineStr"/>
      <c r="X34" s="5" t="inlineStr"/>
      <c r="Y34" s="6">
        <f>COUNT(N34,Q34,T34)</f>
        <v/>
      </c>
      <c r="Z34" s="6">
        <f>IF(OR(K34="",NOT(ISNUMBER(K34))),"",K34*SUM(N34,Q34,T34))</f>
        <v/>
      </c>
      <c r="AA34" s="6">
        <f>IF(OR(Y34=0,N34=""),"",N34/Y34)</f>
        <v/>
      </c>
      <c r="AB34" s="6">
        <f>IF(OR(Y34=0,Q34=""),"",Q34/Y34)</f>
        <v/>
      </c>
      <c r="AC34" s="6">
        <f>IF(OR(Y34=0,T34=""),"",T34/Y34)</f>
        <v/>
      </c>
      <c r="AD34" s="6">
        <f>IF(F34="","",IF((IF(AND(Y34=0,NOT(SUMPRODUCT(--ISNUMBER(SEARCH({"棚板","棚","アングル","ｱﾝｸﾞﾙ","使用不可","ケーブル","ｹｰﾌﾞﾙ","PatchPnael","パッチ","引き出し","引出","ブランク","ﾌﾞﾗﾝｸ","マネージ","ﾏﾈｰｼﾞ","PDU","ONU"},$F34&amp;"")))&gt;0),NOT(SUMPRODUCT(--ISNUMBER(SEARCH({"電源オフ","未投入","停止","未使用","撤去"},$X34&amp;"")))&gt;0)),"／電力が未記入","")&amp;IF(AND(NOT(ISNUMBER(J34)),NOT(SUMPRODUCT(--ISNUMBER(SEARCH({"棚板","棚","アングル","ｱﾝｸﾞﾙ","使用不可","ケーブル","ｹｰﾌﾞﾙ","PatchPnael","パッチ","引き出し","引出","ブランク","ﾌﾞﾗﾝｸ","マネージ","ﾏﾈｰｼﾞ","PDU","ONU"},$F34&amp;"")))&gt;0)),"／重量が未記入","")&amp;IF(AND(K34&lt;&gt;"",NOT(ISNUMBER(K34))),"／電圧が数値でない","")&amp;IF(AND(N34&lt;&gt;"",NOT(ISNUMBER(N34))),"／電流が数値でない","")&amp;IF(AND(C34&lt;&gt;"",C34&lt;1),"／開始Uが1未満","")&amp;IF(AND(E34&lt;&gt;"",E34&gt;IFERROR(VLOOKUP(A34,ラック定義!$A:$B,2,FALSE),47)),"／総Uをはみ出す","")&amp;IF(AND(A34&lt;&gt;"",COUNTIF(ラック定義!$A:$A,A34)=0),"／ラックが定義にない","")&amp;IF(AND(SUMPRODUCT((機器台帳!$A$2:$A$400=$A34)*((機器台帳!$B$2:$B$400=$B34)+(機器台帳!$B$2:$B$400="両面")+($B34="両面")&gt;0)*(機器台帳!$C$2:$C$400&lt;=$C34+$D34-1)*(機器台帳!$C$2:$C$400+機器台帳!$D$2:$D$400-1&gt;=$C34)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&amp;"")))&gt;0)),"／同じUに他の機器(横並びなら正常)","")&amp;IF(AND(M34&lt;&gt;"",COUNTIFS(回路定義!$A:$A,A34,回路定義!$B:$B,M34)=0),"／回路1が定義にない","")&amp;IF(AND(P34&lt;&gt;"",COUNTIFS(回路定義!$A:$A,A34,回路定義!$B:$B,P34)=0),"／回路2が定義にない","")&amp;IF(AND(S34&lt;&gt;"",COUNTIFS(回路定義!$A:$A,A34,回路定義!$B:$B,S34)=0),"／回路3が定義にない",""))="","",MID(IF(AND(Y34=0,NOT(SUMPRODUCT(--ISNUMBER(SEARCH({"棚板","棚","アングル","ｱﾝｸﾞﾙ","使用不可","ケーブル","ｹｰﾌﾞﾙ","PatchPnael","パッチ","引き出し","引出","ブランク","ﾌﾞﾗﾝｸ","マネージ","ﾏﾈｰｼﾞ","PDU","ONU"},$F34&amp;"")))&gt;0),NOT(SUMPRODUCT(--ISNUMBER(SEARCH({"電源オフ","未投入","停止","未使用","撤去"},$X34&amp;"")))&gt;0)),"／電力が未記入","")&amp;IF(AND(NOT(ISNUMBER(J34)),NOT(SUMPRODUCT(--ISNUMBER(SEARCH({"棚板","棚","アングル","ｱﾝｸﾞﾙ","使用不可","ケーブル","ｹｰﾌﾞﾙ","PatchPnael","パッチ","引き出し","引出","ブランク","ﾌﾞﾗﾝｸ","マネージ","ﾏﾈｰｼﾞ","PDU","ONU"},$F34&amp;"")))&gt;0)),"／重量が未記入","")&amp;IF(AND(K34&lt;&gt;"",NOT(ISNUMBER(K34))),"／電圧が数値でない","")&amp;IF(AND(N34&lt;&gt;"",NOT(ISNUMBER(N34))),"／電流が数値でない","")&amp;IF(AND(C34&lt;&gt;"",C34&lt;1),"／開始Uが1未満","")&amp;IF(AND(E34&lt;&gt;"",E34&gt;IFERROR(VLOOKUP(A34,ラック定義!$A:$B,2,FALSE),47)),"／総Uをはみ出す","")&amp;IF(AND(A34&lt;&gt;"",COUNTIF(ラック定義!$A:$A,A34)=0),"／ラックが定義にない","")&amp;IF(AND(SUMPRODUCT((機器台帳!$A$2:$A$400=$A34)*((機器台帳!$B$2:$B$400=$B34)+(機器台帳!$B$2:$B$400="両面")+($B34="両面")&gt;0)*(機器台帳!$C$2:$C$400&lt;=$C34+$D34-1)*(機器台帳!$C$2:$C$400+機器台帳!$D$2:$D$400-1&gt;=$C34)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&amp;"")))&gt;0)),"／同じUに他の機器(横並びなら正常)","")&amp;IF(AND(M34&lt;&gt;"",COUNTIFS(回路定義!$A:$A,A34,回路定義!$B:$B,M34)=0),"／回路1が定義にない","")&amp;IF(AND(P34&lt;&gt;"",COUNTIFS(回路定義!$A:$A,A34,回路定義!$B:$B,P34)=0),"／回路2が定義にない","")&amp;IF(AND(S34&lt;&gt;"",COUNTIFS(回路定義!$A:$A,A34,回路定義!$B:$B,S34)=0),"／回路3が定義にない",""),2,300)))</f>
        <v/>
      </c>
    </row>
    <row r="35">
      <c r="A35" s="5" t="inlineStr">
        <is>
          <t>E24-S8-2</t>
        </is>
      </c>
      <c r="B35" s="5" t="inlineStr">
        <is>
          <t>背面</t>
        </is>
      </c>
      <c r="C35" s="5" t="n">
        <v>27</v>
      </c>
      <c r="D35" s="5" t="n">
        <v>1</v>
      </c>
      <c r="E35" s="6">
        <f>IF(C35="","",C35+D35-1)</f>
        <v/>
      </c>
      <c r="F35" s="5" t="inlineStr">
        <is>
          <t>HPE DX360-3</t>
        </is>
      </c>
      <c r="G35" s="5" t="inlineStr">
        <is>
          <t>H19142713</t>
        </is>
      </c>
      <c r="H35" s="5" t="inlineStr">
        <is>
          <t>Nutanix</t>
        </is>
      </c>
      <c r="I35" s="5" t="inlineStr">
        <is>
          <t>Server</t>
        </is>
      </c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inlineStr">
        <is>
          <t>○</t>
        </is>
      </c>
      <c r="W35" s="5" t="inlineStr"/>
      <c r="X35" s="5" t="inlineStr"/>
      <c r="Y35" s="6">
        <f>COUNT(N35,Q35,T35)</f>
        <v/>
      </c>
      <c r="Z35" s="6">
        <f>IF(OR(K35="",NOT(ISNUMBER(K35))),"",K35*SUM(N35,Q35,T35))</f>
        <v/>
      </c>
      <c r="AA35" s="6">
        <f>IF(OR(Y35=0,N35=""),"",N35/Y35)</f>
        <v/>
      </c>
      <c r="AB35" s="6">
        <f>IF(OR(Y35=0,Q35=""),"",Q35/Y35)</f>
        <v/>
      </c>
      <c r="AC35" s="6">
        <f>IF(OR(Y35=0,T35=""),"",T35/Y35)</f>
        <v/>
      </c>
      <c r="AD35" s="6">
        <f>IF(F35="","",IF((IF(AND(Y35=0,NOT(SUMPRODUCT(--ISNUMBER(SEARCH({"棚板","棚","アングル","ｱﾝｸﾞﾙ","使用不可","ケーブル","ｹｰﾌﾞﾙ","PatchPnael","パッチ","引き出し","引出","ブランク","ﾌﾞﾗﾝｸ","マネージ","ﾏﾈｰｼﾞ","PDU","ONU"},$F35&amp;"")))&gt;0),NOT(SUMPRODUCT(--ISNUMBER(SEARCH({"電源オフ","未投入","停止","未使用","撤去"},$X35&amp;"")))&gt;0)),"／電力が未記入","")&amp;IF(AND(NOT(ISNUMBER(J35)),NOT(SUMPRODUCT(--ISNUMBER(SEARCH({"棚板","棚","アングル","ｱﾝｸﾞﾙ","使用不可","ケーブル","ｹｰﾌﾞﾙ","PatchPnael","パッチ","引き出し","引出","ブランク","ﾌﾞﾗﾝｸ","マネージ","ﾏﾈｰｼﾞ","PDU","ONU"},$F35&amp;"")))&gt;0)),"／重量が未記入","")&amp;IF(AND(K35&lt;&gt;"",NOT(ISNUMBER(K35))),"／電圧が数値でない","")&amp;IF(AND(N35&lt;&gt;"",NOT(ISNUMBER(N35))),"／電流が数値でない","")&amp;IF(AND(C35&lt;&gt;"",C35&lt;1),"／開始Uが1未満","")&amp;IF(AND(E35&lt;&gt;"",E35&gt;IFERROR(VLOOKUP(A35,ラック定義!$A:$B,2,FALSE),47)),"／総Uをはみ出す","")&amp;IF(AND(A35&lt;&gt;"",COUNTIF(ラック定義!$A:$A,A35)=0),"／ラックが定義にない","")&amp;IF(AND(SUMPRODUCT((機器台帳!$A$2:$A$400=$A35)*((機器台帳!$B$2:$B$400=$B35)+(機器台帳!$B$2:$B$400="両面")+($B35="両面")&gt;0)*(機器台帳!$C$2:$C$400&lt;=$C35+$D35-1)*(機器台帳!$C$2:$C$400+機器台帳!$D$2:$D$400-1&gt;=$C35)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&amp;"")))&gt;0)),"／同じUに他の機器(横並びなら正常)","")&amp;IF(AND(M35&lt;&gt;"",COUNTIFS(回路定義!$A:$A,A35,回路定義!$B:$B,M35)=0),"／回路1が定義にない","")&amp;IF(AND(P35&lt;&gt;"",COUNTIFS(回路定義!$A:$A,A35,回路定義!$B:$B,P35)=0),"／回路2が定義にない","")&amp;IF(AND(S35&lt;&gt;"",COUNTIFS(回路定義!$A:$A,A35,回路定義!$B:$B,S35)=0),"／回路3が定義にない",""))="","",MID(IF(AND(Y35=0,NOT(SUMPRODUCT(--ISNUMBER(SEARCH({"棚板","棚","アングル","ｱﾝｸﾞﾙ","使用不可","ケーブル","ｹｰﾌﾞﾙ","PatchPnael","パッチ","引き出し","引出","ブランク","ﾌﾞﾗﾝｸ","マネージ","ﾏﾈｰｼﾞ","PDU","ONU"},$F35&amp;"")))&gt;0),NOT(SUMPRODUCT(--ISNUMBER(SEARCH({"電源オフ","未投入","停止","未使用","撤去"},$X35&amp;"")))&gt;0)),"／電力が未記入","")&amp;IF(AND(NOT(ISNUMBER(J35)),NOT(SUMPRODUCT(--ISNUMBER(SEARCH({"棚板","棚","アングル","ｱﾝｸﾞﾙ","使用不可","ケーブル","ｹｰﾌﾞﾙ","PatchPnael","パッチ","引き出し","引出","ブランク","ﾌﾞﾗﾝｸ","マネージ","ﾏﾈｰｼﾞ","PDU","ONU"},$F35&amp;"")))&gt;0)),"／重量が未記入","")&amp;IF(AND(K35&lt;&gt;"",NOT(ISNUMBER(K35))),"／電圧が数値でない","")&amp;IF(AND(N35&lt;&gt;"",NOT(ISNUMBER(N35))),"／電流が数値でない","")&amp;IF(AND(C35&lt;&gt;"",C35&lt;1),"／開始Uが1未満","")&amp;IF(AND(E35&lt;&gt;"",E35&gt;IFERROR(VLOOKUP(A35,ラック定義!$A:$B,2,FALSE),47)),"／総Uをはみ出す","")&amp;IF(AND(A35&lt;&gt;"",COUNTIF(ラック定義!$A:$A,A35)=0),"／ラックが定義にない","")&amp;IF(AND(SUMPRODUCT((機器台帳!$A$2:$A$400=$A35)*((機器台帳!$B$2:$B$400=$B35)+(機器台帳!$B$2:$B$400="両面")+($B35="両面")&gt;0)*(機器台帳!$C$2:$C$400&lt;=$C35+$D35-1)*(機器台帳!$C$2:$C$400+機器台帳!$D$2:$D$400-1&gt;=$C35)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&amp;"")))&gt;0)),"／同じUに他の機器(横並びなら正常)","")&amp;IF(AND(M35&lt;&gt;"",COUNTIFS(回路定義!$A:$A,A35,回路定義!$B:$B,M35)=0),"／回路1が定義にない","")&amp;IF(AND(P35&lt;&gt;"",COUNTIFS(回路定義!$A:$A,A35,回路定義!$B:$B,P35)=0),"／回路2が定義にない","")&amp;IF(AND(S35&lt;&gt;"",COUNTIFS(回路定義!$A:$A,A35,回路定義!$B:$B,S35)=0),"／回路3が定義にない",""),2,300)))</f>
        <v/>
      </c>
    </row>
    <row r="36">
      <c r="A36" s="5" t="inlineStr">
        <is>
          <t>E24-S8-2</t>
        </is>
      </c>
      <c r="B36" s="5" t="inlineStr">
        <is>
          <t>前面</t>
        </is>
      </c>
      <c r="C36" s="5" t="n">
        <v>26</v>
      </c>
      <c r="D36" s="5" t="n">
        <v>1</v>
      </c>
      <c r="E36" s="6">
        <f>IF(C36="","",C36+D36-1)</f>
        <v/>
      </c>
      <c r="F36" s="5" t="inlineStr">
        <is>
          <t>HPE DX360-5</t>
        </is>
      </c>
      <c r="G36" s="5" t="inlineStr">
        <is>
          <t>H2008900</t>
        </is>
      </c>
      <c r="H36" s="5" t="inlineStr">
        <is>
          <t>Nutanix</t>
        </is>
      </c>
      <c r="I36" s="5" t="inlineStr">
        <is>
          <t>Server</t>
        </is>
      </c>
      <c r="J36" s="5" t="n">
        <v>10</v>
      </c>
      <c r="K36" s="5" t="n">
        <v>200</v>
      </c>
      <c r="L36" s="5" t="n">
        <v>2</v>
      </c>
      <c r="M36" s="5" t="inlineStr">
        <is>
          <t>200V 30A （1）</t>
        </is>
      </c>
      <c r="N36" s="5" t="n">
        <v>1.5</v>
      </c>
      <c r="O36" s="5" t="n">
        <v>2</v>
      </c>
      <c r="P36" s="5" t="n"/>
      <c r="Q36" s="5" t="n"/>
      <c r="R36" s="5" t="n"/>
      <c r="S36" s="5" t="n"/>
      <c r="T36" s="5" t="n"/>
      <c r="U36" s="5" t="n"/>
      <c r="V36" s="5" t="inlineStr">
        <is>
          <t>○</t>
        </is>
      </c>
      <c r="W36" s="5" t="inlineStr"/>
      <c r="X36" s="5" t="inlineStr"/>
      <c r="Y36" s="6">
        <f>COUNT(N36,Q36,T36)</f>
        <v/>
      </c>
      <c r="Z36" s="6">
        <f>IF(OR(K36="",NOT(ISNUMBER(K36))),"",K36*SUM(N36,Q36,T36))</f>
        <v/>
      </c>
      <c r="AA36" s="6">
        <f>IF(OR(Y36=0,N36=""),"",N36/Y36)</f>
        <v/>
      </c>
      <c r="AB36" s="6">
        <f>IF(OR(Y36=0,Q36=""),"",Q36/Y36)</f>
        <v/>
      </c>
      <c r="AC36" s="6">
        <f>IF(OR(Y36=0,T36=""),"",T36/Y36)</f>
        <v/>
      </c>
      <c r="AD36" s="6">
        <f>IF(F36="","",IF((IF(AND(Y36=0,NOT(SUMPRODUCT(--ISNUMBER(SEARCH({"棚板","棚","アングル","ｱﾝｸﾞﾙ","使用不可","ケーブル","ｹｰﾌﾞﾙ","PatchPnael","パッチ","引き出し","引出","ブランク","ﾌﾞﾗﾝｸ","マネージ","ﾏﾈｰｼﾞ","PDU","ONU"},$F36&amp;"")))&gt;0),NOT(SUMPRODUCT(--ISNUMBER(SEARCH({"電源オフ","未投入","停止","未使用","撤去"},$X36&amp;"")))&gt;0)),"／電力が未記入","")&amp;IF(AND(NOT(ISNUMBER(J36)),NOT(SUMPRODUCT(--ISNUMBER(SEARCH({"棚板","棚","アングル","ｱﾝｸﾞﾙ","使用不可","ケーブル","ｹｰﾌﾞﾙ","PatchPnael","パッチ","引き出し","引出","ブランク","ﾌﾞﾗﾝｸ","マネージ","ﾏﾈｰｼﾞ","PDU","ONU"},$F36&amp;"")))&gt;0)),"／重量が未記入","")&amp;IF(AND(K36&lt;&gt;"",NOT(ISNUMBER(K36))),"／電圧が数値でない","")&amp;IF(AND(N36&lt;&gt;"",NOT(ISNUMBER(N36))),"／電流が数値でない","")&amp;IF(AND(C36&lt;&gt;"",C36&lt;1),"／開始Uが1未満","")&amp;IF(AND(E36&lt;&gt;"",E36&gt;IFERROR(VLOOKUP(A36,ラック定義!$A:$B,2,FALSE),47)),"／総Uをはみ出す","")&amp;IF(AND(A36&lt;&gt;"",COUNTIF(ラック定義!$A:$A,A36)=0),"／ラックが定義にない","")&amp;IF(AND(SUMPRODUCT((機器台帳!$A$2:$A$400=$A36)*((機器台帳!$B$2:$B$400=$B36)+(機器台帳!$B$2:$B$400="両面")+($B36="両面")&gt;0)*(機器台帳!$C$2:$C$400&lt;=$C36+$D36-1)*(機器台帳!$C$2:$C$400+機器台帳!$D$2:$D$400-1&gt;=$C36)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&amp;"")))&gt;0)),"／同じUに他の機器(横並びなら正常)","")&amp;IF(AND(M36&lt;&gt;"",COUNTIFS(回路定義!$A:$A,A36,回路定義!$B:$B,M36)=0),"／回路1が定義にない","")&amp;IF(AND(P36&lt;&gt;"",COUNTIFS(回路定義!$A:$A,A36,回路定義!$B:$B,P36)=0),"／回路2が定義にない","")&amp;IF(AND(S36&lt;&gt;"",COUNTIFS(回路定義!$A:$A,A36,回路定義!$B:$B,S36)=0),"／回路3が定義にない",""))="","",MID(IF(AND(Y36=0,NOT(SUMPRODUCT(--ISNUMBER(SEARCH({"棚板","棚","アングル","ｱﾝｸﾞﾙ","使用不可","ケーブル","ｹｰﾌﾞﾙ","PatchPnael","パッチ","引き出し","引出","ブランク","ﾌﾞﾗﾝｸ","マネージ","ﾏﾈｰｼﾞ","PDU","ONU"},$F36&amp;"")))&gt;0),NOT(SUMPRODUCT(--ISNUMBER(SEARCH({"電源オフ","未投入","停止","未使用","撤去"},$X36&amp;"")))&gt;0)),"／電力が未記入","")&amp;IF(AND(NOT(ISNUMBER(J36)),NOT(SUMPRODUCT(--ISNUMBER(SEARCH({"棚板","棚","アングル","ｱﾝｸﾞﾙ","使用不可","ケーブル","ｹｰﾌﾞﾙ","PatchPnael","パッチ","引き出し","引出","ブランク","ﾌﾞﾗﾝｸ","マネージ","ﾏﾈｰｼﾞ","PDU","ONU"},$F36&amp;"")))&gt;0)),"／重量が未記入","")&amp;IF(AND(K36&lt;&gt;"",NOT(ISNUMBER(K36))),"／電圧が数値でない","")&amp;IF(AND(N36&lt;&gt;"",NOT(ISNUMBER(N36))),"／電流が数値でない","")&amp;IF(AND(C36&lt;&gt;"",C36&lt;1),"／開始Uが1未満","")&amp;IF(AND(E36&lt;&gt;"",E36&gt;IFERROR(VLOOKUP(A36,ラック定義!$A:$B,2,FALSE),47)),"／総Uをはみ出す","")&amp;IF(AND(A36&lt;&gt;"",COUNTIF(ラック定義!$A:$A,A36)=0),"／ラックが定義にない","")&amp;IF(AND(SUMPRODUCT((機器台帳!$A$2:$A$400=$A36)*((機器台帳!$B$2:$B$400=$B36)+(機器台帳!$B$2:$B$400="両面")+($B36="両面")&gt;0)*(機器台帳!$C$2:$C$400&lt;=$C36+$D36-1)*(機器台帳!$C$2:$C$400+機器台帳!$D$2:$D$400-1&gt;=$C36)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&amp;"")))&gt;0)),"／同じUに他の機器(横並びなら正常)","")&amp;IF(AND(M36&lt;&gt;"",COUNTIFS(回路定義!$A:$A,A36,回路定義!$B:$B,M36)=0),"／回路1が定義にない","")&amp;IF(AND(P36&lt;&gt;"",COUNTIFS(回路定義!$A:$A,A36,回路定義!$B:$B,P36)=0),"／回路2が定義にない","")&amp;IF(AND(S36&lt;&gt;"",COUNTIFS(回路定義!$A:$A,A36,回路定義!$B:$B,S36)=0),"／回路3が定義にない",""),2,300)))</f>
        <v/>
      </c>
    </row>
    <row r="37">
      <c r="A37" s="5" t="inlineStr">
        <is>
          <t>E24-S8-2</t>
        </is>
      </c>
      <c r="B37" s="5" t="inlineStr">
        <is>
          <t>背面</t>
        </is>
      </c>
      <c r="C37" s="5" t="n">
        <v>25</v>
      </c>
      <c r="D37" s="5" t="n">
        <v>1</v>
      </c>
      <c r="E37" s="6">
        <f>IF(C37="","",C37+D37-1)</f>
        <v/>
      </c>
      <c r="F37" s="5" t="inlineStr">
        <is>
          <t>HPE DX360-5</t>
        </is>
      </c>
      <c r="G37" s="5" t="inlineStr">
        <is>
          <t>H2008890</t>
        </is>
      </c>
      <c r="H37" s="5" t="inlineStr">
        <is>
          <t>Nutanix</t>
        </is>
      </c>
      <c r="I37" s="5" t="inlineStr">
        <is>
          <t>Server</t>
        </is>
      </c>
      <c r="J37" s="5" t="n">
        <v>10</v>
      </c>
      <c r="K37" s="5" t="n">
        <v>200</v>
      </c>
      <c r="L37" s="5" t="n">
        <v>2</v>
      </c>
      <c r="M37" s="5" t="inlineStr">
        <is>
          <t>200V 30A （1）</t>
        </is>
      </c>
      <c r="N37" s="5" t="n">
        <v>1.5</v>
      </c>
      <c r="O37" s="5" t="n">
        <v>2</v>
      </c>
      <c r="P37" s="5" t="n"/>
      <c r="Q37" s="5" t="n"/>
      <c r="R37" s="5" t="n"/>
      <c r="S37" s="5" t="n"/>
      <c r="T37" s="5" t="n"/>
      <c r="U37" s="5" t="n"/>
      <c r="V37" s="5" t="inlineStr">
        <is>
          <t>○</t>
        </is>
      </c>
      <c r="W37" s="5" t="inlineStr"/>
      <c r="X37" s="5" t="inlineStr"/>
      <c r="Y37" s="6">
        <f>COUNT(N37,Q37,T37)</f>
        <v/>
      </c>
      <c r="Z37" s="6">
        <f>IF(OR(K37="",NOT(ISNUMBER(K37))),"",K37*SUM(N37,Q37,T37))</f>
        <v/>
      </c>
      <c r="AA37" s="6">
        <f>IF(OR(Y37=0,N37=""),"",N37/Y37)</f>
        <v/>
      </c>
      <c r="AB37" s="6">
        <f>IF(OR(Y37=0,Q37=""),"",Q37/Y37)</f>
        <v/>
      </c>
      <c r="AC37" s="6">
        <f>IF(OR(Y37=0,T37=""),"",T37/Y37)</f>
        <v/>
      </c>
      <c r="AD37" s="6">
        <f>IF(F37="","",IF((IF(AND(Y37=0,NOT(SUMPRODUCT(--ISNUMBER(SEARCH({"棚板","棚","アングル","ｱﾝｸﾞﾙ","使用不可","ケーブル","ｹｰﾌﾞﾙ","PatchPnael","パッチ","引き出し","引出","ブランク","ﾌﾞﾗﾝｸ","マネージ","ﾏﾈｰｼﾞ","PDU","ONU"},$F37&amp;"")))&gt;0),NOT(SUMPRODUCT(--ISNUMBER(SEARCH({"電源オフ","未投入","停止","未使用","撤去"},$X37&amp;"")))&gt;0)),"／電力が未記入","")&amp;IF(AND(NOT(ISNUMBER(J37)),NOT(SUMPRODUCT(--ISNUMBER(SEARCH({"棚板","棚","アングル","ｱﾝｸﾞﾙ","使用不可","ケーブル","ｹｰﾌﾞﾙ","PatchPnael","パッチ","引き出し","引出","ブランク","ﾌﾞﾗﾝｸ","マネージ","ﾏﾈｰｼﾞ","PDU","ONU"},$F37&amp;"")))&gt;0)),"／重量が未記入","")&amp;IF(AND(K37&lt;&gt;"",NOT(ISNUMBER(K37))),"／電圧が数値でない","")&amp;IF(AND(N37&lt;&gt;"",NOT(ISNUMBER(N37))),"／電流が数値でない","")&amp;IF(AND(C37&lt;&gt;"",C37&lt;1),"／開始Uが1未満","")&amp;IF(AND(E37&lt;&gt;"",E37&gt;IFERROR(VLOOKUP(A37,ラック定義!$A:$B,2,FALSE),47)),"／総Uをはみ出す","")&amp;IF(AND(A37&lt;&gt;"",COUNTIF(ラック定義!$A:$A,A37)=0),"／ラックが定義にない","")&amp;IF(AND(SUMPRODUCT((機器台帳!$A$2:$A$400=$A37)*((機器台帳!$B$2:$B$400=$B37)+(機器台帳!$B$2:$B$400="両面")+($B37="両面")&gt;0)*(機器台帳!$C$2:$C$400&lt;=$C37+$D37-1)*(機器台帳!$C$2:$C$400+機器台帳!$D$2:$D$400-1&gt;=$C37)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&amp;"")))&gt;0)),"／同じUに他の機器(横並びなら正常)","")&amp;IF(AND(M37&lt;&gt;"",COUNTIFS(回路定義!$A:$A,A37,回路定義!$B:$B,M37)=0),"／回路1が定義にない","")&amp;IF(AND(P37&lt;&gt;"",COUNTIFS(回路定義!$A:$A,A37,回路定義!$B:$B,P37)=0),"／回路2が定義にない","")&amp;IF(AND(S37&lt;&gt;"",COUNTIFS(回路定義!$A:$A,A37,回路定義!$B:$B,S37)=0),"／回路3が定義にない",""))="","",MID(IF(AND(Y37=0,NOT(SUMPRODUCT(--ISNUMBER(SEARCH({"棚板","棚","アングル","ｱﾝｸﾞﾙ","使用不可","ケーブル","ｹｰﾌﾞﾙ","PatchPnael","パッチ","引き出し","引出","ブランク","ﾌﾞﾗﾝｸ","マネージ","ﾏﾈｰｼﾞ","PDU","ONU"},$F37&amp;"")))&gt;0),NOT(SUMPRODUCT(--ISNUMBER(SEARCH({"電源オフ","未投入","停止","未使用","撤去"},$X37&amp;"")))&gt;0)),"／電力が未記入","")&amp;IF(AND(NOT(ISNUMBER(J37)),NOT(SUMPRODUCT(--ISNUMBER(SEARCH({"棚板","棚","アングル","ｱﾝｸﾞﾙ","使用不可","ケーブル","ｹｰﾌﾞﾙ","PatchPnael","パッチ","引き出し","引出","ブランク","ﾌﾞﾗﾝｸ","マネージ","ﾏﾈｰｼﾞ","PDU","ONU"},$F37&amp;"")))&gt;0)),"／重量が未記入","")&amp;IF(AND(K37&lt;&gt;"",NOT(ISNUMBER(K37))),"／電圧が数値でない","")&amp;IF(AND(N37&lt;&gt;"",NOT(ISNUMBER(N37))),"／電流が数値でない","")&amp;IF(AND(C37&lt;&gt;"",C37&lt;1),"／開始Uが1未満","")&amp;IF(AND(E37&lt;&gt;"",E37&gt;IFERROR(VLOOKUP(A37,ラック定義!$A:$B,2,FALSE),47)),"／総Uをはみ出す","")&amp;IF(AND(A37&lt;&gt;"",COUNTIF(ラック定義!$A:$A,A37)=0),"／ラックが定義にない","")&amp;IF(AND(SUMPRODUCT((機器台帳!$A$2:$A$400=$A37)*((機器台帳!$B$2:$B$400=$B37)+(機器台帳!$B$2:$B$400="両面")+($B37="両面")&gt;0)*(機器台帳!$C$2:$C$400&lt;=$C37+$D37-1)*(機器台帳!$C$2:$C$400+機器台帳!$D$2:$D$400-1&gt;=$C37)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&amp;"")))&gt;0)),"／同じUに他の機器(横並びなら正常)","")&amp;IF(AND(M37&lt;&gt;"",COUNTIFS(回路定義!$A:$A,A37,回路定義!$B:$B,M37)=0),"／回路1が定義にない","")&amp;IF(AND(P37&lt;&gt;"",COUNTIFS(回路定義!$A:$A,A37,回路定義!$B:$B,P37)=0),"／回路2が定義にない","")&amp;IF(AND(S37&lt;&gt;"",COUNTIFS(回路定義!$A:$A,A37,回路定義!$B:$B,S37)=0),"／回路3が定義にない",""),2,300)))</f>
        <v/>
      </c>
    </row>
    <row r="38">
      <c r="A38" s="5" t="inlineStr">
        <is>
          <t>E24-S8-2</t>
        </is>
      </c>
      <c r="B38" s="5" t="inlineStr">
        <is>
          <t>前面</t>
        </is>
      </c>
      <c r="C38" s="5" t="n">
        <v>24</v>
      </c>
      <c r="D38" s="5" t="n">
        <v>1</v>
      </c>
      <c r="E38" s="6">
        <f>IF(C38="","",C38+D38-1)</f>
        <v/>
      </c>
      <c r="F38" s="5" t="inlineStr">
        <is>
          <t>HPE DX360-6 )</t>
        </is>
      </c>
      <c r="G38" s="5" t="inlineStr">
        <is>
          <t>H2008901</t>
        </is>
      </c>
      <c r="H38" s="5" t="inlineStr">
        <is>
          <t>Nutanix</t>
        </is>
      </c>
      <c r="I38" s="5" t="inlineStr">
        <is>
          <t>Server</t>
        </is>
      </c>
      <c r="J38" s="5" t="n">
        <v>10</v>
      </c>
      <c r="K38" s="5" t="n">
        <v>200</v>
      </c>
      <c r="L38" s="5" t="n">
        <v>2</v>
      </c>
      <c r="M38" s="5" t="inlineStr">
        <is>
          <t>200V 30A （1）</t>
        </is>
      </c>
      <c r="N38" s="5" t="n">
        <v>1.5</v>
      </c>
      <c r="O38" s="5" t="n">
        <v>2</v>
      </c>
      <c r="P38" s="5" t="n"/>
      <c r="Q38" s="5" t="n"/>
      <c r="R38" s="5" t="n"/>
      <c r="S38" s="5" t="n"/>
      <c r="T38" s="5" t="n"/>
      <c r="U38" s="5" t="n"/>
      <c r="V38" s="5" t="inlineStr">
        <is>
          <t>○</t>
        </is>
      </c>
      <c r="W38" s="5" t="inlineStr"/>
      <c r="X38" s="5" t="inlineStr"/>
      <c r="Y38" s="6">
        <f>COUNT(N38,Q38,T38)</f>
        <v/>
      </c>
      <c r="Z38" s="6">
        <f>IF(OR(K38="",NOT(ISNUMBER(K38))),"",K38*SUM(N38,Q38,T38))</f>
        <v/>
      </c>
      <c r="AA38" s="6">
        <f>IF(OR(Y38=0,N38=""),"",N38/Y38)</f>
        <v/>
      </c>
      <c r="AB38" s="6">
        <f>IF(OR(Y38=0,Q38=""),"",Q38/Y38)</f>
        <v/>
      </c>
      <c r="AC38" s="6">
        <f>IF(OR(Y38=0,T38=""),"",T38/Y38)</f>
        <v/>
      </c>
      <c r="AD38" s="6">
        <f>IF(F38="","",IF((IF(AND(Y38=0,NOT(SUMPRODUCT(--ISNUMBER(SEARCH({"棚板","棚","アングル","ｱﾝｸﾞﾙ","使用不可","ケーブル","ｹｰﾌﾞﾙ","PatchPnael","パッチ","引き出し","引出","ブランク","ﾌﾞﾗﾝｸ","マネージ","ﾏﾈｰｼﾞ","PDU","ONU"},$F38&amp;"")))&gt;0),NOT(SUMPRODUCT(--ISNUMBER(SEARCH({"電源オフ","未投入","停止","未使用","撤去"},$X38&amp;"")))&gt;0)),"／電力が未記入","")&amp;IF(AND(NOT(ISNUMBER(J38)),NOT(SUMPRODUCT(--ISNUMBER(SEARCH({"棚板","棚","アングル","ｱﾝｸﾞﾙ","使用不可","ケーブル","ｹｰﾌﾞﾙ","PatchPnael","パッチ","引き出し","引出","ブランク","ﾌﾞﾗﾝｸ","マネージ","ﾏﾈｰｼﾞ","PDU","ONU"},$F38&amp;"")))&gt;0)),"／重量が未記入","")&amp;IF(AND(K38&lt;&gt;"",NOT(ISNUMBER(K38))),"／電圧が数値でない","")&amp;IF(AND(N38&lt;&gt;"",NOT(ISNUMBER(N38))),"／電流が数値でない","")&amp;IF(AND(C38&lt;&gt;"",C38&lt;1),"／開始Uが1未満","")&amp;IF(AND(E38&lt;&gt;"",E38&gt;IFERROR(VLOOKUP(A38,ラック定義!$A:$B,2,FALSE),47)),"／総Uをはみ出す","")&amp;IF(AND(A38&lt;&gt;"",COUNTIF(ラック定義!$A:$A,A38)=0),"／ラックが定義にない","")&amp;IF(AND(SUMPRODUCT((機器台帳!$A$2:$A$400=$A38)*((機器台帳!$B$2:$B$400=$B38)+(機器台帳!$B$2:$B$400="両面")+($B38="両面")&gt;0)*(機器台帳!$C$2:$C$400&lt;=$C38+$D38-1)*(機器台帳!$C$2:$C$400+機器台帳!$D$2:$D$400-1&gt;=$C38)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&amp;"")))&gt;0)),"／同じUに他の機器(横並びなら正常)","")&amp;IF(AND(M38&lt;&gt;"",COUNTIFS(回路定義!$A:$A,A38,回路定義!$B:$B,M38)=0),"／回路1が定義にない","")&amp;IF(AND(P38&lt;&gt;"",COUNTIFS(回路定義!$A:$A,A38,回路定義!$B:$B,P38)=0),"／回路2が定義にない","")&amp;IF(AND(S38&lt;&gt;"",COUNTIFS(回路定義!$A:$A,A38,回路定義!$B:$B,S38)=0),"／回路3が定義にない",""))="","",MID(IF(AND(Y38=0,NOT(SUMPRODUCT(--ISNUMBER(SEARCH({"棚板","棚","アングル","ｱﾝｸﾞﾙ","使用不可","ケーブル","ｹｰﾌﾞﾙ","PatchPnael","パッチ","引き出し","引出","ブランク","ﾌﾞﾗﾝｸ","マネージ","ﾏﾈｰｼﾞ","PDU","ONU"},$F38&amp;"")))&gt;0),NOT(SUMPRODUCT(--ISNUMBER(SEARCH({"電源オフ","未投入","停止","未使用","撤去"},$X38&amp;"")))&gt;0)),"／電力が未記入","")&amp;IF(AND(NOT(ISNUMBER(J38)),NOT(SUMPRODUCT(--ISNUMBER(SEARCH({"棚板","棚","アングル","ｱﾝｸﾞﾙ","使用不可","ケーブル","ｹｰﾌﾞﾙ","PatchPnael","パッチ","引き出し","引出","ブランク","ﾌﾞﾗﾝｸ","マネージ","ﾏﾈｰｼﾞ","PDU","ONU"},$F38&amp;"")))&gt;0)),"／重量が未記入","")&amp;IF(AND(K38&lt;&gt;"",NOT(ISNUMBER(K38))),"／電圧が数値でない","")&amp;IF(AND(N38&lt;&gt;"",NOT(ISNUMBER(N38))),"／電流が数値でない","")&amp;IF(AND(C38&lt;&gt;"",C38&lt;1),"／開始Uが1未満","")&amp;IF(AND(E38&lt;&gt;"",E38&gt;IFERROR(VLOOKUP(A38,ラック定義!$A:$B,2,FALSE),47)),"／総Uをはみ出す","")&amp;IF(AND(A38&lt;&gt;"",COUNTIF(ラック定義!$A:$A,A38)=0),"／ラックが定義にない","")&amp;IF(AND(SUMPRODUCT((機器台帳!$A$2:$A$400=$A38)*((機器台帳!$B$2:$B$400=$B38)+(機器台帳!$B$2:$B$400="両面")+($B38="両面")&gt;0)*(機器台帳!$C$2:$C$400&lt;=$C38+$D38-1)*(機器台帳!$C$2:$C$400+機器台帳!$D$2:$D$400-1&gt;=$C38)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&amp;"")))&gt;0)),"／同じUに他の機器(横並びなら正常)","")&amp;IF(AND(M38&lt;&gt;"",COUNTIFS(回路定義!$A:$A,A38,回路定義!$B:$B,M38)=0),"／回路1が定義にない","")&amp;IF(AND(P38&lt;&gt;"",COUNTIFS(回路定義!$A:$A,A38,回路定義!$B:$B,P38)=0),"／回路2が定義にない","")&amp;IF(AND(S38&lt;&gt;"",COUNTIFS(回路定義!$A:$A,A38,回路定義!$B:$B,S38)=0),"／回路3が定義にない",""),2,300)))</f>
        <v/>
      </c>
    </row>
    <row r="39">
      <c r="A39" s="5" t="inlineStr">
        <is>
          <t>E24-S8-2</t>
        </is>
      </c>
      <c r="B39" s="5" t="inlineStr">
        <is>
          <t>背面</t>
        </is>
      </c>
      <c r="C39" s="5" t="n">
        <v>24</v>
      </c>
      <c r="D39" s="5" t="n">
        <v>1</v>
      </c>
      <c r="E39" s="6">
        <f>IF(C39="","",C39+D39-1)</f>
        <v/>
      </c>
      <c r="F39" s="5" t="inlineStr">
        <is>
          <t>HPE DX360-6</t>
        </is>
      </c>
      <c r="G39" s="5" t="inlineStr">
        <is>
          <t>H2008891</t>
        </is>
      </c>
      <c r="H39" s="5" t="inlineStr">
        <is>
          <t>Nutanix</t>
        </is>
      </c>
      <c r="I39" s="5" t="inlineStr">
        <is>
          <t>Server</t>
        </is>
      </c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inlineStr">
        <is>
          <t>○</t>
        </is>
      </c>
      <c r="W39" s="5" t="inlineStr"/>
      <c r="X39" s="5" t="inlineStr"/>
      <c r="Y39" s="6">
        <f>COUNT(N39,Q39,T39)</f>
        <v/>
      </c>
      <c r="Z39" s="6">
        <f>IF(OR(K39="",NOT(ISNUMBER(K39))),"",K39*SUM(N39,Q39,T39))</f>
        <v/>
      </c>
      <c r="AA39" s="6">
        <f>IF(OR(Y39=0,N39=""),"",N39/Y39)</f>
        <v/>
      </c>
      <c r="AB39" s="6">
        <f>IF(OR(Y39=0,Q39=""),"",Q39/Y39)</f>
        <v/>
      </c>
      <c r="AC39" s="6">
        <f>IF(OR(Y39=0,T39=""),"",T39/Y39)</f>
        <v/>
      </c>
      <c r="AD39" s="6">
        <f>IF(F39="","",IF((IF(AND(Y39=0,NOT(SUMPRODUCT(--ISNUMBER(SEARCH({"棚板","棚","アングル","ｱﾝｸﾞﾙ","使用不可","ケーブル","ｹｰﾌﾞﾙ","PatchPnael","パッチ","引き出し","引出","ブランク","ﾌﾞﾗﾝｸ","マネージ","ﾏﾈｰｼﾞ","PDU","ONU"},$F39&amp;"")))&gt;0),NOT(SUMPRODUCT(--ISNUMBER(SEARCH({"電源オフ","未投入","停止","未使用","撤去"},$X39&amp;"")))&gt;0)),"／電力が未記入","")&amp;IF(AND(NOT(ISNUMBER(J39)),NOT(SUMPRODUCT(--ISNUMBER(SEARCH({"棚板","棚","アングル","ｱﾝｸﾞﾙ","使用不可","ケーブル","ｹｰﾌﾞﾙ","PatchPnael","パッチ","引き出し","引出","ブランク","ﾌﾞﾗﾝｸ","マネージ","ﾏﾈｰｼﾞ","PDU","ONU"},$F39&amp;"")))&gt;0)),"／重量が未記入","")&amp;IF(AND(K39&lt;&gt;"",NOT(ISNUMBER(K39))),"／電圧が数値でない","")&amp;IF(AND(N39&lt;&gt;"",NOT(ISNUMBER(N39))),"／電流が数値でない","")&amp;IF(AND(C39&lt;&gt;"",C39&lt;1),"／開始Uが1未満","")&amp;IF(AND(E39&lt;&gt;"",E39&gt;IFERROR(VLOOKUP(A39,ラック定義!$A:$B,2,FALSE),47)),"／総Uをはみ出す","")&amp;IF(AND(A39&lt;&gt;"",COUNTIF(ラック定義!$A:$A,A39)=0),"／ラックが定義にない","")&amp;IF(AND(SUMPRODUCT((機器台帳!$A$2:$A$400=$A39)*((機器台帳!$B$2:$B$400=$B39)+(機器台帳!$B$2:$B$400="両面")+($B39="両面")&gt;0)*(機器台帳!$C$2:$C$400&lt;=$C39+$D39-1)*(機器台帳!$C$2:$C$400+機器台帳!$D$2:$D$400-1&gt;=$C39)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&amp;"")))&gt;0)),"／同じUに他の機器(横並びなら正常)","")&amp;IF(AND(M39&lt;&gt;"",COUNTIFS(回路定義!$A:$A,A39,回路定義!$B:$B,M39)=0),"／回路1が定義にない","")&amp;IF(AND(P39&lt;&gt;"",COUNTIFS(回路定義!$A:$A,A39,回路定義!$B:$B,P39)=0),"／回路2が定義にない","")&amp;IF(AND(S39&lt;&gt;"",COUNTIFS(回路定義!$A:$A,A39,回路定義!$B:$B,S39)=0),"／回路3が定義にない",""))="","",MID(IF(AND(Y39=0,NOT(SUMPRODUCT(--ISNUMBER(SEARCH({"棚板","棚","アングル","ｱﾝｸﾞﾙ","使用不可","ケーブル","ｹｰﾌﾞﾙ","PatchPnael","パッチ","引き出し","引出","ブランク","ﾌﾞﾗﾝｸ","マネージ","ﾏﾈｰｼﾞ","PDU","ONU"},$F39&amp;"")))&gt;0),NOT(SUMPRODUCT(--ISNUMBER(SEARCH({"電源オフ","未投入","停止","未使用","撤去"},$X39&amp;"")))&gt;0)),"／電力が未記入","")&amp;IF(AND(NOT(ISNUMBER(J39)),NOT(SUMPRODUCT(--ISNUMBER(SEARCH({"棚板","棚","アングル","ｱﾝｸﾞﾙ","使用不可","ケーブル","ｹｰﾌﾞﾙ","PatchPnael","パッチ","引き出し","引出","ブランク","ﾌﾞﾗﾝｸ","マネージ","ﾏﾈｰｼﾞ","PDU","ONU"},$F39&amp;"")))&gt;0)),"／重量が未記入","")&amp;IF(AND(K39&lt;&gt;"",NOT(ISNUMBER(K39))),"／電圧が数値でない","")&amp;IF(AND(N39&lt;&gt;"",NOT(ISNUMBER(N39))),"／電流が数値でない","")&amp;IF(AND(C39&lt;&gt;"",C39&lt;1),"／開始Uが1未満","")&amp;IF(AND(E39&lt;&gt;"",E39&gt;IFERROR(VLOOKUP(A39,ラック定義!$A:$B,2,FALSE),47)),"／総Uをはみ出す","")&amp;IF(AND(A39&lt;&gt;"",COUNTIF(ラック定義!$A:$A,A39)=0),"／ラックが定義にない","")&amp;IF(AND(SUMPRODUCT((機器台帳!$A$2:$A$400=$A39)*((機器台帳!$B$2:$B$400=$B39)+(機器台帳!$B$2:$B$400="両面")+($B39="両面")&gt;0)*(機器台帳!$C$2:$C$400&lt;=$C39+$D39-1)*(機器台帳!$C$2:$C$400+機器台帳!$D$2:$D$400-1&gt;=$C39)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&amp;"")))&gt;0)),"／同じUに他の機器(横並びなら正常)","")&amp;IF(AND(M39&lt;&gt;"",COUNTIFS(回路定義!$A:$A,A39,回路定義!$B:$B,M39)=0),"／回路1が定義にない","")&amp;IF(AND(P39&lt;&gt;"",COUNTIFS(回路定義!$A:$A,A39,回路定義!$B:$B,P39)=0),"／回路2が定義にない","")&amp;IF(AND(S39&lt;&gt;"",COUNTIFS(回路定義!$A:$A,A39,回路定義!$B:$B,S39)=0),"／回路3が定義にない",""),2,300)))</f>
        <v/>
      </c>
    </row>
    <row r="40">
      <c r="A40" s="5" t="inlineStr">
        <is>
          <t>E24-S8-2</t>
        </is>
      </c>
      <c r="B40" s="5" t="inlineStr">
        <is>
          <t>前面</t>
        </is>
      </c>
      <c r="C40" s="5" t="n">
        <v>20</v>
      </c>
      <c r="D40" s="5" t="n">
        <v>2</v>
      </c>
      <c r="E40" s="6">
        <f>IF(C40="","",C40+D40-1)</f>
        <v/>
      </c>
      <c r="F40" s="5" t="inlineStr">
        <is>
          <t>Huawei switch</t>
        </is>
      </c>
      <c r="G40" s="5" t="inlineStr">
        <is>
          <t>H1703067</t>
        </is>
      </c>
      <c r="H40" s="5" t="inlineStr"/>
      <c r="I40" s="5" t="inlineStr">
        <is>
          <t>Server</t>
        </is>
      </c>
      <c r="J40" s="5" t="n"/>
      <c r="K40" s="5" t="n">
        <v>200</v>
      </c>
      <c r="L40" s="5" t="n">
        <v>1</v>
      </c>
      <c r="M40" s="5" t="inlineStr">
        <is>
          <t>200V 30A （1）</t>
        </is>
      </c>
      <c r="N40" s="5" t="n">
        <v>1.5</v>
      </c>
      <c r="O40" s="5" t="n">
        <v>2</v>
      </c>
      <c r="P40" s="5" t="n"/>
      <c r="Q40" s="5" t="n"/>
      <c r="R40" s="5" t="n"/>
      <c r="S40" s="5" t="n"/>
      <c r="T40" s="5" t="n"/>
      <c r="U40" s="5" t="n"/>
      <c r="V40" s="5" t="inlineStr">
        <is>
          <t>○</t>
        </is>
      </c>
      <c r="W40" s="5" t="inlineStr"/>
      <c r="X40" s="5" t="inlineStr"/>
      <c r="Y40" s="6">
        <f>COUNT(N40,Q40,T40)</f>
        <v/>
      </c>
      <c r="Z40" s="6">
        <f>IF(OR(K40="",NOT(ISNUMBER(K40))),"",K40*SUM(N40,Q40,T40))</f>
        <v/>
      </c>
      <c r="AA40" s="6">
        <f>IF(OR(Y40=0,N40=""),"",N40/Y40)</f>
        <v/>
      </c>
      <c r="AB40" s="6">
        <f>IF(OR(Y40=0,Q40=""),"",Q40/Y40)</f>
        <v/>
      </c>
      <c r="AC40" s="6">
        <f>IF(OR(Y40=0,T40=""),"",T40/Y40)</f>
        <v/>
      </c>
      <c r="AD40" s="6">
        <f>IF(F40="","",IF((IF(AND(Y40=0,NOT(SUMPRODUCT(--ISNUMBER(SEARCH({"棚板","棚","アングル","ｱﾝｸﾞﾙ","使用不可","ケーブル","ｹｰﾌﾞﾙ","PatchPnael","パッチ","引き出し","引出","ブランク","ﾌﾞﾗﾝｸ","マネージ","ﾏﾈｰｼﾞ","PDU","ONU"},$F40&amp;"")))&gt;0),NOT(SUMPRODUCT(--ISNUMBER(SEARCH({"電源オフ","未投入","停止","未使用","撤去"},$X40&amp;"")))&gt;0)),"／電力が未記入","")&amp;IF(AND(NOT(ISNUMBER(J40)),NOT(SUMPRODUCT(--ISNUMBER(SEARCH({"棚板","棚","アングル","ｱﾝｸﾞﾙ","使用不可","ケーブル","ｹｰﾌﾞﾙ","PatchPnael","パッチ","引き出し","引出","ブランク","ﾌﾞﾗﾝｸ","マネージ","ﾏﾈｰｼﾞ","PDU","ONU"},$F40&amp;"")))&gt;0)),"／重量が未記入","")&amp;IF(AND(K40&lt;&gt;"",NOT(ISNUMBER(K40))),"／電圧が数値でない","")&amp;IF(AND(N40&lt;&gt;"",NOT(ISNUMBER(N40))),"／電流が数値でない","")&amp;IF(AND(C40&lt;&gt;"",C40&lt;1),"／開始Uが1未満","")&amp;IF(AND(E40&lt;&gt;"",E40&gt;IFERROR(VLOOKUP(A40,ラック定義!$A:$B,2,FALSE),47)),"／総Uをはみ出す","")&amp;IF(AND(A40&lt;&gt;"",COUNTIF(ラック定義!$A:$A,A40)=0),"／ラックが定義にない","")&amp;IF(AND(SUMPRODUCT((機器台帳!$A$2:$A$400=$A40)*((機器台帳!$B$2:$B$400=$B40)+(機器台帳!$B$2:$B$400="両面")+($B40="両面")&gt;0)*(機器台帳!$C$2:$C$400&lt;=$C40+$D40-1)*(機器台帳!$C$2:$C$400+機器台帳!$D$2:$D$400-1&gt;=$C40)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40&amp;"")))&gt;0)),"／同じUに他の機器(横並びなら正常)","")&amp;IF(AND(M40&lt;&gt;"",COUNTIFS(回路定義!$A:$A,A40,回路定義!$B:$B,M40)=0),"／回路1が定義にない","")&amp;IF(AND(P40&lt;&gt;"",COUNTIFS(回路定義!$A:$A,A40,回路定義!$B:$B,P40)=0),"／回路2が定義にない","")&amp;IF(AND(S40&lt;&gt;"",COUNTIFS(回路定義!$A:$A,A40,回路定義!$B:$B,S40)=0),"／回路3が定義にない",""))="","",MID(IF(AND(Y40=0,NOT(SUMPRODUCT(--ISNUMBER(SEARCH({"棚板","棚","アングル","ｱﾝｸﾞﾙ","使用不可","ケーブル","ｹｰﾌﾞﾙ","PatchPnael","パッチ","引き出し","引出","ブランク","ﾌﾞﾗﾝｸ","マネージ","ﾏﾈｰｼﾞ","PDU","ONU"},$F40&amp;"")))&gt;0),NOT(SUMPRODUCT(--ISNUMBER(SEARCH({"電源オフ","未投入","停止","未使用","撤去"},$X40&amp;"")))&gt;0)),"／電力が未記入","")&amp;IF(AND(NOT(ISNUMBER(J40)),NOT(SUMPRODUCT(--ISNUMBER(SEARCH({"棚板","棚","アングル","ｱﾝｸﾞﾙ","使用不可","ケーブル","ｹｰﾌﾞﾙ","PatchPnael","パッチ","引き出し","引出","ブランク","ﾌﾞﾗﾝｸ","マネージ","ﾏﾈｰｼﾞ","PDU","ONU"},$F40&amp;"")))&gt;0)),"／重量が未記入","")&amp;IF(AND(K40&lt;&gt;"",NOT(ISNUMBER(K40))),"／電圧が数値でない","")&amp;IF(AND(N40&lt;&gt;"",NOT(ISNUMBER(N40))),"／電流が数値でない","")&amp;IF(AND(C40&lt;&gt;"",C40&lt;1),"／開始Uが1未満","")&amp;IF(AND(E40&lt;&gt;"",E40&gt;IFERROR(VLOOKUP(A40,ラック定義!$A:$B,2,FALSE),47)),"／総Uをはみ出す","")&amp;IF(AND(A40&lt;&gt;"",COUNTIF(ラック定義!$A:$A,A40)=0),"／ラックが定義にない","")&amp;IF(AND(SUMPRODUCT((機器台帳!$A$2:$A$400=$A40)*((機器台帳!$B$2:$B$400=$B40)+(機器台帳!$B$2:$B$400="両面")+($B40="両面")&gt;0)*(機器台帳!$C$2:$C$400&lt;=$C40+$D40-1)*(機器台帳!$C$2:$C$400+機器台帳!$D$2:$D$400-1&gt;=$C40)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40&amp;"")))&gt;0)),"／同じUに他の機器(横並びなら正常)","")&amp;IF(AND(M40&lt;&gt;"",COUNTIFS(回路定義!$A:$A,A40,回路定義!$B:$B,M40)=0),"／回路1が定義にない","")&amp;IF(AND(P40&lt;&gt;"",COUNTIFS(回路定義!$A:$A,A40,回路定義!$B:$B,P40)=0),"／回路2が定義にない","")&amp;IF(AND(S40&lt;&gt;"",COUNTIFS(回路定義!$A:$A,A40,回路定義!$B:$B,S40)=0),"／回路3が定義にない",""),2,300)))</f>
        <v/>
      </c>
    </row>
    <row r="41">
      <c r="A41" s="5" t="inlineStr">
        <is>
          <t>E24-S8-2</t>
        </is>
      </c>
      <c r="B41" s="5" t="inlineStr">
        <is>
          <t>背面</t>
        </is>
      </c>
      <c r="C41" s="5" t="n">
        <v>20</v>
      </c>
      <c r="D41" s="5" t="n">
        <v>1</v>
      </c>
      <c r="E41" s="6">
        <f>IF(C41="","",C41+D41-1)</f>
        <v/>
      </c>
      <c r="F41" s="5" t="inlineStr">
        <is>
          <t>Huawei server</t>
        </is>
      </c>
      <c r="G41" s="5" t="inlineStr">
        <is>
          <t>H1703061</t>
        </is>
      </c>
      <c r="H41" s="5" t="inlineStr"/>
      <c r="I41" s="5" t="inlineStr">
        <is>
          <t>Server</t>
        </is>
      </c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inlineStr">
        <is>
          <t>○</t>
        </is>
      </c>
      <c r="W41" s="5" t="inlineStr"/>
      <c r="X41" s="5" t="inlineStr"/>
      <c r="Y41" s="6">
        <f>COUNT(N41,Q41,T41)</f>
        <v/>
      </c>
      <c r="Z41" s="6">
        <f>IF(OR(K41="",NOT(ISNUMBER(K41))),"",K41*SUM(N41,Q41,T41))</f>
        <v/>
      </c>
      <c r="AA41" s="6">
        <f>IF(OR(Y41=0,N41=""),"",N41/Y41)</f>
        <v/>
      </c>
      <c r="AB41" s="6">
        <f>IF(OR(Y41=0,Q41=""),"",Q41/Y41)</f>
        <v/>
      </c>
      <c r="AC41" s="6">
        <f>IF(OR(Y41=0,T41=""),"",T41/Y41)</f>
        <v/>
      </c>
      <c r="AD41" s="6">
        <f>IF(F41="","",IF((IF(AND(Y41=0,NOT(SUMPRODUCT(--ISNUMBER(SEARCH({"棚板","棚","アングル","ｱﾝｸﾞﾙ","使用不可","ケーブル","ｹｰﾌﾞﾙ","PatchPnael","パッチ","引き出し","引出","ブランク","ﾌﾞﾗﾝｸ","マネージ","ﾏﾈｰｼﾞ","PDU","ONU"},$F41&amp;"")))&gt;0),NOT(SUMPRODUCT(--ISNUMBER(SEARCH({"電源オフ","未投入","停止","未使用","撤去"},$X41&amp;"")))&gt;0)),"／電力が未記入","")&amp;IF(AND(NOT(ISNUMBER(J41)),NOT(SUMPRODUCT(--ISNUMBER(SEARCH({"棚板","棚","アングル","ｱﾝｸﾞﾙ","使用不可","ケーブル","ｹｰﾌﾞﾙ","PatchPnael","パッチ","引き出し","引出","ブランク","ﾌﾞﾗﾝｸ","マネージ","ﾏﾈｰｼﾞ","PDU","ONU"},$F41&amp;"")))&gt;0)),"／重量が未記入","")&amp;IF(AND(K41&lt;&gt;"",NOT(ISNUMBER(K41))),"／電圧が数値でない","")&amp;IF(AND(N41&lt;&gt;"",NOT(ISNUMBER(N41))),"／電流が数値でない","")&amp;IF(AND(C41&lt;&gt;"",C41&lt;1),"／開始Uが1未満","")&amp;IF(AND(E41&lt;&gt;"",E41&gt;IFERROR(VLOOKUP(A41,ラック定義!$A:$B,2,FALSE),47)),"／総Uをはみ出す","")&amp;IF(AND(A41&lt;&gt;"",COUNTIF(ラック定義!$A:$A,A41)=0),"／ラックが定義にない","")&amp;IF(AND(SUMPRODUCT((機器台帳!$A$2:$A$400=$A41)*((機器台帳!$B$2:$B$400=$B41)+(機器台帳!$B$2:$B$400="両面")+($B41="両面")&gt;0)*(機器台帳!$C$2:$C$400&lt;=$C41+$D41-1)*(機器台帳!$C$2:$C$400+機器台帳!$D$2:$D$400-1&gt;=$C41)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41&amp;"")))&gt;0)),"／同じUに他の機器(横並びなら正常)","")&amp;IF(AND(M41&lt;&gt;"",COUNTIFS(回路定義!$A:$A,A41,回路定義!$B:$B,M41)=0),"／回路1が定義にない","")&amp;IF(AND(P41&lt;&gt;"",COUNTIFS(回路定義!$A:$A,A41,回路定義!$B:$B,P41)=0),"／回路2が定義にない","")&amp;IF(AND(S41&lt;&gt;"",COUNTIFS(回路定義!$A:$A,A41,回路定義!$B:$B,S41)=0),"／回路3が定義にない",""))="","",MID(IF(AND(Y41=0,NOT(SUMPRODUCT(--ISNUMBER(SEARCH({"棚板","棚","アングル","ｱﾝｸﾞﾙ","使用不可","ケーブル","ｹｰﾌﾞﾙ","PatchPnael","パッチ","引き出し","引出","ブランク","ﾌﾞﾗﾝｸ","マネージ","ﾏﾈｰｼﾞ","PDU","ONU"},$F41&amp;"")))&gt;0),NOT(SUMPRODUCT(--ISNUMBER(SEARCH({"電源オフ","未投入","停止","未使用","撤去"},$X41&amp;"")))&gt;0)),"／電力が未記入","")&amp;IF(AND(NOT(ISNUMBER(J41)),NOT(SUMPRODUCT(--ISNUMBER(SEARCH({"棚板","棚","アングル","ｱﾝｸﾞﾙ","使用不可","ケーブル","ｹｰﾌﾞﾙ","PatchPnael","パッチ","引き出し","引出","ブランク","ﾌﾞﾗﾝｸ","マネージ","ﾏﾈｰｼﾞ","PDU","ONU"},$F41&amp;"")))&gt;0)),"／重量が未記入","")&amp;IF(AND(K41&lt;&gt;"",NOT(ISNUMBER(K41))),"／電圧が数値でない","")&amp;IF(AND(N41&lt;&gt;"",NOT(ISNUMBER(N41))),"／電流が数値でない","")&amp;IF(AND(C41&lt;&gt;"",C41&lt;1),"／開始Uが1未満","")&amp;IF(AND(E41&lt;&gt;"",E41&gt;IFERROR(VLOOKUP(A41,ラック定義!$A:$B,2,FALSE),47)),"／総Uをはみ出す","")&amp;IF(AND(A41&lt;&gt;"",COUNTIF(ラック定義!$A:$A,A41)=0),"／ラックが定義にない","")&amp;IF(AND(SUMPRODUCT((機器台帳!$A$2:$A$400=$A41)*((機器台帳!$B$2:$B$400=$B41)+(機器台帳!$B$2:$B$400="両面")+($B41="両面")&gt;0)*(機器台帳!$C$2:$C$400&lt;=$C41+$D41-1)*(機器台帳!$C$2:$C$400+機器台帳!$D$2:$D$400-1&gt;=$C41)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41&amp;"")))&gt;0)),"／同じUに他の機器(横並びなら正常)","")&amp;IF(AND(M41&lt;&gt;"",COUNTIFS(回路定義!$A:$A,A41,回路定義!$B:$B,M41)=0),"／回路1が定義にない","")&amp;IF(AND(P41&lt;&gt;"",COUNTIFS(回路定義!$A:$A,A41,回路定義!$B:$B,P41)=0),"／回路2が定義にない","")&amp;IF(AND(S41&lt;&gt;"",COUNTIFS(回路定義!$A:$A,A41,回路定義!$B:$B,S41)=0),"／回路3が定義にない",""),2,300)))</f>
        <v/>
      </c>
    </row>
    <row r="42">
      <c r="A42" s="5" t="inlineStr">
        <is>
          <t>E24-S8-2</t>
        </is>
      </c>
      <c r="B42" s="5" t="inlineStr">
        <is>
          <t>前面</t>
        </is>
      </c>
      <c r="C42" s="5" t="n">
        <v>19</v>
      </c>
      <c r="D42" s="5" t="n">
        <v>1</v>
      </c>
      <c r="E42" s="6">
        <f>IF(C42="","",C42+D42-1)</f>
        <v/>
      </c>
      <c r="F42" s="5" t="inlineStr">
        <is>
          <t>要確認: 原本 行32 の電力</t>
        </is>
      </c>
      <c r="G42" s="5" t="inlineStr"/>
      <c r="H42" s="5" t="inlineStr"/>
      <c r="I42" s="5" t="inlineStr">
        <is>
          <t>Server</t>
        </is>
      </c>
      <c r="J42" s="5" t="n"/>
      <c r="K42" s="5" t="n">
        <v>200</v>
      </c>
      <c r="L42" s="5" t="n">
        <v>1</v>
      </c>
      <c r="M42" s="5" t="inlineStr">
        <is>
          <t>200V 30A （1）</t>
        </is>
      </c>
      <c r="N42" s="5" t="n">
        <v>1.5</v>
      </c>
      <c r="O42" s="5" t="n">
        <v>2</v>
      </c>
      <c r="P42" s="5" t="n"/>
      <c r="Q42" s="5" t="n"/>
      <c r="R42" s="5" t="n"/>
      <c r="S42" s="5" t="n"/>
      <c r="T42" s="5" t="n"/>
      <c r="U42" s="5" t="n"/>
      <c r="V42" s="5" t="inlineStr"/>
      <c r="W42" s="5" t="inlineStr"/>
      <c r="X42" s="5" t="inlineStr">
        <is>
          <t>原本に電力の記入はあるが機器が描かれていない行</t>
        </is>
      </c>
      <c r="Y42" s="6">
        <f>COUNT(N42,Q42,T42)</f>
        <v/>
      </c>
      <c r="Z42" s="6">
        <f>IF(OR(K42="",NOT(ISNUMBER(K42))),"",K42*SUM(N42,Q42,T42))</f>
        <v/>
      </c>
      <c r="AA42" s="6">
        <f>IF(OR(Y42=0,N42=""),"",N42/Y42)</f>
        <v/>
      </c>
      <c r="AB42" s="6">
        <f>IF(OR(Y42=0,Q42=""),"",Q42/Y42)</f>
        <v/>
      </c>
      <c r="AC42" s="6">
        <f>IF(OR(Y42=0,T42=""),"",T42/Y42)</f>
        <v/>
      </c>
      <c r="AD42" s="6">
        <f>IF(F42="","",IF((IF(AND(Y42=0,NOT(SUMPRODUCT(--ISNUMBER(SEARCH({"棚板","棚","アングル","ｱﾝｸﾞﾙ","使用不可","ケーブル","ｹｰﾌﾞﾙ","PatchPnael","パッチ","引き出し","引出","ブランク","ﾌﾞﾗﾝｸ","マネージ","ﾏﾈｰｼﾞ","PDU","ONU"},$F42&amp;"")))&gt;0),NOT(SUMPRODUCT(--ISNUMBER(SEARCH({"電源オフ","未投入","停止","未使用","撤去"},$X42&amp;"")))&gt;0)),"／電力が未記入","")&amp;IF(AND(NOT(ISNUMBER(J42)),NOT(SUMPRODUCT(--ISNUMBER(SEARCH({"棚板","棚","アングル","ｱﾝｸﾞﾙ","使用不可","ケーブル","ｹｰﾌﾞﾙ","PatchPnael","パッチ","引き出し","引出","ブランク","ﾌﾞﾗﾝｸ","マネージ","ﾏﾈｰｼﾞ","PDU","ONU"},$F42&amp;"")))&gt;0)),"／重量が未記入","")&amp;IF(AND(K42&lt;&gt;"",NOT(ISNUMBER(K42))),"／電圧が数値でない","")&amp;IF(AND(N42&lt;&gt;"",NOT(ISNUMBER(N42))),"／電流が数値でない","")&amp;IF(AND(C42&lt;&gt;"",C42&lt;1),"／開始Uが1未満","")&amp;IF(AND(E42&lt;&gt;"",E42&gt;IFERROR(VLOOKUP(A42,ラック定義!$A:$B,2,FALSE),47)),"／総Uをはみ出す","")&amp;IF(AND(A42&lt;&gt;"",COUNTIF(ラック定義!$A:$A,A42)=0),"／ラックが定義にない","")&amp;IF(AND(SUMPRODUCT((機器台帳!$A$2:$A$400=$A42)*((機器台帳!$B$2:$B$400=$B42)+(機器台帳!$B$2:$B$400="両面")+($B42="両面")&gt;0)*(機器台帳!$C$2:$C$400&lt;=$C42+$D42-1)*(機器台帳!$C$2:$C$400+機器台帳!$D$2:$D$400-1&gt;=$C42)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42&amp;"")))&gt;0)),"／同じUに他の機器(横並びなら正常)","")&amp;IF(AND(M42&lt;&gt;"",COUNTIFS(回路定義!$A:$A,A42,回路定義!$B:$B,M42)=0),"／回路1が定義にない","")&amp;IF(AND(P42&lt;&gt;"",COUNTIFS(回路定義!$A:$A,A42,回路定義!$B:$B,P42)=0),"／回路2が定義にない","")&amp;IF(AND(S42&lt;&gt;"",COUNTIFS(回路定義!$A:$A,A42,回路定義!$B:$B,S42)=0),"／回路3が定義にない",""))="","",MID(IF(AND(Y42=0,NOT(SUMPRODUCT(--ISNUMBER(SEARCH({"棚板","棚","アングル","ｱﾝｸﾞﾙ","使用不可","ケーブル","ｹｰﾌﾞﾙ","PatchPnael","パッチ","引き出し","引出","ブランク","ﾌﾞﾗﾝｸ","マネージ","ﾏﾈｰｼﾞ","PDU","ONU"},$F42&amp;"")))&gt;0),NOT(SUMPRODUCT(--ISNUMBER(SEARCH({"電源オフ","未投入","停止","未使用","撤去"},$X42&amp;"")))&gt;0)),"／電力が未記入","")&amp;IF(AND(NOT(ISNUMBER(J42)),NOT(SUMPRODUCT(--ISNUMBER(SEARCH({"棚板","棚","アングル","ｱﾝｸﾞﾙ","使用不可","ケーブル","ｹｰﾌﾞﾙ","PatchPnael","パッチ","引き出し","引出","ブランク","ﾌﾞﾗﾝｸ","マネージ","ﾏﾈｰｼﾞ","PDU","ONU"},$F42&amp;"")))&gt;0)),"／重量が未記入","")&amp;IF(AND(K42&lt;&gt;"",NOT(ISNUMBER(K42))),"／電圧が数値でない","")&amp;IF(AND(N42&lt;&gt;"",NOT(ISNUMBER(N42))),"／電流が数値でない","")&amp;IF(AND(C42&lt;&gt;"",C42&lt;1),"／開始Uが1未満","")&amp;IF(AND(E42&lt;&gt;"",E42&gt;IFERROR(VLOOKUP(A42,ラック定義!$A:$B,2,FALSE),47)),"／総Uをはみ出す","")&amp;IF(AND(A42&lt;&gt;"",COUNTIF(ラック定義!$A:$A,A42)=0),"／ラックが定義にない","")&amp;IF(AND(SUMPRODUCT((機器台帳!$A$2:$A$400=$A42)*((機器台帳!$B$2:$B$400=$B42)+(機器台帳!$B$2:$B$400="両面")+($B42="両面")&gt;0)*(機器台帳!$C$2:$C$400&lt;=$C42+$D42-1)*(機器台帳!$C$2:$C$400+機器台帳!$D$2:$D$400-1&gt;=$C42)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42&amp;"")))&gt;0)),"／同じUに他の機器(横並びなら正常)","")&amp;IF(AND(M42&lt;&gt;"",COUNTIFS(回路定義!$A:$A,A42,回路定義!$B:$B,M42)=0),"／回路1が定義にない","")&amp;IF(AND(P42&lt;&gt;"",COUNTIFS(回路定義!$A:$A,A42,回路定義!$B:$B,P42)=0),"／回路2が定義にない","")&amp;IF(AND(S42&lt;&gt;"",COUNTIFS(回路定義!$A:$A,A42,回路定義!$B:$B,S42)=0),"／回路3が定義にない",""),2,300)))</f>
        <v/>
      </c>
    </row>
    <row r="43">
      <c r="A43" s="5" t="inlineStr">
        <is>
          <t>E24-S8-2</t>
        </is>
      </c>
      <c r="B43" s="5" t="inlineStr">
        <is>
          <t>前面</t>
        </is>
      </c>
      <c r="C43" s="5" t="n">
        <v>15</v>
      </c>
      <c r="D43" s="5" t="n">
        <v>1</v>
      </c>
      <c r="E43" s="6">
        <f>IF(C43="","",C43+D43-1)</f>
        <v/>
      </c>
      <c r="F43" s="5" t="inlineStr">
        <is>
          <t>要確認: 原本 行36 の電力</t>
        </is>
      </c>
      <c r="G43" s="5" t="inlineStr"/>
      <c r="H43" s="5" t="inlineStr"/>
      <c r="I43" s="5" t="inlineStr">
        <is>
          <t>SW</t>
        </is>
      </c>
      <c r="J43" s="5" t="n">
        <v>4.5</v>
      </c>
      <c r="K43" s="5" t="n">
        <v>100</v>
      </c>
      <c r="L43" s="5" t="n">
        <v>2</v>
      </c>
      <c r="M43" s="5" t="inlineStr">
        <is>
          <t>100V 20A （1）</t>
        </is>
      </c>
      <c r="N43" s="5" t="n">
        <v>0.5</v>
      </c>
      <c r="O43" s="5" t="n">
        <v>1</v>
      </c>
      <c r="P43" s="5" t="inlineStr">
        <is>
          <t>100V 20A （2）</t>
        </is>
      </c>
      <c r="Q43" s="5" t="n">
        <v>0.5</v>
      </c>
      <c r="R43" s="5" t="n">
        <v>1</v>
      </c>
      <c r="S43" s="5" t="n"/>
      <c r="T43" s="5" t="n"/>
      <c r="U43" s="5" t="n"/>
      <c r="V43" s="5" t="inlineStr"/>
      <c r="W43" s="5" t="inlineStr"/>
      <c r="X43" s="5" t="inlineStr">
        <is>
          <t>原本に電力の記入はあるが機器が描かれていない行</t>
        </is>
      </c>
      <c r="Y43" s="6">
        <f>COUNT(N43,Q43,T43)</f>
        <v/>
      </c>
      <c r="Z43" s="6">
        <f>IF(OR(K43="",NOT(ISNUMBER(K43))),"",K43*SUM(N43,Q43,T43))</f>
        <v/>
      </c>
      <c r="AA43" s="6">
        <f>IF(OR(Y43=0,N43=""),"",N43/Y43)</f>
        <v/>
      </c>
      <c r="AB43" s="6">
        <f>IF(OR(Y43=0,Q43=""),"",Q43/Y43)</f>
        <v/>
      </c>
      <c r="AC43" s="6">
        <f>IF(OR(Y43=0,T43=""),"",T43/Y43)</f>
        <v/>
      </c>
      <c r="AD43" s="6">
        <f>IF(F43="","",IF((IF(AND(Y43=0,NOT(SUMPRODUCT(--ISNUMBER(SEARCH({"棚板","棚","アングル","ｱﾝｸﾞﾙ","使用不可","ケーブル","ｹｰﾌﾞﾙ","PatchPnael","パッチ","引き出し","引出","ブランク","ﾌﾞﾗﾝｸ","マネージ","ﾏﾈｰｼﾞ","PDU","ONU"},$F43&amp;"")))&gt;0),NOT(SUMPRODUCT(--ISNUMBER(SEARCH({"電源オフ","未投入","停止","未使用","撤去"},$X43&amp;"")))&gt;0)),"／電力が未記入","")&amp;IF(AND(NOT(ISNUMBER(J43)),NOT(SUMPRODUCT(--ISNUMBER(SEARCH({"棚板","棚","アングル","ｱﾝｸﾞﾙ","使用不可","ケーブル","ｹｰﾌﾞﾙ","PatchPnael","パッチ","引き出し","引出","ブランク","ﾌﾞﾗﾝｸ","マネージ","ﾏﾈｰｼﾞ","PDU","ONU"},$F43&amp;"")))&gt;0)),"／重量が未記入","")&amp;IF(AND(K43&lt;&gt;"",NOT(ISNUMBER(K43))),"／電圧が数値でない","")&amp;IF(AND(N43&lt;&gt;"",NOT(ISNUMBER(N43))),"／電流が数値でない","")&amp;IF(AND(C43&lt;&gt;"",C43&lt;1),"／開始Uが1未満","")&amp;IF(AND(E43&lt;&gt;"",E43&gt;IFERROR(VLOOKUP(A43,ラック定義!$A:$B,2,FALSE),47)),"／総Uをはみ出す","")&amp;IF(AND(A43&lt;&gt;"",COUNTIF(ラック定義!$A:$A,A43)=0),"／ラックが定義にない","")&amp;IF(AND(SUMPRODUCT((機器台帳!$A$2:$A$400=$A43)*((機器台帳!$B$2:$B$400=$B43)+(機器台帳!$B$2:$B$400="両面")+($B43="両面")&gt;0)*(機器台帳!$C$2:$C$400&lt;=$C43+$D43-1)*(機器台帳!$C$2:$C$400+機器台帳!$D$2:$D$400-1&gt;=$C43)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43&amp;"")))&gt;0)),"／同じUに他の機器(横並びなら正常)","")&amp;IF(AND(M43&lt;&gt;"",COUNTIFS(回路定義!$A:$A,A43,回路定義!$B:$B,M43)=0),"／回路1が定義にない","")&amp;IF(AND(P43&lt;&gt;"",COUNTIFS(回路定義!$A:$A,A43,回路定義!$B:$B,P43)=0),"／回路2が定義にない","")&amp;IF(AND(S43&lt;&gt;"",COUNTIFS(回路定義!$A:$A,A43,回路定義!$B:$B,S43)=0),"／回路3が定義にない",""))="","",MID(IF(AND(Y43=0,NOT(SUMPRODUCT(--ISNUMBER(SEARCH({"棚板","棚","アングル","ｱﾝｸﾞﾙ","使用不可","ケーブル","ｹｰﾌﾞﾙ","PatchPnael","パッチ","引き出し","引出","ブランク","ﾌﾞﾗﾝｸ","マネージ","ﾏﾈｰｼﾞ","PDU","ONU"},$F43&amp;"")))&gt;0),NOT(SUMPRODUCT(--ISNUMBER(SEARCH({"電源オフ","未投入","停止","未使用","撤去"},$X43&amp;"")))&gt;0)),"／電力が未記入","")&amp;IF(AND(NOT(ISNUMBER(J43)),NOT(SUMPRODUCT(--ISNUMBER(SEARCH({"棚板","棚","アングル","ｱﾝｸﾞﾙ","使用不可","ケーブル","ｹｰﾌﾞﾙ","PatchPnael","パッチ","引き出し","引出","ブランク","ﾌﾞﾗﾝｸ","マネージ","ﾏﾈｰｼﾞ","PDU","ONU"},$F43&amp;"")))&gt;0)),"／重量が未記入","")&amp;IF(AND(K43&lt;&gt;"",NOT(ISNUMBER(K43))),"／電圧が数値でない","")&amp;IF(AND(N43&lt;&gt;"",NOT(ISNUMBER(N43))),"／電流が数値でない","")&amp;IF(AND(C43&lt;&gt;"",C43&lt;1),"／開始Uが1未満","")&amp;IF(AND(E43&lt;&gt;"",E43&gt;IFERROR(VLOOKUP(A43,ラック定義!$A:$B,2,FALSE),47)),"／総Uをはみ出す","")&amp;IF(AND(A43&lt;&gt;"",COUNTIF(ラック定義!$A:$A,A43)=0),"／ラックが定義にない","")&amp;IF(AND(SUMPRODUCT((機器台帳!$A$2:$A$400=$A43)*((機器台帳!$B$2:$B$400=$B43)+(機器台帳!$B$2:$B$400="両面")+($B43="両面")&gt;0)*(機器台帳!$C$2:$C$400&lt;=$C43+$D43-1)*(機器台帳!$C$2:$C$400+機器台帳!$D$2:$D$400-1&gt;=$C43)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43&amp;"")))&gt;0)),"／同じUに他の機器(横並びなら正常)","")&amp;IF(AND(M43&lt;&gt;"",COUNTIFS(回路定義!$A:$A,A43,回路定義!$B:$B,M43)=0),"／回路1が定義にない","")&amp;IF(AND(P43&lt;&gt;"",COUNTIFS(回路定義!$A:$A,A43,回路定義!$B:$B,P43)=0),"／回路2が定義にない","")&amp;IF(AND(S43&lt;&gt;"",COUNTIFS(回路定義!$A:$A,A43,回路定義!$B:$B,S43)=0),"／回路3が定義にない",""),2,300)))</f>
        <v/>
      </c>
    </row>
    <row r="44">
      <c r="A44" s="5" t="inlineStr">
        <is>
          <t>E24-S8-2</t>
        </is>
      </c>
      <c r="B44" s="5" t="inlineStr">
        <is>
          <t>前面</t>
        </is>
      </c>
      <c r="C44" s="5" t="n">
        <v>13</v>
      </c>
      <c r="D44" s="5" t="n">
        <v>1</v>
      </c>
      <c r="E44" s="6">
        <f>IF(C44="","",C44+D44-1)</f>
        <v/>
      </c>
      <c r="F44" s="5" t="inlineStr">
        <is>
          <t>R770</t>
        </is>
      </c>
      <c r="G44" s="5" t="inlineStr">
        <is>
          <t>H2514995</t>
        </is>
      </c>
      <c r="H44" s="5" t="inlineStr"/>
      <c r="I44" s="5" t="inlineStr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inlineStr"/>
      <c r="W44" s="5" t="inlineStr"/>
      <c r="X44" s="5" t="inlineStr"/>
      <c r="Y44" s="6">
        <f>COUNT(N44,Q44,T44)</f>
        <v/>
      </c>
      <c r="Z44" s="6">
        <f>IF(OR(K44="",NOT(ISNUMBER(K44))),"",K44*SUM(N44,Q44,T44))</f>
        <v/>
      </c>
      <c r="AA44" s="6">
        <f>IF(OR(Y44=0,N44=""),"",N44/Y44)</f>
        <v/>
      </c>
      <c r="AB44" s="6">
        <f>IF(OR(Y44=0,Q44=""),"",Q44/Y44)</f>
        <v/>
      </c>
      <c r="AC44" s="6">
        <f>IF(OR(Y44=0,T44=""),"",T44/Y44)</f>
        <v/>
      </c>
      <c r="AD44" s="6">
        <f>IF(F44="","",IF((IF(AND(Y44=0,NOT(SUMPRODUCT(--ISNUMBER(SEARCH({"棚板","棚","アングル","ｱﾝｸﾞﾙ","使用不可","ケーブル","ｹｰﾌﾞﾙ","PatchPnael","パッチ","引き出し","引出","ブランク","ﾌﾞﾗﾝｸ","マネージ","ﾏﾈｰｼﾞ","PDU","ONU"},$F44&amp;"")))&gt;0),NOT(SUMPRODUCT(--ISNUMBER(SEARCH({"電源オフ","未投入","停止","未使用","撤去"},$X44&amp;"")))&gt;0)),"／電力が未記入","")&amp;IF(AND(NOT(ISNUMBER(J44)),NOT(SUMPRODUCT(--ISNUMBER(SEARCH({"棚板","棚","アングル","ｱﾝｸﾞﾙ","使用不可","ケーブル","ｹｰﾌﾞﾙ","PatchPnael","パッチ","引き出し","引出","ブランク","ﾌﾞﾗﾝｸ","マネージ","ﾏﾈｰｼﾞ","PDU","ONU"},$F44&amp;"")))&gt;0)),"／重量が未記入","")&amp;IF(AND(K44&lt;&gt;"",NOT(ISNUMBER(K44))),"／電圧が数値でない","")&amp;IF(AND(N44&lt;&gt;"",NOT(ISNUMBER(N44))),"／電流が数値でない","")&amp;IF(AND(C44&lt;&gt;"",C44&lt;1),"／開始Uが1未満","")&amp;IF(AND(E44&lt;&gt;"",E44&gt;IFERROR(VLOOKUP(A44,ラック定義!$A:$B,2,FALSE),47)),"／総Uをはみ出す","")&amp;IF(AND(A44&lt;&gt;"",COUNTIF(ラック定義!$A:$A,A44)=0),"／ラックが定義にない","")&amp;IF(AND(SUMPRODUCT((機器台帳!$A$2:$A$400=$A44)*((機器台帳!$B$2:$B$400=$B44)+(機器台帳!$B$2:$B$400="両面")+($B44="両面")&gt;0)*(機器台帳!$C$2:$C$400&lt;=$C44+$D44-1)*(機器台帳!$C$2:$C$400+機器台帳!$D$2:$D$400-1&gt;=$C44)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44&amp;"")))&gt;0)),"／同じUに他の機器(横並びなら正常)","")&amp;IF(AND(M44&lt;&gt;"",COUNTIFS(回路定義!$A:$A,A44,回路定義!$B:$B,M44)=0),"／回路1が定義にない","")&amp;IF(AND(P44&lt;&gt;"",COUNTIFS(回路定義!$A:$A,A44,回路定義!$B:$B,P44)=0),"／回路2が定義にない","")&amp;IF(AND(S44&lt;&gt;"",COUNTIFS(回路定義!$A:$A,A44,回路定義!$B:$B,S44)=0),"／回路3が定義にない",""))="","",MID(IF(AND(Y44=0,NOT(SUMPRODUCT(--ISNUMBER(SEARCH({"棚板","棚","アングル","ｱﾝｸﾞﾙ","使用不可","ケーブル","ｹｰﾌﾞﾙ","PatchPnael","パッチ","引き出し","引出","ブランク","ﾌﾞﾗﾝｸ","マネージ","ﾏﾈｰｼﾞ","PDU","ONU"},$F44&amp;"")))&gt;0),NOT(SUMPRODUCT(--ISNUMBER(SEARCH({"電源オフ","未投入","停止","未使用","撤去"},$X44&amp;"")))&gt;0)),"／電力が未記入","")&amp;IF(AND(NOT(ISNUMBER(J44)),NOT(SUMPRODUCT(--ISNUMBER(SEARCH({"棚板","棚","アングル","ｱﾝｸﾞﾙ","使用不可","ケーブル","ｹｰﾌﾞﾙ","PatchPnael","パッチ","引き出し","引出","ブランク","ﾌﾞﾗﾝｸ","マネージ","ﾏﾈｰｼﾞ","PDU","ONU"},$F44&amp;"")))&gt;0)),"／重量が未記入","")&amp;IF(AND(K44&lt;&gt;"",NOT(ISNUMBER(K44))),"／電圧が数値でない","")&amp;IF(AND(N44&lt;&gt;"",NOT(ISNUMBER(N44))),"／電流が数値でない","")&amp;IF(AND(C44&lt;&gt;"",C44&lt;1),"／開始Uが1未満","")&amp;IF(AND(E44&lt;&gt;"",E44&gt;IFERROR(VLOOKUP(A44,ラック定義!$A:$B,2,FALSE),47)),"／総Uをはみ出す","")&amp;IF(AND(A44&lt;&gt;"",COUNTIF(ラック定義!$A:$A,A44)=0),"／ラックが定義にない","")&amp;IF(AND(SUMPRODUCT((機器台帳!$A$2:$A$400=$A44)*((機器台帳!$B$2:$B$400=$B44)+(機器台帳!$B$2:$B$400="両面")+($B44="両面")&gt;0)*(機器台帳!$C$2:$C$400&lt;=$C44+$D44-1)*(機器台帳!$C$2:$C$400+機器台帳!$D$2:$D$400-1&gt;=$C44)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44&amp;"")))&gt;0)),"／同じUに他の機器(横並びなら正常)","")&amp;IF(AND(M44&lt;&gt;"",COUNTIFS(回路定義!$A:$A,A44,回路定義!$B:$B,M44)=0),"／回路1が定義にない","")&amp;IF(AND(P44&lt;&gt;"",COUNTIFS(回路定義!$A:$A,A44,回路定義!$B:$B,P44)=0),"／回路2が定義にない","")&amp;IF(AND(S44&lt;&gt;"",COUNTIFS(回路定義!$A:$A,A44,回路定義!$B:$B,S44)=0),"／回路3が定義にない",""),2,300)))</f>
        <v/>
      </c>
    </row>
    <row r="45">
      <c r="A45" s="5" t="inlineStr">
        <is>
          <t>E24-S8-2</t>
        </is>
      </c>
      <c r="B45" s="5" t="inlineStr">
        <is>
          <t>前面</t>
        </is>
      </c>
      <c r="C45" s="5" t="n">
        <v>7</v>
      </c>
      <c r="D45" s="5" t="n">
        <v>2</v>
      </c>
      <c r="E45" s="6">
        <f>IF(C45="","",C45+D45-1)</f>
        <v/>
      </c>
      <c r="F45" s="5" t="inlineStr">
        <is>
          <t>OceanStor Drado 5000 V3(?)</t>
        </is>
      </c>
      <c r="G45" s="5" t="inlineStr"/>
      <c r="H45" s="5" t="inlineStr"/>
      <c r="I45" s="5" t="inlineStr">
        <is>
          <t>Storage</t>
        </is>
      </c>
      <c r="J45" s="5" t="n"/>
      <c r="K45" s="5" t="n">
        <v>200</v>
      </c>
      <c r="L45" s="5" t="n">
        <v>1</v>
      </c>
      <c r="M45" s="5" t="inlineStr">
        <is>
          <t>200V 30A （1）</t>
        </is>
      </c>
      <c r="N45" s="5" t="n">
        <v>1.5</v>
      </c>
      <c r="O45" s="5" t="n">
        <v>2</v>
      </c>
      <c r="P45" s="5" t="n"/>
      <c r="Q45" s="5" t="n"/>
      <c r="R45" s="5" t="n"/>
      <c r="S45" s="5" t="n"/>
      <c r="T45" s="5" t="n"/>
      <c r="U45" s="5" t="n"/>
      <c r="V45" s="5" t="inlineStr">
        <is>
          <t>○</t>
        </is>
      </c>
      <c r="W45" s="5" t="inlineStr"/>
      <c r="X45" s="5" t="inlineStr"/>
      <c r="Y45" s="6">
        <f>COUNT(N45,Q45,T45)</f>
        <v/>
      </c>
      <c r="Z45" s="6">
        <f>IF(OR(K45="",NOT(ISNUMBER(K45))),"",K45*SUM(N45,Q45,T45))</f>
        <v/>
      </c>
      <c r="AA45" s="6">
        <f>IF(OR(Y45=0,N45=""),"",N45/Y45)</f>
        <v/>
      </c>
      <c r="AB45" s="6">
        <f>IF(OR(Y45=0,Q45=""),"",Q45/Y45)</f>
        <v/>
      </c>
      <c r="AC45" s="6">
        <f>IF(OR(Y45=0,T45=""),"",T45/Y45)</f>
        <v/>
      </c>
      <c r="AD45" s="6">
        <f>IF(F45="","",IF((IF(AND(Y45=0,NOT(SUMPRODUCT(--ISNUMBER(SEARCH({"棚板","棚","アングル","ｱﾝｸﾞﾙ","使用不可","ケーブル","ｹｰﾌﾞﾙ","PatchPnael","パッチ","引き出し","引出","ブランク","ﾌﾞﾗﾝｸ","マネージ","ﾏﾈｰｼﾞ","PDU","ONU"},$F45&amp;"")))&gt;0),NOT(SUMPRODUCT(--ISNUMBER(SEARCH({"電源オフ","未投入","停止","未使用","撤去"},$X45&amp;"")))&gt;0)),"／電力が未記入","")&amp;IF(AND(NOT(ISNUMBER(J45)),NOT(SUMPRODUCT(--ISNUMBER(SEARCH({"棚板","棚","アングル","ｱﾝｸﾞﾙ","使用不可","ケーブル","ｹｰﾌﾞﾙ","PatchPnael","パッチ","引き出し","引出","ブランク","ﾌﾞﾗﾝｸ","マネージ","ﾏﾈｰｼﾞ","PDU","ONU"},$F45&amp;"")))&gt;0)),"／重量が未記入","")&amp;IF(AND(K45&lt;&gt;"",NOT(ISNUMBER(K45))),"／電圧が数値でない","")&amp;IF(AND(N45&lt;&gt;"",NOT(ISNUMBER(N45))),"／電流が数値でない","")&amp;IF(AND(C45&lt;&gt;"",C45&lt;1),"／開始Uが1未満","")&amp;IF(AND(E45&lt;&gt;"",E45&gt;IFERROR(VLOOKUP(A45,ラック定義!$A:$B,2,FALSE),47)),"／総Uをはみ出す","")&amp;IF(AND(A45&lt;&gt;"",COUNTIF(ラック定義!$A:$A,A45)=0),"／ラックが定義にない","")&amp;IF(AND(SUMPRODUCT((機器台帳!$A$2:$A$400=$A45)*((機器台帳!$B$2:$B$400=$B45)+(機器台帳!$B$2:$B$400="両面")+($B45="両面")&gt;0)*(機器台帳!$C$2:$C$400&lt;=$C45+$D45-1)*(機器台帳!$C$2:$C$400+機器台帳!$D$2:$D$400-1&gt;=$C45)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45&amp;"")))&gt;0)),"／同じUに他の機器(横並びなら正常)","")&amp;IF(AND(M45&lt;&gt;"",COUNTIFS(回路定義!$A:$A,A45,回路定義!$B:$B,M45)=0),"／回路1が定義にない","")&amp;IF(AND(P45&lt;&gt;"",COUNTIFS(回路定義!$A:$A,A45,回路定義!$B:$B,P45)=0),"／回路2が定義にない","")&amp;IF(AND(S45&lt;&gt;"",COUNTIFS(回路定義!$A:$A,A45,回路定義!$B:$B,S45)=0),"／回路3が定義にない",""))="","",MID(IF(AND(Y45=0,NOT(SUMPRODUCT(--ISNUMBER(SEARCH({"棚板","棚","アングル","ｱﾝｸﾞﾙ","使用不可","ケーブル","ｹｰﾌﾞﾙ","PatchPnael","パッチ","引き出し","引出","ブランク","ﾌﾞﾗﾝｸ","マネージ","ﾏﾈｰｼﾞ","PDU","ONU"},$F45&amp;"")))&gt;0),NOT(SUMPRODUCT(--ISNUMBER(SEARCH({"電源オフ","未投入","停止","未使用","撤去"},$X45&amp;"")))&gt;0)),"／電力が未記入","")&amp;IF(AND(NOT(ISNUMBER(J45)),NOT(SUMPRODUCT(--ISNUMBER(SEARCH({"棚板","棚","アングル","ｱﾝｸﾞﾙ","使用不可","ケーブル","ｹｰﾌﾞﾙ","PatchPnael","パッチ","引き出し","引出","ブランク","ﾌﾞﾗﾝｸ","マネージ","ﾏﾈｰｼﾞ","PDU","ONU"},$F45&amp;"")))&gt;0)),"／重量が未記入","")&amp;IF(AND(K45&lt;&gt;"",NOT(ISNUMBER(K45))),"／電圧が数値でない","")&amp;IF(AND(N45&lt;&gt;"",NOT(ISNUMBER(N45))),"／電流が数値でない","")&amp;IF(AND(C45&lt;&gt;"",C45&lt;1),"／開始Uが1未満","")&amp;IF(AND(E45&lt;&gt;"",E45&gt;IFERROR(VLOOKUP(A45,ラック定義!$A:$B,2,FALSE),47)),"／総Uをはみ出す","")&amp;IF(AND(A45&lt;&gt;"",COUNTIF(ラック定義!$A:$A,A45)=0),"／ラックが定義にない","")&amp;IF(AND(SUMPRODUCT((機器台帳!$A$2:$A$400=$A45)*((機器台帳!$B$2:$B$400=$B45)+(機器台帳!$B$2:$B$400="両面")+($B45="両面")&gt;0)*(機器台帳!$C$2:$C$400&lt;=$C45+$D45-1)*(機器台帳!$C$2:$C$400+機器台帳!$D$2:$D$400-1&gt;=$C45)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45&amp;"")))&gt;0)),"／同じUに他の機器(横並びなら正常)","")&amp;IF(AND(M45&lt;&gt;"",COUNTIFS(回路定義!$A:$A,A45,回路定義!$B:$B,M45)=0),"／回路1が定義にない","")&amp;IF(AND(P45&lt;&gt;"",COUNTIFS(回路定義!$A:$A,A45,回路定義!$B:$B,P45)=0),"／回路2が定義にない","")&amp;IF(AND(S45&lt;&gt;"",COUNTIFS(回路定義!$A:$A,A45,回路定義!$B:$B,S45)=0),"／回路3が定義にない",""),2,300)))</f>
        <v/>
      </c>
    </row>
    <row r="46">
      <c r="A46" s="5" t="inlineStr">
        <is>
          <t>E24-S8-2</t>
        </is>
      </c>
      <c r="B46" s="5" t="inlineStr">
        <is>
          <t>背面</t>
        </is>
      </c>
      <c r="C46" s="5" t="n">
        <v>8</v>
      </c>
      <c r="D46" s="5" t="n">
        <v>1</v>
      </c>
      <c r="E46" s="6">
        <f>IF(C46="","",C46+D46-1)</f>
        <v/>
      </c>
      <c r="F46" s="5" t="inlineStr">
        <is>
          <t>Huawei storage(?)</t>
        </is>
      </c>
      <c r="G46" s="5" t="inlineStr"/>
      <c r="H46" s="5" t="inlineStr"/>
      <c r="I46" s="5" t="inlineStr">
        <is>
          <t>Storage</t>
        </is>
      </c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inlineStr">
        <is>
          <t>○</t>
        </is>
      </c>
      <c r="W46" s="5" t="inlineStr"/>
      <c r="X46" s="5" t="inlineStr"/>
      <c r="Y46" s="6">
        <f>COUNT(N46,Q46,T46)</f>
        <v/>
      </c>
      <c r="Z46" s="6">
        <f>IF(OR(K46="",NOT(ISNUMBER(K46))),"",K46*SUM(N46,Q46,T46))</f>
        <v/>
      </c>
      <c r="AA46" s="6">
        <f>IF(OR(Y46=0,N46=""),"",N46/Y46)</f>
        <v/>
      </c>
      <c r="AB46" s="6">
        <f>IF(OR(Y46=0,Q46=""),"",Q46/Y46)</f>
        <v/>
      </c>
      <c r="AC46" s="6">
        <f>IF(OR(Y46=0,T46=""),"",T46/Y46)</f>
        <v/>
      </c>
      <c r="AD46" s="6">
        <f>IF(F46="","",IF((IF(AND(Y46=0,NOT(SUMPRODUCT(--ISNUMBER(SEARCH({"棚板","棚","アングル","ｱﾝｸﾞﾙ","使用不可","ケーブル","ｹｰﾌﾞﾙ","PatchPnael","パッチ","引き出し","引出","ブランク","ﾌﾞﾗﾝｸ","マネージ","ﾏﾈｰｼﾞ","PDU","ONU"},$F46&amp;"")))&gt;0),NOT(SUMPRODUCT(--ISNUMBER(SEARCH({"電源オフ","未投入","停止","未使用","撤去"},$X46&amp;"")))&gt;0)),"／電力が未記入","")&amp;IF(AND(NOT(ISNUMBER(J46)),NOT(SUMPRODUCT(--ISNUMBER(SEARCH({"棚板","棚","アングル","ｱﾝｸﾞﾙ","使用不可","ケーブル","ｹｰﾌﾞﾙ","PatchPnael","パッチ","引き出し","引出","ブランク","ﾌﾞﾗﾝｸ","マネージ","ﾏﾈｰｼﾞ","PDU","ONU"},$F46&amp;"")))&gt;0)),"／重量が未記入","")&amp;IF(AND(K46&lt;&gt;"",NOT(ISNUMBER(K46))),"／電圧が数値でない","")&amp;IF(AND(N46&lt;&gt;"",NOT(ISNUMBER(N46))),"／電流が数値でない","")&amp;IF(AND(C46&lt;&gt;"",C46&lt;1),"／開始Uが1未満","")&amp;IF(AND(E46&lt;&gt;"",E46&gt;IFERROR(VLOOKUP(A46,ラック定義!$A:$B,2,FALSE),47)),"／総Uをはみ出す","")&amp;IF(AND(A46&lt;&gt;"",COUNTIF(ラック定義!$A:$A,A46)=0),"／ラックが定義にない","")&amp;IF(AND(SUMPRODUCT((機器台帳!$A$2:$A$400=$A46)*((機器台帳!$B$2:$B$400=$B46)+(機器台帳!$B$2:$B$400="両面")+($B46="両面")&gt;0)*(機器台帳!$C$2:$C$400&lt;=$C46+$D46-1)*(機器台帳!$C$2:$C$400+機器台帳!$D$2:$D$400-1&gt;=$C46)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46&amp;"")))&gt;0)),"／同じUに他の機器(横並びなら正常)","")&amp;IF(AND(M46&lt;&gt;"",COUNTIFS(回路定義!$A:$A,A46,回路定義!$B:$B,M46)=0),"／回路1が定義にない","")&amp;IF(AND(P46&lt;&gt;"",COUNTIFS(回路定義!$A:$A,A46,回路定義!$B:$B,P46)=0),"／回路2が定義にない","")&amp;IF(AND(S46&lt;&gt;"",COUNTIFS(回路定義!$A:$A,A46,回路定義!$B:$B,S46)=0),"／回路3が定義にない",""))="","",MID(IF(AND(Y46=0,NOT(SUMPRODUCT(--ISNUMBER(SEARCH({"棚板","棚","アングル","ｱﾝｸﾞﾙ","使用不可","ケーブル","ｹｰﾌﾞﾙ","PatchPnael","パッチ","引き出し","引出","ブランク","ﾌﾞﾗﾝｸ","マネージ","ﾏﾈｰｼﾞ","PDU","ONU"},$F46&amp;"")))&gt;0),NOT(SUMPRODUCT(--ISNUMBER(SEARCH({"電源オフ","未投入","停止","未使用","撤去"},$X46&amp;"")))&gt;0)),"／電力が未記入","")&amp;IF(AND(NOT(ISNUMBER(J46)),NOT(SUMPRODUCT(--ISNUMBER(SEARCH({"棚板","棚","アングル","ｱﾝｸﾞﾙ","使用不可","ケーブル","ｹｰﾌﾞﾙ","PatchPnael","パッチ","引き出し","引出","ブランク","ﾌﾞﾗﾝｸ","マネージ","ﾏﾈｰｼﾞ","PDU","ONU"},$F46&amp;"")))&gt;0)),"／重量が未記入","")&amp;IF(AND(K46&lt;&gt;"",NOT(ISNUMBER(K46))),"／電圧が数値でない","")&amp;IF(AND(N46&lt;&gt;"",NOT(ISNUMBER(N46))),"／電流が数値でない","")&amp;IF(AND(C46&lt;&gt;"",C46&lt;1),"／開始Uが1未満","")&amp;IF(AND(E46&lt;&gt;"",E46&gt;IFERROR(VLOOKUP(A46,ラック定義!$A:$B,2,FALSE),47)),"／総Uをはみ出す","")&amp;IF(AND(A46&lt;&gt;"",COUNTIF(ラック定義!$A:$A,A46)=0),"／ラックが定義にない","")&amp;IF(AND(SUMPRODUCT((機器台帳!$A$2:$A$400=$A46)*((機器台帳!$B$2:$B$400=$B46)+(機器台帳!$B$2:$B$400="両面")+($B46="両面")&gt;0)*(機器台帳!$C$2:$C$400&lt;=$C46+$D46-1)*(機器台帳!$C$2:$C$400+機器台帳!$D$2:$D$400-1&gt;=$C46)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46&amp;"")))&gt;0)),"／同じUに他の機器(横並びなら正常)","")&amp;IF(AND(M46&lt;&gt;"",COUNTIFS(回路定義!$A:$A,A46,回路定義!$B:$B,M46)=0),"／回路1が定義にない","")&amp;IF(AND(P46&lt;&gt;"",COUNTIFS(回路定義!$A:$A,A46,回路定義!$B:$B,P46)=0),"／回路2が定義にない","")&amp;IF(AND(S46&lt;&gt;"",COUNTIFS(回路定義!$A:$A,A46,回路定義!$B:$B,S46)=0),"／回路3が定義にない",""),2,300)))</f>
        <v/>
      </c>
    </row>
    <row r="47">
      <c r="A47" s="5" t="inlineStr">
        <is>
          <t>E24-S8-3</t>
        </is>
      </c>
      <c r="B47" s="5" t="inlineStr">
        <is>
          <t>両面</t>
        </is>
      </c>
      <c r="C47" s="5" t="n">
        <v>40</v>
      </c>
      <c r="D47" s="5" t="n">
        <v>1</v>
      </c>
      <c r="E47" s="6">
        <f>IF(C47="","",C47+D47-1)</f>
        <v/>
      </c>
      <c r="F47" s="5" t="inlineStr">
        <is>
          <t>棚板</t>
        </is>
      </c>
      <c r="G47" s="5" t="inlineStr"/>
      <c r="H47" s="5" t="inlineStr">
        <is>
          <t>Meraki</t>
        </is>
      </c>
      <c r="I47" s="5" t="inlineStr">
        <is>
          <t>Switch</t>
        </is>
      </c>
      <c r="J47" s="5" t="n">
        <v>1.3</v>
      </c>
      <c r="K47" s="5" t="n">
        <v>100</v>
      </c>
      <c r="L47" s="5" t="n">
        <v>1</v>
      </c>
      <c r="M47" s="5" t="inlineStr">
        <is>
          <t>100V 20A （2）</t>
        </is>
      </c>
      <c r="N47" s="5" t="n">
        <v>0.88</v>
      </c>
      <c r="O47" s="5" t="n">
        <v>1</v>
      </c>
      <c r="P47" s="5" t="n"/>
      <c r="Q47" s="5" t="n"/>
      <c r="R47" s="5" t="n"/>
      <c r="S47" s="5" t="n"/>
      <c r="T47" s="5" t="n"/>
      <c r="U47" s="5" t="n"/>
      <c r="V47" s="5" t="inlineStr">
        <is>
          <t>棚</t>
        </is>
      </c>
      <c r="W47" s="5" t="inlineStr">
        <is>
          <t>１本</t>
        </is>
      </c>
      <c r="X47" s="5" t="inlineStr">
        <is>
          <t>※移設元ラックに機器無し</t>
        </is>
      </c>
      <c r="Y47" s="6">
        <f>COUNT(N47,Q47,T47)</f>
        <v/>
      </c>
      <c r="Z47" s="6">
        <f>IF(OR(K47="",NOT(ISNUMBER(K47))),"",K47*SUM(N47,Q47,T47))</f>
        <v/>
      </c>
      <c r="AA47" s="6">
        <f>IF(OR(Y47=0,N47=""),"",N47/Y47)</f>
        <v/>
      </c>
      <c r="AB47" s="6">
        <f>IF(OR(Y47=0,Q47=""),"",Q47/Y47)</f>
        <v/>
      </c>
      <c r="AC47" s="6">
        <f>IF(OR(Y47=0,T47=""),"",T47/Y47)</f>
        <v/>
      </c>
      <c r="AD47" s="6">
        <f>IF(F47="","",IF((IF(AND(Y47=0,NOT(SUMPRODUCT(--ISNUMBER(SEARCH({"棚板","棚","アングル","ｱﾝｸﾞﾙ","使用不可","ケーブル","ｹｰﾌﾞﾙ","PatchPnael","パッチ","引き出し","引出","ブランク","ﾌﾞﾗﾝｸ","マネージ","ﾏﾈｰｼﾞ","PDU","ONU"},$F47&amp;"")))&gt;0),NOT(SUMPRODUCT(--ISNUMBER(SEARCH({"電源オフ","未投入","停止","未使用","撤去"},$X47&amp;"")))&gt;0)),"／電力が未記入","")&amp;IF(AND(NOT(ISNUMBER(J47)),NOT(SUMPRODUCT(--ISNUMBER(SEARCH({"棚板","棚","アングル","ｱﾝｸﾞﾙ","使用不可","ケーブル","ｹｰﾌﾞﾙ","PatchPnael","パッチ","引き出し","引出","ブランク","ﾌﾞﾗﾝｸ","マネージ","ﾏﾈｰｼﾞ","PDU","ONU"},$F47&amp;"")))&gt;0)),"／重量が未記入","")&amp;IF(AND(K47&lt;&gt;"",NOT(ISNUMBER(K47))),"／電圧が数値でない","")&amp;IF(AND(N47&lt;&gt;"",NOT(ISNUMBER(N47))),"／電流が数値でない","")&amp;IF(AND(C47&lt;&gt;"",C47&lt;1),"／開始Uが1未満","")&amp;IF(AND(E47&lt;&gt;"",E47&gt;IFERROR(VLOOKUP(A47,ラック定義!$A:$B,2,FALSE),47)),"／総Uをはみ出す","")&amp;IF(AND(A47&lt;&gt;"",COUNTIF(ラック定義!$A:$A,A47)=0),"／ラックが定義にない","")&amp;IF(AND(SUMPRODUCT((機器台帳!$A$2:$A$400=$A47)*((機器台帳!$B$2:$B$400=$B47)+(機器台帳!$B$2:$B$400="両面")+($B47="両面")&gt;0)*(機器台帳!$C$2:$C$400&lt;=$C47+$D47-1)*(機器台帳!$C$2:$C$400+機器台帳!$D$2:$D$400-1&gt;=$C47)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47&amp;"")))&gt;0)),"／同じUに他の機器(横並びなら正常)","")&amp;IF(AND(M47&lt;&gt;"",COUNTIFS(回路定義!$A:$A,A47,回路定義!$B:$B,M47)=0),"／回路1が定義にない","")&amp;IF(AND(P47&lt;&gt;"",COUNTIFS(回路定義!$A:$A,A47,回路定義!$B:$B,P47)=0),"／回路2が定義にない","")&amp;IF(AND(S47&lt;&gt;"",COUNTIFS(回路定義!$A:$A,A47,回路定義!$B:$B,S47)=0),"／回路3が定義にない",""))="","",MID(IF(AND(Y47=0,NOT(SUMPRODUCT(--ISNUMBER(SEARCH({"棚板","棚","アングル","ｱﾝｸﾞﾙ","使用不可","ケーブル","ｹｰﾌﾞﾙ","PatchPnael","パッチ","引き出し","引出","ブランク","ﾌﾞﾗﾝｸ","マネージ","ﾏﾈｰｼﾞ","PDU","ONU"},$F47&amp;"")))&gt;0),NOT(SUMPRODUCT(--ISNUMBER(SEARCH({"電源オフ","未投入","停止","未使用","撤去"},$X47&amp;"")))&gt;0)),"／電力が未記入","")&amp;IF(AND(NOT(ISNUMBER(J47)),NOT(SUMPRODUCT(--ISNUMBER(SEARCH({"棚板","棚","アングル","ｱﾝｸﾞﾙ","使用不可","ケーブル","ｹｰﾌﾞﾙ","PatchPnael","パッチ","引き出し","引出","ブランク","ﾌﾞﾗﾝｸ","マネージ","ﾏﾈｰｼﾞ","PDU","ONU"},$F47&amp;"")))&gt;0)),"／重量が未記入","")&amp;IF(AND(K47&lt;&gt;"",NOT(ISNUMBER(K47))),"／電圧が数値でない","")&amp;IF(AND(N47&lt;&gt;"",NOT(ISNUMBER(N47))),"／電流が数値でない","")&amp;IF(AND(C47&lt;&gt;"",C47&lt;1),"／開始Uが1未満","")&amp;IF(AND(E47&lt;&gt;"",E47&gt;IFERROR(VLOOKUP(A47,ラック定義!$A:$B,2,FALSE),47)),"／総Uをはみ出す","")&amp;IF(AND(A47&lt;&gt;"",COUNTIF(ラック定義!$A:$A,A47)=0),"／ラックが定義にない","")&amp;IF(AND(SUMPRODUCT((機器台帳!$A$2:$A$400=$A47)*((機器台帳!$B$2:$B$400=$B47)+(機器台帳!$B$2:$B$400="両面")+($B47="両面")&gt;0)*(機器台帳!$C$2:$C$400&lt;=$C47+$D47-1)*(機器台帳!$C$2:$C$400+機器台帳!$D$2:$D$400-1&gt;=$C47)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47&amp;"")))&gt;0)),"／同じUに他の機器(横並びなら正常)","")&amp;IF(AND(M47&lt;&gt;"",COUNTIFS(回路定義!$A:$A,A47,回路定義!$B:$B,M47)=0),"／回路1が定義にない","")&amp;IF(AND(P47&lt;&gt;"",COUNTIFS(回路定義!$A:$A,A47,回路定義!$B:$B,P47)=0),"／回路2が定義にない","")&amp;IF(AND(S47&lt;&gt;"",COUNTIFS(回路定義!$A:$A,A47,回路定義!$B:$B,S47)=0),"／回路3が定義にない",""),2,300)))</f>
        <v/>
      </c>
    </row>
    <row r="48">
      <c r="A48" s="5" t="inlineStr">
        <is>
          <t>E24-S8-3</t>
        </is>
      </c>
      <c r="B48" s="5" t="inlineStr">
        <is>
          <t>両面</t>
        </is>
      </c>
      <c r="C48" s="5" t="n">
        <v>37</v>
      </c>
      <c r="D48" s="5" t="n">
        <v>1</v>
      </c>
      <c r="E48" s="6">
        <f>IF(C48="","",C48+D48-1)</f>
        <v/>
      </c>
      <c r="F48" s="5" t="inlineStr">
        <is>
          <t>棚板</t>
        </is>
      </c>
      <c r="G48" s="5" t="inlineStr"/>
      <c r="H48" s="5" t="inlineStr">
        <is>
          <t>Meraki</t>
        </is>
      </c>
      <c r="I48" s="5" t="inlineStr">
        <is>
          <t>Switch</t>
        </is>
      </c>
      <c r="J48" s="5" t="n">
        <v>1.3</v>
      </c>
      <c r="K48" s="5" t="n">
        <v>100</v>
      </c>
      <c r="L48" s="5" t="n">
        <v>1</v>
      </c>
      <c r="M48" s="5" t="inlineStr">
        <is>
          <t>100V 20A （2）</t>
        </is>
      </c>
      <c r="N48" s="5" t="n">
        <v>0.88</v>
      </c>
      <c r="O48" s="5" t="n">
        <v>1</v>
      </c>
      <c r="P48" s="5" t="n"/>
      <c r="Q48" s="5" t="n"/>
      <c r="R48" s="5" t="n"/>
      <c r="S48" s="5" t="n"/>
      <c r="T48" s="5" t="n"/>
      <c r="U48" s="5" t="n"/>
      <c r="V48" s="5" t="inlineStr">
        <is>
          <t>棚</t>
        </is>
      </c>
      <c r="W48" s="5" t="inlineStr">
        <is>
          <t>１本</t>
        </is>
      </c>
      <c r="X48" s="5" t="inlineStr">
        <is>
          <t>※移設元ラックに機器無し</t>
        </is>
      </c>
      <c r="Y48" s="6">
        <f>COUNT(N48,Q48,T48)</f>
        <v/>
      </c>
      <c r="Z48" s="6">
        <f>IF(OR(K48="",NOT(ISNUMBER(K48))),"",K48*SUM(N48,Q48,T48))</f>
        <v/>
      </c>
      <c r="AA48" s="6">
        <f>IF(OR(Y48=0,N48=""),"",N48/Y48)</f>
        <v/>
      </c>
      <c r="AB48" s="6">
        <f>IF(OR(Y48=0,Q48=""),"",Q48/Y48)</f>
        <v/>
      </c>
      <c r="AC48" s="6">
        <f>IF(OR(Y48=0,T48=""),"",T48/Y48)</f>
        <v/>
      </c>
      <c r="AD48" s="6">
        <f>IF(F48="","",IF((IF(AND(Y48=0,NOT(SUMPRODUCT(--ISNUMBER(SEARCH({"棚板","棚","アングル","ｱﾝｸﾞﾙ","使用不可","ケーブル","ｹｰﾌﾞﾙ","PatchPnael","パッチ","引き出し","引出","ブランク","ﾌﾞﾗﾝｸ","マネージ","ﾏﾈｰｼﾞ","PDU","ONU"},$F48&amp;"")))&gt;0),NOT(SUMPRODUCT(--ISNUMBER(SEARCH({"電源オフ","未投入","停止","未使用","撤去"},$X48&amp;"")))&gt;0)),"／電力が未記入","")&amp;IF(AND(NOT(ISNUMBER(J48)),NOT(SUMPRODUCT(--ISNUMBER(SEARCH({"棚板","棚","アングル","ｱﾝｸﾞﾙ","使用不可","ケーブル","ｹｰﾌﾞﾙ","PatchPnael","パッチ","引き出し","引出","ブランク","ﾌﾞﾗﾝｸ","マネージ","ﾏﾈｰｼﾞ","PDU","ONU"},$F48&amp;"")))&gt;0)),"／重量が未記入","")&amp;IF(AND(K48&lt;&gt;"",NOT(ISNUMBER(K48))),"／電圧が数値でない","")&amp;IF(AND(N48&lt;&gt;"",NOT(ISNUMBER(N48))),"／電流が数値でない","")&amp;IF(AND(C48&lt;&gt;"",C48&lt;1),"／開始Uが1未満","")&amp;IF(AND(E48&lt;&gt;"",E48&gt;IFERROR(VLOOKUP(A48,ラック定義!$A:$B,2,FALSE),47)),"／総Uをはみ出す","")&amp;IF(AND(A48&lt;&gt;"",COUNTIF(ラック定義!$A:$A,A48)=0),"／ラックが定義にない","")&amp;IF(AND(SUMPRODUCT((機器台帳!$A$2:$A$400=$A48)*((機器台帳!$B$2:$B$400=$B48)+(機器台帳!$B$2:$B$400="両面")+($B48="両面")&gt;0)*(機器台帳!$C$2:$C$400&lt;=$C48+$D48-1)*(機器台帳!$C$2:$C$400+機器台帳!$D$2:$D$400-1&gt;=$C48)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48&amp;"")))&gt;0)),"／同じUに他の機器(横並びなら正常)","")&amp;IF(AND(M48&lt;&gt;"",COUNTIFS(回路定義!$A:$A,A48,回路定義!$B:$B,M48)=0),"／回路1が定義にない","")&amp;IF(AND(P48&lt;&gt;"",COUNTIFS(回路定義!$A:$A,A48,回路定義!$B:$B,P48)=0),"／回路2が定義にない","")&amp;IF(AND(S48&lt;&gt;"",COUNTIFS(回路定義!$A:$A,A48,回路定義!$B:$B,S48)=0),"／回路3が定義にない",""))="","",MID(IF(AND(Y48=0,NOT(SUMPRODUCT(--ISNUMBER(SEARCH({"棚板","棚","アングル","ｱﾝｸﾞﾙ","使用不可","ケーブル","ｹｰﾌﾞﾙ","PatchPnael","パッチ","引き出し","引出","ブランク","ﾌﾞﾗﾝｸ","マネージ","ﾏﾈｰｼﾞ","PDU","ONU"},$F48&amp;"")))&gt;0),NOT(SUMPRODUCT(--ISNUMBER(SEARCH({"電源オフ","未投入","停止","未使用","撤去"},$X48&amp;"")))&gt;0)),"／電力が未記入","")&amp;IF(AND(NOT(ISNUMBER(J48)),NOT(SUMPRODUCT(--ISNUMBER(SEARCH({"棚板","棚","アングル","ｱﾝｸﾞﾙ","使用不可","ケーブル","ｹｰﾌﾞﾙ","PatchPnael","パッチ","引き出し","引出","ブランク","ﾌﾞﾗﾝｸ","マネージ","ﾏﾈｰｼﾞ","PDU","ONU"},$F48&amp;"")))&gt;0)),"／重量が未記入","")&amp;IF(AND(K48&lt;&gt;"",NOT(ISNUMBER(K48))),"／電圧が数値でない","")&amp;IF(AND(N48&lt;&gt;"",NOT(ISNUMBER(N48))),"／電流が数値でない","")&amp;IF(AND(C48&lt;&gt;"",C48&lt;1),"／開始Uが1未満","")&amp;IF(AND(E48&lt;&gt;"",E48&gt;IFERROR(VLOOKUP(A48,ラック定義!$A:$B,2,FALSE),47)),"／総Uをはみ出す","")&amp;IF(AND(A48&lt;&gt;"",COUNTIF(ラック定義!$A:$A,A48)=0),"／ラックが定義にない","")&amp;IF(AND(SUMPRODUCT((機器台帳!$A$2:$A$400=$A48)*((機器台帳!$B$2:$B$400=$B48)+(機器台帳!$B$2:$B$400="両面")+($B48="両面")&gt;0)*(機器台帳!$C$2:$C$400&lt;=$C48+$D48-1)*(機器台帳!$C$2:$C$400+機器台帳!$D$2:$D$400-1&gt;=$C48)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48&amp;"")))&gt;0)),"／同じUに他の機器(横並びなら正常)","")&amp;IF(AND(M48&lt;&gt;"",COUNTIFS(回路定義!$A:$A,A48,回路定義!$B:$B,M48)=0),"／回路1が定義にない","")&amp;IF(AND(P48&lt;&gt;"",COUNTIFS(回路定義!$A:$A,A48,回路定義!$B:$B,P48)=0),"／回路2が定義にない","")&amp;IF(AND(S48&lt;&gt;"",COUNTIFS(回路定義!$A:$A,A48,回路定義!$B:$B,S48)=0),"／回路3が定義にない",""),2,300)))</f>
        <v/>
      </c>
    </row>
    <row r="49">
      <c r="A49" s="5" t="inlineStr">
        <is>
          <t>E24-S8-3</t>
        </is>
      </c>
      <c r="B49" s="5" t="inlineStr">
        <is>
          <t>両面</t>
        </is>
      </c>
      <c r="C49" s="5" t="n">
        <v>34</v>
      </c>
      <c r="D49" s="5" t="n">
        <v>2</v>
      </c>
      <c r="E49" s="6">
        <f>IF(C49="","",C49+D49-1)</f>
        <v/>
      </c>
      <c r="F49" s="5" t="inlineStr">
        <is>
          <t>HuaweiCE8860</t>
        </is>
      </c>
      <c r="G49" s="5" t="inlineStr">
        <is>
          <t>H1703068</t>
        </is>
      </c>
      <c r="H49" s="5" t="inlineStr">
        <is>
          <t>VMWare</t>
        </is>
      </c>
      <c r="I49" s="5" t="inlineStr">
        <is>
          <t>Server</t>
        </is>
      </c>
      <c r="J49" s="5" t="n">
        <v>10</v>
      </c>
      <c r="K49" s="5" t="n">
        <v>100</v>
      </c>
      <c r="L49" s="5" t="n">
        <v>1</v>
      </c>
      <c r="M49" s="5" t="inlineStr">
        <is>
          <t>100V 20A （1）</t>
        </is>
      </c>
      <c r="N49" s="5" t="n">
        <v>1</v>
      </c>
      <c r="O49" s="5" t="n">
        <v>1</v>
      </c>
      <c r="P49" s="5" t="inlineStr">
        <is>
          <t>100V 20A （2）</t>
        </is>
      </c>
      <c r="Q49" s="5" t="n">
        <v>1</v>
      </c>
      <c r="R49" s="5" t="n">
        <v>1</v>
      </c>
      <c r="S49" s="5" t="n"/>
      <c r="T49" s="5" t="n"/>
      <c r="U49" s="5" t="n"/>
      <c r="V49" s="5" t="inlineStr">
        <is>
          <t>〇</t>
        </is>
      </c>
      <c r="W49" s="5" t="inlineStr">
        <is>
          <t>１本</t>
        </is>
      </c>
      <c r="X49" s="5" t="inlineStr">
        <is>
          <t>2022/5 取り外し</t>
        </is>
      </c>
      <c r="Y49" s="6">
        <f>COUNT(N49,Q49,T49)</f>
        <v/>
      </c>
      <c r="Z49" s="6">
        <f>IF(OR(K49="",NOT(ISNUMBER(K49))),"",K49*SUM(N49,Q49,T49))</f>
        <v/>
      </c>
      <c r="AA49" s="6">
        <f>IF(OR(Y49=0,N49=""),"",N49/Y49)</f>
        <v/>
      </c>
      <c r="AB49" s="6">
        <f>IF(OR(Y49=0,Q49=""),"",Q49/Y49)</f>
        <v/>
      </c>
      <c r="AC49" s="6">
        <f>IF(OR(Y49=0,T49=""),"",T49/Y49)</f>
        <v/>
      </c>
      <c r="AD49" s="6">
        <f>IF(F49="","",IF((IF(AND(Y49=0,NOT(SUMPRODUCT(--ISNUMBER(SEARCH({"棚板","棚","アングル","ｱﾝｸﾞﾙ","使用不可","ケーブル","ｹｰﾌﾞﾙ","PatchPnael","パッチ","引き出し","引出","ブランク","ﾌﾞﾗﾝｸ","マネージ","ﾏﾈｰｼﾞ","PDU","ONU"},$F49&amp;"")))&gt;0),NOT(SUMPRODUCT(--ISNUMBER(SEARCH({"電源オフ","未投入","停止","未使用","撤去"},$X49&amp;"")))&gt;0)),"／電力が未記入","")&amp;IF(AND(NOT(ISNUMBER(J49)),NOT(SUMPRODUCT(--ISNUMBER(SEARCH({"棚板","棚","アングル","ｱﾝｸﾞﾙ","使用不可","ケーブル","ｹｰﾌﾞﾙ","PatchPnael","パッチ","引き出し","引出","ブランク","ﾌﾞﾗﾝｸ","マネージ","ﾏﾈｰｼﾞ","PDU","ONU"},$F49&amp;"")))&gt;0)),"／重量が未記入","")&amp;IF(AND(K49&lt;&gt;"",NOT(ISNUMBER(K49))),"／電圧が数値でない","")&amp;IF(AND(N49&lt;&gt;"",NOT(ISNUMBER(N49))),"／電流が数値でない","")&amp;IF(AND(C49&lt;&gt;"",C49&lt;1),"／開始Uが1未満","")&amp;IF(AND(E49&lt;&gt;"",E49&gt;IFERROR(VLOOKUP(A49,ラック定義!$A:$B,2,FALSE),47)),"／総Uをはみ出す","")&amp;IF(AND(A49&lt;&gt;"",COUNTIF(ラック定義!$A:$A,A49)=0),"／ラックが定義にない","")&amp;IF(AND(SUMPRODUCT((機器台帳!$A$2:$A$400=$A49)*((機器台帳!$B$2:$B$400=$B49)+(機器台帳!$B$2:$B$400="両面")+($B49="両面")&gt;0)*(機器台帳!$C$2:$C$400&lt;=$C49+$D49-1)*(機器台帳!$C$2:$C$400+機器台帳!$D$2:$D$400-1&gt;=$C49)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49&amp;"")))&gt;0)),"／同じUに他の機器(横並びなら正常)","")&amp;IF(AND(M49&lt;&gt;"",COUNTIFS(回路定義!$A:$A,A49,回路定義!$B:$B,M49)=0),"／回路1が定義にない","")&amp;IF(AND(P49&lt;&gt;"",COUNTIFS(回路定義!$A:$A,A49,回路定義!$B:$B,P49)=0),"／回路2が定義にない","")&amp;IF(AND(S49&lt;&gt;"",COUNTIFS(回路定義!$A:$A,A49,回路定義!$B:$B,S49)=0),"／回路3が定義にない",""))="","",MID(IF(AND(Y49=0,NOT(SUMPRODUCT(--ISNUMBER(SEARCH({"棚板","棚","アングル","ｱﾝｸﾞﾙ","使用不可","ケーブル","ｹｰﾌﾞﾙ","PatchPnael","パッチ","引き出し","引出","ブランク","ﾌﾞﾗﾝｸ","マネージ","ﾏﾈｰｼﾞ","PDU","ONU"},$F49&amp;"")))&gt;0),NOT(SUMPRODUCT(--ISNUMBER(SEARCH({"電源オフ","未投入","停止","未使用","撤去"},$X49&amp;"")))&gt;0)),"／電力が未記入","")&amp;IF(AND(NOT(ISNUMBER(J49)),NOT(SUMPRODUCT(--ISNUMBER(SEARCH({"棚板","棚","アングル","ｱﾝｸﾞﾙ","使用不可","ケーブル","ｹｰﾌﾞﾙ","PatchPnael","パッチ","引き出し","引出","ブランク","ﾌﾞﾗﾝｸ","マネージ","ﾏﾈｰｼﾞ","PDU","ONU"},$F49&amp;"")))&gt;0)),"／重量が未記入","")&amp;IF(AND(K49&lt;&gt;"",NOT(ISNUMBER(K49))),"／電圧が数値でない","")&amp;IF(AND(N49&lt;&gt;"",NOT(ISNUMBER(N49))),"／電流が数値でない","")&amp;IF(AND(C49&lt;&gt;"",C49&lt;1),"／開始Uが1未満","")&amp;IF(AND(E49&lt;&gt;"",E49&gt;IFERROR(VLOOKUP(A49,ラック定義!$A:$B,2,FALSE),47)),"／総Uをはみ出す","")&amp;IF(AND(A49&lt;&gt;"",COUNTIF(ラック定義!$A:$A,A49)=0),"／ラックが定義にない","")&amp;IF(AND(SUMPRODUCT((機器台帳!$A$2:$A$400=$A49)*((機器台帳!$B$2:$B$400=$B49)+(機器台帳!$B$2:$B$400="両面")+($B49="両面")&gt;0)*(機器台帳!$C$2:$C$400&lt;=$C49+$D49-1)*(機器台帳!$C$2:$C$400+機器台帳!$D$2:$D$400-1&gt;=$C49)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49&amp;"")))&gt;0)),"／同じUに他の機器(横並びなら正常)","")&amp;IF(AND(M49&lt;&gt;"",COUNTIFS(回路定義!$A:$A,A49,回路定義!$B:$B,M49)=0),"／回路1が定義にない","")&amp;IF(AND(P49&lt;&gt;"",COUNTIFS(回路定義!$A:$A,A49,回路定義!$B:$B,P49)=0),"／回路2が定義にない","")&amp;IF(AND(S49&lt;&gt;"",COUNTIFS(回路定義!$A:$A,A49,回路定義!$B:$B,S49)=0),"／回路3が定義にない",""),2,300)))</f>
        <v/>
      </c>
    </row>
    <row r="50">
      <c r="A50" s="5" t="inlineStr">
        <is>
          <t>E24-S8-3</t>
        </is>
      </c>
      <c r="B50" s="5" t="inlineStr">
        <is>
          <t>両面</t>
        </is>
      </c>
      <c r="C50" s="5" t="n">
        <v>33</v>
      </c>
      <c r="D50" s="5" t="n">
        <v>1</v>
      </c>
      <c r="E50" s="6">
        <f>IF(C50="","",C50+D50-1)</f>
        <v/>
      </c>
      <c r="F50" s="5" t="inlineStr">
        <is>
          <t>Cisco Catalyst2960S</t>
        </is>
      </c>
      <c r="G50" s="5" t="inlineStr">
        <is>
          <t>H1010126</t>
        </is>
      </c>
      <c r="H50" s="5" t="inlineStr">
        <is>
          <t>VMWare</t>
        </is>
      </c>
      <c r="I50" s="5" t="inlineStr">
        <is>
          <t>SDWAN</t>
        </is>
      </c>
      <c r="J50" s="5" t="n">
        <v>1.3</v>
      </c>
      <c r="K50" s="5" t="n">
        <v>100</v>
      </c>
      <c r="L50" s="5" t="n">
        <v>1</v>
      </c>
      <c r="M50" s="5" t="inlineStr">
        <is>
          <t>100V 20A （1）</t>
        </is>
      </c>
      <c r="N50" s="5" t="n">
        <v>0.26</v>
      </c>
      <c r="O50" s="5" t="n">
        <v>1</v>
      </c>
      <c r="P50" s="5" t="n"/>
      <c r="Q50" s="5" t="n"/>
      <c r="R50" s="5" t="n"/>
      <c r="S50" s="5" t="n"/>
      <c r="T50" s="5" t="n"/>
      <c r="U50" s="5" t="n"/>
      <c r="V50" s="5" t="inlineStr">
        <is>
          <t>棚</t>
        </is>
      </c>
      <c r="W50" s="5" t="inlineStr">
        <is>
          <t>１本</t>
        </is>
      </c>
      <c r="X50" s="5" t="inlineStr">
        <is>
          <t>2022/3 追加</t>
        </is>
      </c>
      <c r="Y50" s="6">
        <f>COUNT(N50,Q50,T50)</f>
        <v/>
      </c>
      <c r="Z50" s="6">
        <f>IF(OR(K50="",NOT(ISNUMBER(K50))),"",K50*SUM(N50,Q50,T50))</f>
        <v/>
      </c>
      <c r="AA50" s="6">
        <f>IF(OR(Y50=0,N50=""),"",N50/Y50)</f>
        <v/>
      </c>
      <c r="AB50" s="6">
        <f>IF(OR(Y50=0,Q50=""),"",Q50/Y50)</f>
        <v/>
      </c>
      <c r="AC50" s="6">
        <f>IF(OR(Y50=0,T50=""),"",T50/Y50)</f>
        <v/>
      </c>
      <c r="AD50" s="6">
        <f>IF(F50="","",IF((IF(AND(Y50=0,NOT(SUMPRODUCT(--ISNUMBER(SEARCH({"棚板","棚","アングル","ｱﾝｸﾞﾙ","使用不可","ケーブル","ｹｰﾌﾞﾙ","PatchPnael","パッチ","引き出し","引出","ブランク","ﾌﾞﾗﾝｸ","マネージ","ﾏﾈｰｼﾞ","PDU","ONU"},$F50&amp;"")))&gt;0),NOT(SUMPRODUCT(--ISNUMBER(SEARCH({"電源オフ","未投入","停止","未使用","撤去"},$X50&amp;"")))&gt;0)),"／電力が未記入","")&amp;IF(AND(NOT(ISNUMBER(J50)),NOT(SUMPRODUCT(--ISNUMBER(SEARCH({"棚板","棚","アングル","ｱﾝｸﾞﾙ","使用不可","ケーブル","ｹｰﾌﾞﾙ","PatchPnael","パッチ","引き出し","引出","ブランク","ﾌﾞﾗﾝｸ","マネージ","ﾏﾈｰｼﾞ","PDU","ONU"},$F50&amp;"")))&gt;0)),"／重量が未記入","")&amp;IF(AND(K50&lt;&gt;"",NOT(ISNUMBER(K50))),"／電圧が数値でない","")&amp;IF(AND(N50&lt;&gt;"",NOT(ISNUMBER(N50))),"／電流が数値でない","")&amp;IF(AND(C50&lt;&gt;"",C50&lt;1),"／開始Uが1未満","")&amp;IF(AND(E50&lt;&gt;"",E50&gt;IFERROR(VLOOKUP(A50,ラック定義!$A:$B,2,FALSE),47)),"／総Uをはみ出す","")&amp;IF(AND(A50&lt;&gt;"",COUNTIF(ラック定義!$A:$A,A50)=0),"／ラックが定義にない","")&amp;IF(AND(SUMPRODUCT((機器台帳!$A$2:$A$400=$A50)*((機器台帳!$B$2:$B$400=$B50)+(機器台帳!$B$2:$B$400="両面")+($B50="両面")&gt;0)*(機器台帳!$C$2:$C$400&lt;=$C50+$D50-1)*(機器台帳!$C$2:$C$400+機器台帳!$D$2:$D$400-1&gt;=$C50)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50&amp;"")))&gt;0)),"／同じUに他の機器(横並びなら正常)","")&amp;IF(AND(M50&lt;&gt;"",COUNTIFS(回路定義!$A:$A,A50,回路定義!$B:$B,M50)=0),"／回路1が定義にない","")&amp;IF(AND(P50&lt;&gt;"",COUNTIFS(回路定義!$A:$A,A50,回路定義!$B:$B,P50)=0),"／回路2が定義にない","")&amp;IF(AND(S50&lt;&gt;"",COUNTIFS(回路定義!$A:$A,A50,回路定義!$B:$B,S50)=0),"／回路3が定義にない",""))="","",MID(IF(AND(Y50=0,NOT(SUMPRODUCT(--ISNUMBER(SEARCH({"棚板","棚","アングル","ｱﾝｸﾞﾙ","使用不可","ケーブル","ｹｰﾌﾞﾙ","PatchPnael","パッチ","引き出し","引出","ブランク","ﾌﾞﾗﾝｸ","マネージ","ﾏﾈｰｼﾞ","PDU","ONU"},$F50&amp;"")))&gt;0),NOT(SUMPRODUCT(--ISNUMBER(SEARCH({"電源オフ","未投入","停止","未使用","撤去"},$X50&amp;"")))&gt;0)),"／電力が未記入","")&amp;IF(AND(NOT(ISNUMBER(J50)),NOT(SUMPRODUCT(--ISNUMBER(SEARCH({"棚板","棚","アングル","ｱﾝｸﾞﾙ","使用不可","ケーブル","ｹｰﾌﾞﾙ","PatchPnael","パッチ","引き出し","引出","ブランク","ﾌﾞﾗﾝｸ","マネージ","ﾏﾈｰｼﾞ","PDU","ONU"},$F50&amp;"")))&gt;0)),"／重量が未記入","")&amp;IF(AND(K50&lt;&gt;"",NOT(ISNUMBER(K50))),"／電圧が数値でない","")&amp;IF(AND(N50&lt;&gt;"",NOT(ISNUMBER(N50))),"／電流が数値でない","")&amp;IF(AND(C50&lt;&gt;"",C50&lt;1),"／開始Uが1未満","")&amp;IF(AND(E50&lt;&gt;"",E50&gt;IFERROR(VLOOKUP(A50,ラック定義!$A:$B,2,FALSE),47)),"／総Uをはみ出す","")&amp;IF(AND(A50&lt;&gt;"",COUNTIF(ラック定義!$A:$A,A50)=0),"／ラックが定義にない","")&amp;IF(AND(SUMPRODUCT((機器台帳!$A$2:$A$400=$A50)*((機器台帳!$B$2:$B$400=$B50)+(機器台帳!$B$2:$B$400="両面")+($B50="両面")&gt;0)*(機器台帳!$C$2:$C$400&lt;=$C50+$D50-1)*(機器台帳!$C$2:$C$400+機器台帳!$D$2:$D$400-1&gt;=$C50)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50&amp;"")))&gt;0)),"／同じUに他の機器(横並びなら正常)","")&amp;IF(AND(M50&lt;&gt;"",COUNTIFS(回路定義!$A:$A,A50,回路定義!$B:$B,M50)=0),"／回路1が定義にない","")&amp;IF(AND(P50&lt;&gt;"",COUNTIFS(回路定義!$A:$A,A50,回路定義!$B:$B,P50)=0),"／回路2が定義にない","")&amp;IF(AND(S50&lt;&gt;"",COUNTIFS(回路定義!$A:$A,A50,回路定義!$B:$B,S50)=0),"／回路3が定義にない",""),2,300)))</f>
        <v/>
      </c>
    </row>
    <row r="51">
      <c r="A51" s="5" t="inlineStr">
        <is>
          <t>E24-S8-3</t>
        </is>
      </c>
      <c r="B51" s="5" t="inlineStr">
        <is>
          <t>両面</t>
        </is>
      </c>
      <c r="C51" s="5" t="n">
        <v>32</v>
      </c>
      <c r="D51" s="5" t="n">
        <v>1</v>
      </c>
      <c r="E51" s="6">
        <f>IF(C51="","",C51+D51-1)</f>
        <v/>
      </c>
      <c r="F51" s="5" t="inlineStr">
        <is>
          <t>⑩Edge610</t>
        </is>
      </c>
      <c r="G51" s="5" t="inlineStr">
        <is>
          <t>H2115654</t>
        </is>
      </c>
      <c r="H51" s="5" t="inlineStr">
        <is>
          <t>VMWare</t>
        </is>
      </c>
      <c r="I51" s="5" t="inlineStr">
        <is>
          <t>SDWAN</t>
        </is>
      </c>
      <c r="J51" s="5" t="n">
        <v>1.3</v>
      </c>
      <c r="K51" s="5" t="n">
        <v>100</v>
      </c>
      <c r="L51" s="5" t="n">
        <v>1</v>
      </c>
      <c r="M51" s="5" t="inlineStr">
        <is>
          <t>100V 20A （1）</t>
        </is>
      </c>
      <c r="N51" s="5" t="n">
        <v>0.3</v>
      </c>
      <c r="O51" s="5" t="n">
        <v>1</v>
      </c>
      <c r="P51" s="5" t="n"/>
      <c r="Q51" s="5" t="n"/>
      <c r="R51" s="5" t="n"/>
      <c r="S51" s="5" t="n"/>
      <c r="T51" s="5" t="n"/>
      <c r="U51" s="5" t="n"/>
      <c r="V51" s="5" t="inlineStr">
        <is>
          <t>棚</t>
        </is>
      </c>
      <c r="W51" s="5" t="inlineStr">
        <is>
          <t>１本</t>
        </is>
      </c>
      <c r="X51" s="5" t="inlineStr">
        <is>
          <t>2022/3 追加</t>
        </is>
      </c>
      <c r="Y51" s="6">
        <f>COUNT(N51,Q51,T51)</f>
        <v/>
      </c>
      <c r="Z51" s="6">
        <f>IF(OR(K51="",NOT(ISNUMBER(K51))),"",K51*SUM(N51,Q51,T51))</f>
        <v/>
      </c>
      <c r="AA51" s="6">
        <f>IF(OR(Y51=0,N51=""),"",N51/Y51)</f>
        <v/>
      </c>
      <c r="AB51" s="6">
        <f>IF(OR(Y51=0,Q51=""),"",Q51/Y51)</f>
        <v/>
      </c>
      <c r="AC51" s="6">
        <f>IF(OR(Y51=0,T51=""),"",T51/Y51)</f>
        <v/>
      </c>
      <c r="AD51" s="6">
        <f>IF(F51="","",IF((IF(AND(Y51=0,NOT(SUMPRODUCT(--ISNUMBER(SEARCH({"棚板","棚","アングル","ｱﾝｸﾞﾙ","使用不可","ケーブル","ｹｰﾌﾞﾙ","PatchPnael","パッチ","引き出し","引出","ブランク","ﾌﾞﾗﾝｸ","マネージ","ﾏﾈｰｼﾞ","PDU","ONU"},$F51&amp;"")))&gt;0),NOT(SUMPRODUCT(--ISNUMBER(SEARCH({"電源オフ","未投入","停止","未使用","撤去"},$X51&amp;"")))&gt;0)),"／電力が未記入","")&amp;IF(AND(NOT(ISNUMBER(J51)),NOT(SUMPRODUCT(--ISNUMBER(SEARCH({"棚板","棚","アングル","ｱﾝｸﾞﾙ","使用不可","ケーブル","ｹｰﾌﾞﾙ","PatchPnael","パッチ","引き出し","引出","ブランク","ﾌﾞﾗﾝｸ","マネージ","ﾏﾈｰｼﾞ","PDU","ONU"},$F51&amp;"")))&gt;0)),"／重量が未記入","")&amp;IF(AND(K51&lt;&gt;"",NOT(ISNUMBER(K51))),"／電圧が数値でない","")&amp;IF(AND(N51&lt;&gt;"",NOT(ISNUMBER(N51))),"／電流が数値でない","")&amp;IF(AND(C51&lt;&gt;"",C51&lt;1),"／開始Uが1未満","")&amp;IF(AND(E51&lt;&gt;"",E51&gt;IFERROR(VLOOKUP(A51,ラック定義!$A:$B,2,FALSE),47)),"／総Uをはみ出す","")&amp;IF(AND(A51&lt;&gt;"",COUNTIF(ラック定義!$A:$A,A51)=0),"／ラックが定義にない","")&amp;IF(AND(SUMPRODUCT((機器台帳!$A$2:$A$400=$A51)*((機器台帳!$B$2:$B$400=$B51)+(機器台帳!$B$2:$B$400="両面")+($B51="両面")&gt;0)*(機器台帳!$C$2:$C$400&lt;=$C51+$D51-1)*(機器台帳!$C$2:$C$400+機器台帳!$D$2:$D$400-1&gt;=$C51)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51&amp;"")))&gt;0)),"／同じUに他の機器(横並びなら正常)","")&amp;IF(AND(M51&lt;&gt;"",COUNTIFS(回路定義!$A:$A,A51,回路定義!$B:$B,M51)=0),"／回路1が定義にない","")&amp;IF(AND(P51&lt;&gt;"",COUNTIFS(回路定義!$A:$A,A51,回路定義!$B:$B,P51)=0),"／回路2が定義にない","")&amp;IF(AND(S51&lt;&gt;"",COUNTIFS(回路定義!$A:$A,A51,回路定義!$B:$B,S51)=0),"／回路3が定義にない",""))="","",MID(IF(AND(Y51=0,NOT(SUMPRODUCT(--ISNUMBER(SEARCH({"棚板","棚","アングル","ｱﾝｸﾞﾙ","使用不可","ケーブル","ｹｰﾌﾞﾙ","PatchPnael","パッチ","引き出し","引出","ブランク","ﾌﾞﾗﾝｸ","マネージ","ﾏﾈｰｼﾞ","PDU","ONU"},$F51&amp;"")))&gt;0),NOT(SUMPRODUCT(--ISNUMBER(SEARCH({"電源オフ","未投入","停止","未使用","撤去"},$X51&amp;"")))&gt;0)),"／電力が未記入","")&amp;IF(AND(NOT(ISNUMBER(J51)),NOT(SUMPRODUCT(--ISNUMBER(SEARCH({"棚板","棚","アングル","ｱﾝｸﾞﾙ","使用不可","ケーブル","ｹｰﾌﾞﾙ","PatchPnael","パッチ","引き出し","引出","ブランク","ﾌﾞﾗﾝｸ","マネージ","ﾏﾈｰｼﾞ","PDU","ONU"},$F51&amp;"")))&gt;0)),"／重量が未記入","")&amp;IF(AND(K51&lt;&gt;"",NOT(ISNUMBER(K51))),"／電圧が数値でない","")&amp;IF(AND(N51&lt;&gt;"",NOT(ISNUMBER(N51))),"／電流が数値でない","")&amp;IF(AND(C51&lt;&gt;"",C51&lt;1),"／開始Uが1未満","")&amp;IF(AND(E51&lt;&gt;"",E51&gt;IFERROR(VLOOKUP(A51,ラック定義!$A:$B,2,FALSE),47)),"／総Uをはみ出す","")&amp;IF(AND(A51&lt;&gt;"",COUNTIF(ラック定義!$A:$A,A51)=0),"／ラックが定義にない","")&amp;IF(AND(SUMPRODUCT((機器台帳!$A$2:$A$400=$A51)*((機器台帳!$B$2:$B$400=$B51)+(機器台帳!$B$2:$B$400="両面")+($B51="両面")&gt;0)*(機器台帳!$C$2:$C$400&lt;=$C51+$D51-1)*(機器台帳!$C$2:$C$400+機器台帳!$D$2:$D$400-1&gt;=$C51)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51&amp;"")))&gt;0)),"／同じUに他の機器(横並びなら正常)","")&amp;IF(AND(M51&lt;&gt;"",COUNTIFS(回路定義!$A:$A,A51,回路定義!$B:$B,M51)=0),"／回路1が定義にない","")&amp;IF(AND(P51&lt;&gt;"",COUNTIFS(回路定義!$A:$A,A51,回路定義!$B:$B,P51)=0),"／回路2が定義にない","")&amp;IF(AND(S51&lt;&gt;"",COUNTIFS(回路定義!$A:$A,A51,回路定義!$B:$B,S51)=0),"／回路3が定義にない",""),2,300)))</f>
        <v/>
      </c>
    </row>
    <row r="52">
      <c r="A52" s="5" t="inlineStr">
        <is>
          <t>E24-S8-3</t>
        </is>
      </c>
      <c r="B52" s="5" t="inlineStr">
        <is>
          <t>両面</t>
        </is>
      </c>
      <c r="C52" s="5" t="n">
        <v>32</v>
      </c>
      <c r="D52" s="5" t="n">
        <v>1</v>
      </c>
      <c r="E52" s="6">
        <f>IF(C52="","",C52+D52-1)</f>
        <v/>
      </c>
      <c r="F52" s="5" t="inlineStr">
        <is>
          <t>⑬Edge620</t>
        </is>
      </c>
      <c r="G52" s="5" t="inlineStr">
        <is>
          <t>H2115657</t>
        </is>
      </c>
      <c r="H52" s="5" t="inlineStr">
        <is>
          <t>VMWare</t>
        </is>
      </c>
      <c r="I52" s="5" t="inlineStr">
        <is>
          <t>SDWAN</t>
        </is>
      </c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inlineStr">
        <is>
          <t>棚</t>
        </is>
      </c>
      <c r="W52" s="5" t="inlineStr">
        <is>
          <t>１本</t>
        </is>
      </c>
      <c r="X52" s="5" t="inlineStr">
        <is>
          <t>2022/3 追加</t>
        </is>
      </c>
      <c r="Y52" s="6">
        <f>COUNT(N52,Q52,T52)</f>
        <v/>
      </c>
      <c r="Z52" s="6">
        <f>IF(OR(K52="",NOT(ISNUMBER(K52))),"",K52*SUM(N52,Q52,T52))</f>
        <v/>
      </c>
      <c r="AA52" s="6">
        <f>IF(OR(Y52=0,N52=""),"",N52/Y52)</f>
        <v/>
      </c>
      <c r="AB52" s="6">
        <f>IF(OR(Y52=0,Q52=""),"",Q52/Y52)</f>
        <v/>
      </c>
      <c r="AC52" s="6">
        <f>IF(OR(Y52=0,T52=""),"",T52/Y52)</f>
        <v/>
      </c>
      <c r="AD52" s="6">
        <f>IF(F52="","",IF((IF(AND(Y52=0,NOT(SUMPRODUCT(--ISNUMBER(SEARCH({"棚板","棚","アングル","ｱﾝｸﾞﾙ","使用不可","ケーブル","ｹｰﾌﾞﾙ","PatchPnael","パッチ","引き出し","引出","ブランク","ﾌﾞﾗﾝｸ","マネージ","ﾏﾈｰｼﾞ","PDU","ONU"},$F52&amp;"")))&gt;0),NOT(SUMPRODUCT(--ISNUMBER(SEARCH({"電源オフ","未投入","停止","未使用","撤去"},$X52&amp;"")))&gt;0)),"／電力が未記入","")&amp;IF(AND(NOT(ISNUMBER(J52)),NOT(SUMPRODUCT(--ISNUMBER(SEARCH({"棚板","棚","アングル","ｱﾝｸﾞﾙ","使用不可","ケーブル","ｹｰﾌﾞﾙ","PatchPnael","パッチ","引き出し","引出","ブランク","ﾌﾞﾗﾝｸ","マネージ","ﾏﾈｰｼﾞ","PDU","ONU"},$F52&amp;"")))&gt;0)),"／重量が未記入","")&amp;IF(AND(K52&lt;&gt;"",NOT(ISNUMBER(K52))),"／電圧が数値でない","")&amp;IF(AND(N52&lt;&gt;"",NOT(ISNUMBER(N52))),"／電流が数値でない","")&amp;IF(AND(C52&lt;&gt;"",C52&lt;1),"／開始Uが1未満","")&amp;IF(AND(E52&lt;&gt;"",E52&gt;IFERROR(VLOOKUP(A52,ラック定義!$A:$B,2,FALSE),47)),"／総Uをはみ出す","")&amp;IF(AND(A52&lt;&gt;"",COUNTIF(ラック定義!$A:$A,A52)=0),"／ラックが定義にない","")&amp;IF(AND(SUMPRODUCT((機器台帳!$A$2:$A$400=$A52)*((機器台帳!$B$2:$B$400=$B52)+(機器台帳!$B$2:$B$400="両面")+($B52="両面")&gt;0)*(機器台帳!$C$2:$C$400&lt;=$C52+$D52-1)*(機器台帳!$C$2:$C$400+機器台帳!$D$2:$D$400-1&gt;=$C52)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52&amp;"")))&gt;0)),"／同じUに他の機器(横並びなら正常)","")&amp;IF(AND(M52&lt;&gt;"",COUNTIFS(回路定義!$A:$A,A52,回路定義!$B:$B,M52)=0),"／回路1が定義にない","")&amp;IF(AND(P52&lt;&gt;"",COUNTIFS(回路定義!$A:$A,A52,回路定義!$B:$B,P52)=0),"／回路2が定義にない","")&amp;IF(AND(S52&lt;&gt;"",COUNTIFS(回路定義!$A:$A,A52,回路定義!$B:$B,S52)=0),"／回路3が定義にない",""))="","",MID(IF(AND(Y52=0,NOT(SUMPRODUCT(--ISNUMBER(SEARCH({"棚板","棚","アングル","ｱﾝｸﾞﾙ","使用不可","ケーブル","ｹｰﾌﾞﾙ","PatchPnael","パッチ","引き出し","引出","ブランク","ﾌﾞﾗﾝｸ","マネージ","ﾏﾈｰｼﾞ","PDU","ONU"},$F52&amp;"")))&gt;0),NOT(SUMPRODUCT(--ISNUMBER(SEARCH({"電源オフ","未投入","停止","未使用","撤去"},$X52&amp;"")))&gt;0)),"／電力が未記入","")&amp;IF(AND(NOT(ISNUMBER(J52)),NOT(SUMPRODUCT(--ISNUMBER(SEARCH({"棚板","棚","アングル","ｱﾝｸﾞﾙ","使用不可","ケーブル","ｹｰﾌﾞﾙ","PatchPnael","パッチ","引き出し","引出","ブランク","ﾌﾞﾗﾝｸ","マネージ","ﾏﾈｰｼﾞ","PDU","ONU"},$F52&amp;"")))&gt;0)),"／重量が未記入","")&amp;IF(AND(K52&lt;&gt;"",NOT(ISNUMBER(K52))),"／電圧が数値でない","")&amp;IF(AND(N52&lt;&gt;"",NOT(ISNUMBER(N52))),"／電流が数値でない","")&amp;IF(AND(C52&lt;&gt;"",C52&lt;1),"／開始Uが1未満","")&amp;IF(AND(E52&lt;&gt;"",E52&gt;IFERROR(VLOOKUP(A52,ラック定義!$A:$B,2,FALSE),47)),"／総Uをはみ出す","")&amp;IF(AND(A52&lt;&gt;"",COUNTIF(ラック定義!$A:$A,A52)=0),"／ラックが定義にない","")&amp;IF(AND(SUMPRODUCT((機器台帳!$A$2:$A$400=$A52)*((機器台帳!$B$2:$B$400=$B52)+(機器台帳!$B$2:$B$400="両面")+($B52="両面")&gt;0)*(機器台帳!$C$2:$C$400&lt;=$C52+$D52-1)*(機器台帳!$C$2:$C$400+機器台帳!$D$2:$D$400-1&gt;=$C52)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52&amp;"")))&gt;0)),"／同じUに他の機器(横並びなら正常)","")&amp;IF(AND(M52&lt;&gt;"",COUNTIFS(回路定義!$A:$A,A52,回路定義!$B:$B,M52)=0),"／回路1が定義にない","")&amp;IF(AND(P52&lt;&gt;"",COUNTIFS(回路定義!$A:$A,A52,回路定義!$B:$B,P52)=0),"／回路2が定義にない","")&amp;IF(AND(S52&lt;&gt;"",COUNTIFS(回路定義!$A:$A,A52,回路定義!$B:$B,S52)=0),"／回路3が定義にない",""),2,300)))</f>
        <v/>
      </c>
    </row>
    <row r="53">
      <c r="A53" s="5" t="inlineStr">
        <is>
          <t>E24-S8-3</t>
        </is>
      </c>
      <c r="B53" s="5" t="inlineStr">
        <is>
          <t>両面</t>
        </is>
      </c>
      <c r="C53" s="5" t="n">
        <v>31</v>
      </c>
      <c r="D53" s="5" t="n">
        <v>1</v>
      </c>
      <c r="E53" s="6">
        <f>IF(C53="","",C53+D53-1)</f>
        <v/>
      </c>
      <c r="F53" s="5" t="inlineStr">
        <is>
          <t>⑪Edge610</t>
        </is>
      </c>
      <c r="G53" s="5" t="inlineStr">
        <is>
          <t>H2115655</t>
        </is>
      </c>
      <c r="H53" s="5" t="inlineStr">
        <is>
          <t>VMWare</t>
        </is>
      </c>
      <c r="I53" s="5" t="inlineStr">
        <is>
          <t>SDWAN</t>
        </is>
      </c>
      <c r="J53" s="5" t="n">
        <v>1.3</v>
      </c>
      <c r="K53" s="5" t="n">
        <v>100</v>
      </c>
      <c r="L53" s="5" t="n">
        <v>1</v>
      </c>
      <c r="M53" s="5" t="inlineStr">
        <is>
          <t>100V 20A （2）</t>
        </is>
      </c>
      <c r="N53" s="5" t="n">
        <v>0.3</v>
      </c>
      <c r="O53" s="5" t="n">
        <v>1</v>
      </c>
      <c r="P53" s="5" t="n"/>
      <c r="Q53" s="5" t="n"/>
      <c r="R53" s="5" t="n"/>
      <c r="S53" s="5" t="n"/>
      <c r="T53" s="5" t="n"/>
      <c r="U53" s="5" t="n"/>
      <c r="V53" s="5" t="inlineStr">
        <is>
          <t>棚</t>
        </is>
      </c>
      <c r="W53" s="5" t="inlineStr">
        <is>
          <t>１本</t>
        </is>
      </c>
      <c r="X53" s="5" t="inlineStr">
        <is>
          <t>2022/3 追加</t>
        </is>
      </c>
      <c r="Y53" s="6">
        <f>COUNT(N53,Q53,T53)</f>
        <v/>
      </c>
      <c r="Z53" s="6">
        <f>IF(OR(K53="",NOT(ISNUMBER(K53))),"",K53*SUM(N53,Q53,T53))</f>
        <v/>
      </c>
      <c r="AA53" s="6">
        <f>IF(OR(Y53=0,N53=""),"",N53/Y53)</f>
        <v/>
      </c>
      <c r="AB53" s="6">
        <f>IF(OR(Y53=0,Q53=""),"",Q53/Y53)</f>
        <v/>
      </c>
      <c r="AC53" s="6">
        <f>IF(OR(Y53=0,T53=""),"",T53/Y53)</f>
        <v/>
      </c>
      <c r="AD53" s="6">
        <f>IF(F53="","",IF((IF(AND(Y53=0,NOT(SUMPRODUCT(--ISNUMBER(SEARCH({"棚板","棚","アングル","ｱﾝｸﾞﾙ","使用不可","ケーブル","ｹｰﾌﾞﾙ","PatchPnael","パッチ","引き出し","引出","ブランク","ﾌﾞﾗﾝｸ","マネージ","ﾏﾈｰｼﾞ","PDU","ONU"},$F53&amp;"")))&gt;0),NOT(SUMPRODUCT(--ISNUMBER(SEARCH({"電源オフ","未投入","停止","未使用","撤去"},$X53&amp;"")))&gt;0)),"／電力が未記入","")&amp;IF(AND(NOT(ISNUMBER(J53)),NOT(SUMPRODUCT(--ISNUMBER(SEARCH({"棚板","棚","アングル","ｱﾝｸﾞﾙ","使用不可","ケーブル","ｹｰﾌﾞﾙ","PatchPnael","パッチ","引き出し","引出","ブランク","ﾌﾞﾗﾝｸ","マネージ","ﾏﾈｰｼﾞ","PDU","ONU"},$F53&amp;"")))&gt;0)),"／重量が未記入","")&amp;IF(AND(K53&lt;&gt;"",NOT(ISNUMBER(K53))),"／電圧が数値でない","")&amp;IF(AND(N53&lt;&gt;"",NOT(ISNUMBER(N53))),"／電流が数値でない","")&amp;IF(AND(C53&lt;&gt;"",C53&lt;1),"／開始Uが1未満","")&amp;IF(AND(E53&lt;&gt;"",E53&gt;IFERROR(VLOOKUP(A53,ラック定義!$A:$B,2,FALSE),47)),"／総Uをはみ出す","")&amp;IF(AND(A53&lt;&gt;"",COUNTIF(ラック定義!$A:$A,A53)=0),"／ラックが定義にない","")&amp;IF(AND(SUMPRODUCT((機器台帳!$A$2:$A$400=$A53)*((機器台帳!$B$2:$B$400=$B53)+(機器台帳!$B$2:$B$400="両面")+($B53="両面")&gt;0)*(機器台帳!$C$2:$C$400&lt;=$C53+$D53-1)*(機器台帳!$C$2:$C$400+機器台帳!$D$2:$D$400-1&gt;=$C53)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53&amp;"")))&gt;0)),"／同じUに他の機器(横並びなら正常)","")&amp;IF(AND(M53&lt;&gt;"",COUNTIFS(回路定義!$A:$A,A53,回路定義!$B:$B,M53)=0),"／回路1が定義にない","")&amp;IF(AND(P53&lt;&gt;"",COUNTIFS(回路定義!$A:$A,A53,回路定義!$B:$B,P53)=0),"／回路2が定義にない","")&amp;IF(AND(S53&lt;&gt;"",COUNTIFS(回路定義!$A:$A,A53,回路定義!$B:$B,S53)=0),"／回路3が定義にない",""))="","",MID(IF(AND(Y53=0,NOT(SUMPRODUCT(--ISNUMBER(SEARCH({"棚板","棚","アングル","ｱﾝｸﾞﾙ","使用不可","ケーブル","ｹｰﾌﾞﾙ","PatchPnael","パッチ","引き出し","引出","ブランク","ﾌﾞﾗﾝｸ","マネージ","ﾏﾈｰｼﾞ","PDU","ONU"},$F53&amp;"")))&gt;0),NOT(SUMPRODUCT(--ISNUMBER(SEARCH({"電源オフ","未投入","停止","未使用","撤去"},$X53&amp;"")))&gt;0)),"／電力が未記入","")&amp;IF(AND(NOT(ISNUMBER(J53)),NOT(SUMPRODUCT(--ISNUMBER(SEARCH({"棚板","棚","アングル","ｱﾝｸﾞﾙ","使用不可","ケーブル","ｹｰﾌﾞﾙ","PatchPnael","パッチ","引き出し","引出","ブランク","ﾌﾞﾗﾝｸ","マネージ","ﾏﾈｰｼﾞ","PDU","ONU"},$F53&amp;"")))&gt;0)),"／重量が未記入","")&amp;IF(AND(K53&lt;&gt;"",NOT(ISNUMBER(K53))),"／電圧が数値でない","")&amp;IF(AND(N53&lt;&gt;"",NOT(ISNUMBER(N53))),"／電流が数値でない","")&amp;IF(AND(C53&lt;&gt;"",C53&lt;1),"／開始Uが1未満","")&amp;IF(AND(E53&lt;&gt;"",E53&gt;IFERROR(VLOOKUP(A53,ラック定義!$A:$B,2,FALSE),47)),"／総Uをはみ出す","")&amp;IF(AND(A53&lt;&gt;"",COUNTIF(ラック定義!$A:$A,A53)=0),"／ラックが定義にない","")&amp;IF(AND(SUMPRODUCT((機器台帳!$A$2:$A$400=$A53)*((機器台帳!$B$2:$B$400=$B53)+(機器台帳!$B$2:$B$400="両面")+($B53="両面")&gt;0)*(機器台帳!$C$2:$C$400&lt;=$C53+$D53-1)*(機器台帳!$C$2:$C$400+機器台帳!$D$2:$D$400-1&gt;=$C53)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53&amp;"")))&gt;0)),"／同じUに他の機器(横並びなら正常)","")&amp;IF(AND(M53&lt;&gt;"",COUNTIFS(回路定義!$A:$A,A53,回路定義!$B:$B,M53)=0),"／回路1が定義にない","")&amp;IF(AND(P53&lt;&gt;"",COUNTIFS(回路定義!$A:$A,A53,回路定義!$B:$B,P53)=0),"／回路2が定義にない","")&amp;IF(AND(S53&lt;&gt;"",COUNTIFS(回路定義!$A:$A,A53,回路定義!$B:$B,S53)=0),"／回路3が定義にない",""),2,300)))</f>
        <v/>
      </c>
    </row>
    <row r="54">
      <c r="A54" s="5" t="inlineStr">
        <is>
          <t>E24-S8-3</t>
        </is>
      </c>
      <c r="B54" s="5" t="inlineStr">
        <is>
          <t>両面</t>
        </is>
      </c>
      <c r="C54" s="5" t="n">
        <v>30</v>
      </c>
      <c r="D54" s="5" t="n">
        <v>1</v>
      </c>
      <c r="E54" s="6">
        <f>IF(C54="","",C54+D54-1)</f>
        <v/>
      </c>
      <c r="F54" s="5" t="inlineStr">
        <is>
          <t>⑫Edge620</t>
        </is>
      </c>
      <c r="G54" s="5" t="inlineStr">
        <is>
          <t>H2115656</t>
        </is>
      </c>
      <c r="H54" s="5" t="inlineStr">
        <is>
          <t>VMWare</t>
        </is>
      </c>
      <c r="I54" s="5" t="inlineStr">
        <is>
          <t>SDWAN</t>
        </is>
      </c>
      <c r="J54" s="5" t="n">
        <v>1.3</v>
      </c>
      <c r="K54" s="5" t="n">
        <v>100</v>
      </c>
      <c r="L54" s="5" t="n">
        <v>1</v>
      </c>
      <c r="M54" s="5" t="inlineStr">
        <is>
          <t>100V 20A （2）</t>
        </is>
      </c>
      <c r="N54" s="5" t="n">
        <v>0.26</v>
      </c>
      <c r="O54" s="5" t="n">
        <v>1</v>
      </c>
      <c r="P54" s="5" t="n"/>
      <c r="Q54" s="5" t="n"/>
      <c r="R54" s="5" t="n"/>
      <c r="S54" s="5" t="n"/>
      <c r="T54" s="5" t="n"/>
      <c r="U54" s="5" t="n"/>
      <c r="V54" s="5" t="inlineStr">
        <is>
          <t>棚</t>
        </is>
      </c>
      <c r="W54" s="5" t="inlineStr">
        <is>
          <t>１本</t>
        </is>
      </c>
      <c r="X54" s="5" t="inlineStr">
        <is>
          <t>2022/12 取り外し</t>
        </is>
      </c>
      <c r="Y54" s="6">
        <f>COUNT(N54,Q54,T54)</f>
        <v/>
      </c>
      <c r="Z54" s="6">
        <f>IF(OR(K54="",NOT(ISNUMBER(K54))),"",K54*SUM(N54,Q54,T54))</f>
        <v/>
      </c>
      <c r="AA54" s="6">
        <f>IF(OR(Y54=0,N54=""),"",N54/Y54)</f>
        <v/>
      </c>
      <c r="AB54" s="6">
        <f>IF(OR(Y54=0,Q54=""),"",Q54/Y54)</f>
        <v/>
      </c>
      <c r="AC54" s="6">
        <f>IF(OR(Y54=0,T54=""),"",T54/Y54)</f>
        <v/>
      </c>
      <c r="AD54" s="6">
        <f>IF(F54="","",IF((IF(AND(Y54=0,NOT(SUMPRODUCT(--ISNUMBER(SEARCH({"棚板","棚","アングル","ｱﾝｸﾞﾙ","使用不可","ケーブル","ｹｰﾌﾞﾙ","PatchPnael","パッチ","引き出し","引出","ブランク","ﾌﾞﾗﾝｸ","マネージ","ﾏﾈｰｼﾞ","PDU","ONU"},$F54&amp;"")))&gt;0),NOT(SUMPRODUCT(--ISNUMBER(SEARCH({"電源オフ","未投入","停止","未使用","撤去"},$X54&amp;"")))&gt;0)),"／電力が未記入","")&amp;IF(AND(NOT(ISNUMBER(J54)),NOT(SUMPRODUCT(--ISNUMBER(SEARCH({"棚板","棚","アングル","ｱﾝｸﾞﾙ","使用不可","ケーブル","ｹｰﾌﾞﾙ","PatchPnael","パッチ","引き出し","引出","ブランク","ﾌﾞﾗﾝｸ","マネージ","ﾏﾈｰｼﾞ","PDU","ONU"},$F54&amp;"")))&gt;0)),"／重量が未記入","")&amp;IF(AND(K54&lt;&gt;"",NOT(ISNUMBER(K54))),"／電圧が数値でない","")&amp;IF(AND(N54&lt;&gt;"",NOT(ISNUMBER(N54))),"／電流が数値でない","")&amp;IF(AND(C54&lt;&gt;"",C54&lt;1),"／開始Uが1未満","")&amp;IF(AND(E54&lt;&gt;"",E54&gt;IFERROR(VLOOKUP(A54,ラック定義!$A:$B,2,FALSE),47)),"／総Uをはみ出す","")&amp;IF(AND(A54&lt;&gt;"",COUNTIF(ラック定義!$A:$A,A54)=0),"／ラックが定義にない","")&amp;IF(AND(SUMPRODUCT((機器台帳!$A$2:$A$400=$A54)*((機器台帳!$B$2:$B$400=$B54)+(機器台帳!$B$2:$B$400="両面")+($B54="両面")&gt;0)*(機器台帳!$C$2:$C$400&lt;=$C54+$D54-1)*(機器台帳!$C$2:$C$400+機器台帳!$D$2:$D$400-1&gt;=$C54)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54&amp;"")))&gt;0)),"／同じUに他の機器(横並びなら正常)","")&amp;IF(AND(M54&lt;&gt;"",COUNTIFS(回路定義!$A:$A,A54,回路定義!$B:$B,M54)=0),"／回路1が定義にない","")&amp;IF(AND(P54&lt;&gt;"",COUNTIFS(回路定義!$A:$A,A54,回路定義!$B:$B,P54)=0),"／回路2が定義にない","")&amp;IF(AND(S54&lt;&gt;"",COUNTIFS(回路定義!$A:$A,A54,回路定義!$B:$B,S54)=0),"／回路3が定義にない",""))="","",MID(IF(AND(Y54=0,NOT(SUMPRODUCT(--ISNUMBER(SEARCH({"棚板","棚","アングル","ｱﾝｸﾞﾙ","使用不可","ケーブル","ｹｰﾌﾞﾙ","PatchPnael","パッチ","引き出し","引出","ブランク","ﾌﾞﾗﾝｸ","マネージ","ﾏﾈｰｼﾞ","PDU","ONU"},$F54&amp;"")))&gt;0),NOT(SUMPRODUCT(--ISNUMBER(SEARCH({"電源オフ","未投入","停止","未使用","撤去"},$X54&amp;"")))&gt;0)),"／電力が未記入","")&amp;IF(AND(NOT(ISNUMBER(J54)),NOT(SUMPRODUCT(--ISNUMBER(SEARCH({"棚板","棚","アングル","ｱﾝｸﾞﾙ","使用不可","ケーブル","ｹｰﾌﾞﾙ","PatchPnael","パッチ","引き出し","引出","ブランク","ﾌﾞﾗﾝｸ","マネージ","ﾏﾈｰｼﾞ","PDU","ONU"},$F54&amp;"")))&gt;0)),"／重量が未記入","")&amp;IF(AND(K54&lt;&gt;"",NOT(ISNUMBER(K54))),"／電圧が数値でない","")&amp;IF(AND(N54&lt;&gt;"",NOT(ISNUMBER(N54))),"／電流が数値でない","")&amp;IF(AND(C54&lt;&gt;"",C54&lt;1),"／開始Uが1未満","")&amp;IF(AND(E54&lt;&gt;"",E54&gt;IFERROR(VLOOKUP(A54,ラック定義!$A:$B,2,FALSE),47)),"／総Uをはみ出す","")&amp;IF(AND(A54&lt;&gt;"",COUNTIF(ラック定義!$A:$A,A54)=0),"／ラックが定義にない","")&amp;IF(AND(SUMPRODUCT((機器台帳!$A$2:$A$400=$A54)*((機器台帳!$B$2:$B$400=$B54)+(機器台帳!$B$2:$B$400="両面")+($B54="両面")&gt;0)*(機器台帳!$C$2:$C$400&lt;=$C54+$D54-1)*(機器台帳!$C$2:$C$400+機器台帳!$D$2:$D$400-1&gt;=$C54)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54&amp;"")))&gt;0)),"／同じUに他の機器(横並びなら正常)","")&amp;IF(AND(M54&lt;&gt;"",COUNTIFS(回路定義!$A:$A,A54,回路定義!$B:$B,M54)=0),"／回路1が定義にない","")&amp;IF(AND(P54&lt;&gt;"",COUNTIFS(回路定義!$A:$A,A54,回路定義!$B:$B,P54)=0),"／回路2が定義にない","")&amp;IF(AND(S54&lt;&gt;"",COUNTIFS(回路定義!$A:$A,A54,回路定義!$B:$B,S54)=0),"／回路3が定義にない",""),2,300)))</f>
        <v/>
      </c>
    </row>
    <row r="55">
      <c r="A55" s="5" t="inlineStr">
        <is>
          <t>E24-S8-3</t>
        </is>
      </c>
      <c r="B55" s="5" t="inlineStr">
        <is>
          <t>両面</t>
        </is>
      </c>
      <c r="C55" s="5" t="n">
        <v>29</v>
      </c>
      <c r="D55" s="5" t="n">
        <v>1</v>
      </c>
      <c r="E55" s="6">
        <f>IF(C55="","",C55+D55-1)</f>
        <v/>
      </c>
      <c r="F55" s="5" t="inlineStr">
        <is>
          <t>棚板</t>
        </is>
      </c>
      <c r="G55" s="5" t="inlineStr"/>
      <c r="H55" s="5" t="inlineStr"/>
      <c r="I55" s="5" t="inlineStr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inlineStr"/>
      <c r="W55" s="5" t="inlineStr"/>
      <c r="X55" s="5" t="inlineStr"/>
      <c r="Y55" s="6">
        <f>COUNT(N55,Q55,T55)</f>
        <v/>
      </c>
      <c r="Z55" s="6">
        <f>IF(OR(K55="",NOT(ISNUMBER(K55))),"",K55*SUM(N55,Q55,T55))</f>
        <v/>
      </c>
      <c r="AA55" s="6">
        <f>IF(OR(Y55=0,N55=""),"",N55/Y55)</f>
        <v/>
      </c>
      <c r="AB55" s="6">
        <f>IF(OR(Y55=0,Q55=""),"",Q55/Y55)</f>
        <v/>
      </c>
      <c r="AC55" s="6">
        <f>IF(OR(Y55=0,T55=""),"",T55/Y55)</f>
        <v/>
      </c>
      <c r="AD55" s="6">
        <f>IF(F55="","",IF((IF(AND(Y55=0,NOT(SUMPRODUCT(--ISNUMBER(SEARCH({"棚板","棚","アングル","ｱﾝｸﾞﾙ","使用不可","ケーブル","ｹｰﾌﾞﾙ","PatchPnael","パッチ","引き出し","引出","ブランク","ﾌﾞﾗﾝｸ","マネージ","ﾏﾈｰｼﾞ","PDU","ONU"},$F55&amp;"")))&gt;0),NOT(SUMPRODUCT(--ISNUMBER(SEARCH({"電源オフ","未投入","停止","未使用","撤去"},$X55&amp;"")))&gt;0)),"／電力が未記入","")&amp;IF(AND(NOT(ISNUMBER(J55)),NOT(SUMPRODUCT(--ISNUMBER(SEARCH({"棚板","棚","アングル","ｱﾝｸﾞﾙ","使用不可","ケーブル","ｹｰﾌﾞﾙ","PatchPnael","パッチ","引き出し","引出","ブランク","ﾌﾞﾗﾝｸ","マネージ","ﾏﾈｰｼﾞ","PDU","ONU"},$F55&amp;"")))&gt;0)),"／重量が未記入","")&amp;IF(AND(K55&lt;&gt;"",NOT(ISNUMBER(K55))),"／電圧が数値でない","")&amp;IF(AND(N55&lt;&gt;"",NOT(ISNUMBER(N55))),"／電流が数値でない","")&amp;IF(AND(C55&lt;&gt;"",C55&lt;1),"／開始Uが1未満","")&amp;IF(AND(E55&lt;&gt;"",E55&gt;IFERROR(VLOOKUP(A55,ラック定義!$A:$B,2,FALSE),47)),"／総Uをはみ出す","")&amp;IF(AND(A55&lt;&gt;"",COUNTIF(ラック定義!$A:$A,A55)=0),"／ラックが定義にない","")&amp;IF(AND(SUMPRODUCT((機器台帳!$A$2:$A$400=$A55)*((機器台帳!$B$2:$B$400=$B55)+(機器台帳!$B$2:$B$400="両面")+($B55="両面")&gt;0)*(機器台帳!$C$2:$C$400&lt;=$C55+$D55-1)*(機器台帳!$C$2:$C$400+機器台帳!$D$2:$D$400-1&gt;=$C55)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55&amp;"")))&gt;0)),"／同じUに他の機器(横並びなら正常)","")&amp;IF(AND(M55&lt;&gt;"",COUNTIFS(回路定義!$A:$A,A55,回路定義!$B:$B,M55)=0),"／回路1が定義にない","")&amp;IF(AND(P55&lt;&gt;"",COUNTIFS(回路定義!$A:$A,A55,回路定義!$B:$B,P55)=0),"／回路2が定義にない","")&amp;IF(AND(S55&lt;&gt;"",COUNTIFS(回路定義!$A:$A,A55,回路定義!$B:$B,S55)=0),"／回路3が定義にない",""))="","",MID(IF(AND(Y55=0,NOT(SUMPRODUCT(--ISNUMBER(SEARCH({"棚板","棚","アングル","ｱﾝｸﾞﾙ","使用不可","ケーブル","ｹｰﾌﾞﾙ","PatchPnael","パッチ","引き出し","引出","ブランク","ﾌﾞﾗﾝｸ","マネージ","ﾏﾈｰｼﾞ","PDU","ONU"},$F55&amp;"")))&gt;0),NOT(SUMPRODUCT(--ISNUMBER(SEARCH({"電源オフ","未投入","停止","未使用","撤去"},$X55&amp;"")))&gt;0)),"／電力が未記入","")&amp;IF(AND(NOT(ISNUMBER(J55)),NOT(SUMPRODUCT(--ISNUMBER(SEARCH({"棚板","棚","アングル","ｱﾝｸﾞﾙ","使用不可","ケーブル","ｹｰﾌﾞﾙ","PatchPnael","パッチ","引き出し","引出","ブランク","ﾌﾞﾗﾝｸ","マネージ","ﾏﾈｰｼﾞ","PDU","ONU"},$F55&amp;"")))&gt;0)),"／重量が未記入","")&amp;IF(AND(K55&lt;&gt;"",NOT(ISNUMBER(K55))),"／電圧が数値でない","")&amp;IF(AND(N55&lt;&gt;"",NOT(ISNUMBER(N55))),"／電流が数値でない","")&amp;IF(AND(C55&lt;&gt;"",C55&lt;1),"／開始Uが1未満","")&amp;IF(AND(E55&lt;&gt;"",E55&gt;IFERROR(VLOOKUP(A55,ラック定義!$A:$B,2,FALSE),47)),"／総Uをはみ出す","")&amp;IF(AND(A55&lt;&gt;"",COUNTIF(ラック定義!$A:$A,A55)=0),"／ラックが定義にない","")&amp;IF(AND(SUMPRODUCT((機器台帳!$A$2:$A$400=$A55)*((機器台帳!$B$2:$B$400=$B55)+(機器台帳!$B$2:$B$400="両面")+($B55="両面")&gt;0)*(機器台帳!$C$2:$C$400&lt;=$C55+$D55-1)*(機器台帳!$C$2:$C$400+機器台帳!$D$2:$D$400-1&gt;=$C55)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55&amp;"")))&gt;0)),"／同じUに他の機器(横並びなら正常)","")&amp;IF(AND(M55&lt;&gt;"",COUNTIFS(回路定義!$A:$A,A55,回路定義!$B:$B,M55)=0),"／回路1が定義にない","")&amp;IF(AND(P55&lt;&gt;"",COUNTIFS(回路定義!$A:$A,A55,回路定義!$B:$B,P55)=0),"／回路2が定義にない","")&amp;IF(AND(S55&lt;&gt;"",COUNTIFS(回路定義!$A:$A,A55,回路定義!$B:$B,S55)=0),"／回路3が定義にない",""),2,300)))</f>
        <v/>
      </c>
    </row>
    <row r="56">
      <c r="A56" s="5" t="inlineStr">
        <is>
          <t>E24-S8-3</t>
        </is>
      </c>
      <c r="B56" s="5" t="inlineStr">
        <is>
          <t>両面</t>
        </is>
      </c>
      <c r="C56" s="5" t="n">
        <v>25</v>
      </c>
      <c r="D56" s="5" t="n">
        <v>1</v>
      </c>
      <c r="E56" s="6">
        <f>IF(C56="","",C56+D56-1)</f>
        <v/>
      </c>
      <c r="F56" s="5" t="inlineStr">
        <is>
          <t>DELLEMC R630-1</t>
        </is>
      </c>
      <c r="G56" s="5" t="inlineStr">
        <is>
          <t>H1600791</t>
        </is>
      </c>
      <c r="H56" s="5" t="inlineStr"/>
      <c r="I56" s="5" t="inlineStr">
        <is>
          <t>Server</t>
        </is>
      </c>
      <c r="J56" s="5" t="n">
        <v>9.5</v>
      </c>
      <c r="K56" s="5" t="n">
        <v>100</v>
      </c>
      <c r="L56" s="5" t="n">
        <v>2</v>
      </c>
      <c r="M56" s="5" t="inlineStr">
        <is>
          <t>100V 20A （1）</t>
        </is>
      </c>
      <c r="N56" s="5" t="n">
        <v>3</v>
      </c>
      <c r="O56" s="5" t="n">
        <v>2</v>
      </c>
      <c r="P56" s="5" t="n"/>
      <c r="Q56" s="5" t="n"/>
      <c r="R56" s="5" t="n"/>
      <c r="S56" s="5" t="n"/>
      <c r="T56" s="5" t="n"/>
      <c r="U56" s="5" t="n"/>
      <c r="V56" s="5" t="inlineStr">
        <is>
          <t>○</t>
        </is>
      </c>
      <c r="W56" s="5" t="inlineStr"/>
      <c r="X56" s="5" t="inlineStr"/>
      <c r="Y56" s="6">
        <f>COUNT(N56,Q56,T56)</f>
        <v/>
      </c>
      <c r="Z56" s="6">
        <f>IF(OR(K56="",NOT(ISNUMBER(K56))),"",K56*SUM(N56,Q56,T56))</f>
        <v/>
      </c>
      <c r="AA56" s="6">
        <f>IF(OR(Y56=0,N56=""),"",N56/Y56)</f>
        <v/>
      </c>
      <c r="AB56" s="6">
        <f>IF(OR(Y56=0,Q56=""),"",Q56/Y56)</f>
        <v/>
      </c>
      <c r="AC56" s="6">
        <f>IF(OR(Y56=0,T56=""),"",T56/Y56)</f>
        <v/>
      </c>
      <c r="AD56" s="6">
        <f>IF(F56="","",IF((IF(AND(Y56=0,NOT(SUMPRODUCT(--ISNUMBER(SEARCH({"棚板","棚","アングル","ｱﾝｸﾞﾙ","使用不可","ケーブル","ｹｰﾌﾞﾙ","PatchPnael","パッチ","引き出し","引出","ブランク","ﾌﾞﾗﾝｸ","マネージ","ﾏﾈｰｼﾞ","PDU","ONU"},$F56&amp;"")))&gt;0),NOT(SUMPRODUCT(--ISNUMBER(SEARCH({"電源オフ","未投入","停止","未使用","撤去"},$X56&amp;"")))&gt;0)),"／電力が未記入","")&amp;IF(AND(NOT(ISNUMBER(J56)),NOT(SUMPRODUCT(--ISNUMBER(SEARCH({"棚板","棚","アングル","ｱﾝｸﾞﾙ","使用不可","ケーブル","ｹｰﾌﾞﾙ","PatchPnael","パッチ","引き出し","引出","ブランク","ﾌﾞﾗﾝｸ","マネージ","ﾏﾈｰｼﾞ","PDU","ONU"},$F56&amp;"")))&gt;0)),"／重量が未記入","")&amp;IF(AND(K56&lt;&gt;"",NOT(ISNUMBER(K56))),"／電圧が数値でない","")&amp;IF(AND(N56&lt;&gt;"",NOT(ISNUMBER(N56))),"／電流が数値でない","")&amp;IF(AND(C56&lt;&gt;"",C56&lt;1),"／開始Uが1未満","")&amp;IF(AND(E56&lt;&gt;"",E56&gt;IFERROR(VLOOKUP(A56,ラック定義!$A:$B,2,FALSE),47)),"／総Uをはみ出す","")&amp;IF(AND(A56&lt;&gt;"",COUNTIF(ラック定義!$A:$A,A56)=0),"／ラックが定義にない","")&amp;IF(AND(SUMPRODUCT((機器台帳!$A$2:$A$400=$A56)*((機器台帳!$B$2:$B$400=$B56)+(機器台帳!$B$2:$B$400="両面")+($B56="両面")&gt;0)*(機器台帳!$C$2:$C$400&lt;=$C56+$D56-1)*(機器台帳!$C$2:$C$400+機器台帳!$D$2:$D$400-1&gt;=$C56)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56&amp;"")))&gt;0)),"／同じUに他の機器(横並びなら正常)","")&amp;IF(AND(M56&lt;&gt;"",COUNTIFS(回路定義!$A:$A,A56,回路定義!$B:$B,M56)=0),"／回路1が定義にない","")&amp;IF(AND(P56&lt;&gt;"",COUNTIFS(回路定義!$A:$A,A56,回路定義!$B:$B,P56)=0),"／回路2が定義にない","")&amp;IF(AND(S56&lt;&gt;"",COUNTIFS(回路定義!$A:$A,A56,回路定義!$B:$B,S56)=0),"／回路3が定義にない",""))="","",MID(IF(AND(Y56=0,NOT(SUMPRODUCT(--ISNUMBER(SEARCH({"棚板","棚","アングル","ｱﾝｸﾞﾙ","使用不可","ケーブル","ｹｰﾌﾞﾙ","PatchPnael","パッチ","引き出し","引出","ブランク","ﾌﾞﾗﾝｸ","マネージ","ﾏﾈｰｼﾞ","PDU","ONU"},$F56&amp;"")))&gt;0),NOT(SUMPRODUCT(--ISNUMBER(SEARCH({"電源オフ","未投入","停止","未使用","撤去"},$X56&amp;"")))&gt;0)),"／電力が未記入","")&amp;IF(AND(NOT(ISNUMBER(J56)),NOT(SUMPRODUCT(--ISNUMBER(SEARCH({"棚板","棚","アングル","ｱﾝｸﾞﾙ","使用不可","ケーブル","ｹｰﾌﾞﾙ","PatchPnael","パッチ","引き出し","引出","ブランク","ﾌﾞﾗﾝｸ","マネージ","ﾏﾈｰｼﾞ","PDU","ONU"},$F56&amp;"")))&gt;0)),"／重量が未記入","")&amp;IF(AND(K56&lt;&gt;"",NOT(ISNUMBER(K56))),"／電圧が数値でない","")&amp;IF(AND(N56&lt;&gt;"",NOT(ISNUMBER(N56))),"／電流が数値でない","")&amp;IF(AND(C56&lt;&gt;"",C56&lt;1),"／開始Uが1未満","")&amp;IF(AND(E56&lt;&gt;"",E56&gt;IFERROR(VLOOKUP(A56,ラック定義!$A:$B,2,FALSE),47)),"／総Uをはみ出す","")&amp;IF(AND(A56&lt;&gt;"",COUNTIF(ラック定義!$A:$A,A56)=0),"／ラックが定義にない","")&amp;IF(AND(SUMPRODUCT((機器台帳!$A$2:$A$400=$A56)*((機器台帳!$B$2:$B$400=$B56)+(機器台帳!$B$2:$B$400="両面")+($B56="両面")&gt;0)*(機器台帳!$C$2:$C$400&lt;=$C56+$D56-1)*(機器台帳!$C$2:$C$400+機器台帳!$D$2:$D$400-1&gt;=$C56)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56&amp;"")))&gt;0)),"／同じUに他の機器(横並びなら正常)","")&amp;IF(AND(M56&lt;&gt;"",COUNTIFS(回路定義!$A:$A,A56,回路定義!$B:$B,M56)=0),"／回路1が定義にない","")&amp;IF(AND(P56&lt;&gt;"",COUNTIFS(回路定義!$A:$A,A56,回路定義!$B:$B,P56)=0),"／回路2が定義にない","")&amp;IF(AND(S56&lt;&gt;"",COUNTIFS(回路定義!$A:$A,A56,回路定義!$B:$B,S56)=0),"／回路3が定義にない",""),2,300)))</f>
        <v/>
      </c>
    </row>
    <row r="57">
      <c r="A57" s="5" t="inlineStr">
        <is>
          <t>E24-S8-3</t>
        </is>
      </c>
      <c r="B57" s="5" t="inlineStr">
        <is>
          <t>両面</t>
        </is>
      </c>
      <c r="C57" s="5" t="n">
        <v>24</v>
      </c>
      <c r="D57" s="5" t="n">
        <v>1</v>
      </c>
      <c r="E57" s="6">
        <f>IF(C57="","",C57+D57-1)</f>
        <v/>
      </c>
      <c r="F57" s="5" t="inlineStr">
        <is>
          <t>Lj字アングル</t>
        </is>
      </c>
      <c r="G57" s="5" t="inlineStr"/>
      <c r="H57" s="5" t="inlineStr"/>
      <c r="I57" s="5" t="inlineStr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inlineStr"/>
      <c r="W57" s="5" t="inlineStr"/>
      <c r="X57" s="5" t="inlineStr"/>
      <c r="Y57" s="6">
        <f>COUNT(N57,Q57,T57)</f>
        <v/>
      </c>
      <c r="Z57" s="6">
        <f>IF(OR(K57="",NOT(ISNUMBER(K57))),"",K57*SUM(N57,Q57,T57))</f>
        <v/>
      </c>
      <c r="AA57" s="6">
        <f>IF(OR(Y57=0,N57=""),"",N57/Y57)</f>
        <v/>
      </c>
      <c r="AB57" s="6">
        <f>IF(OR(Y57=0,Q57=""),"",Q57/Y57)</f>
        <v/>
      </c>
      <c r="AC57" s="6">
        <f>IF(OR(Y57=0,T57=""),"",T57/Y57)</f>
        <v/>
      </c>
      <c r="AD57" s="6">
        <f>IF(F57="","",IF((IF(AND(Y57=0,NOT(SUMPRODUCT(--ISNUMBER(SEARCH({"棚板","棚","アングル","ｱﾝｸﾞﾙ","使用不可","ケーブル","ｹｰﾌﾞﾙ","PatchPnael","パッチ","引き出し","引出","ブランク","ﾌﾞﾗﾝｸ","マネージ","ﾏﾈｰｼﾞ","PDU","ONU"},$F57&amp;"")))&gt;0),NOT(SUMPRODUCT(--ISNUMBER(SEARCH({"電源オフ","未投入","停止","未使用","撤去"},$X57&amp;"")))&gt;0)),"／電力が未記入","")&amp;IF(AND(NOT(ISNUMBER(J57)),NOT(SUMPRODUCT(--ISNUMBER(SEARCH({"棚板","棚","アングル","ｱﾝｸﾞﾙ","使用不可","ケーブル","ｹｰﾌﾞﾙ","PatchPnael","パッチ","引き出し","引出","ブランク","ﾌﾞﾗﾝｸ","マネージ","ﾏﾈｰｼﾞ","PDU","ONU"},$F57&amp;"")))&gt;0)),"／重量が未記入","")&amp;IF(AND(K57&lt;&gt;"",NOT(ISNUMBER(K57))),"／電圧が数値でない","")&amp;IF(AND(N57&lt;&gt;"",NOT(ISNUMBER(N57))),"／電流が数値でない","")&amp;IF(AND(C57&lt;&gt;"",C57&lt;1),"／開始Uが1未満","")&amp;IF(AND(E57&lt;&gt;"",E57&gt;IFERROR(VLOOKUP(A57,ラック定義!$A:$B,2,FALSE),47)),"／総Uをはみ出す","")&amp;IF(AND(A57&lt;&gt;"",COUNTIF(ラック定義!$A:$A,A57)=0),"／ラックが定義にない","")&amp;IF(AND(SUMPRODUCT((機器台帳!$A$2:$A$400=$A57)*((機器台帳!$B$2:$B$400=$B57)+(機器台帳!$B$2:$B$400="両面")+($B57="両面")&gt;0)*(機器台帳!$C$2:$C$400&lt;=$C57+$D57-1)*(機器台帳!$C$2:$C$400+機器台帳!$D$2:$D$400-1&gt;=$C57)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57&amp;"")))&gt;0)),"／同じUに他の機器(横並びなら正常)","")&amp;IF(AND(M57&lt;&gt;"",COUNTIFS(回路定義!$A:$A,A57,回路定義!$B:$B,M57)=0),"／回路1が定義にない","")&amp;IF(AND(P57&lt;&gt;"",COUNTIFS(回路定義!$A:$A,A57,回路定義!$B:$B,P57)=0),"／回路2が定義にない","")&amp;IF(AND(S57&lt;&gt;"",COUNTIFS(回路定義!$A:$A,A57,回路定義!$B:$B,S57)=0),"／回路3が定義にない",""))="","",MID(IF(AND(Y57=0,NOT(SUMPRODUCT(--ISNUMBER(SEARCH({"棚板","棚","アングル","ｱﾝｸﾞﾙ","使用不可","ケーブル","ｹｰﾌﾞﾙ","PatchPnael","パッチ","引き出し","引出","ブランク","ﾌﾞﾗﾝｸ","マネージ","ﾏﾈｰｼﾞ","PDU","ONU"},$F57&amp;"")))&gt;0),NOT(SUMPRODUCT(--ISNUMBER(SEARCH({"電源オフ","未投入","停止","未使用","撤去"},$X57&amp;"")))&gt;0)),"／電力が未記入","")&amp;IF(AND(NOT(ISNUMBER(J57)),NOT(SUMPRODUCT(--ISNUMBER(SEARCH({"棚板","棚","アングル","ｱﾝｸﾞﾙ","使用不可","ケーブル","ｹｰﾌﾞﾙ","PatchPnael","パッチ","引き出し","引出","ブランク","ﾌﾞﾗﾝｸ","マネージ","ﾏﾈｰｼﾞ","PDU","ONU"},$F57&amp;"")))&gt;0)),"／重量が未記入","")&amp;IF(AND(K57&lt;&gt;"",NOT(ISNUMBER(K57))),"／電圧が数値でない","")&amp;IF(AND(N57&lt;&gt;"",NOT(ISNUMBER(N57))),"／電流が数値でない","")&amp;IF(AND(C57&lt;&gt;"",C57&lt;1),"／開始Uが1未満","")&amp;IF(AND(E57&lt;&gt;"",E57&gt;IFERROR(VLOOKUP(A57,ラック定義!$A:$B,2,FALSE),47)),"／総Uをはみ出す","")&amp;IF(AND(A57&lt;&gt;"",COUNTIF(ラック定義!$A:$A,A57)=0),"／ラックが定義にない","")&amp;IF(AND(SUMPRODUCT((機器台帳!$A$2:$A$400=$A57)*((機器台帳!$B$2:$B$400=$B57)+(機器台帳!$B$2:$B$400="両面")+($B57="両面")&gt;0)*(機器台帳!$C$2:$C$400&lt;=$C57+$D57-1)*(機器台帳!$C$2:$C$400+機器台帳!$D$2:$D$400-1&gt;=$C57)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57&amp;"")))&gt;0)),"／同じUに他の機器(横並びなら正常)","")&amp;IF(AND(M57&lt;&gt;"",COUNTIFS(回路定義!$A:$A,A57,回路定義!$B:$B,M57)=0),"／回路1が定義にない","")&amp;IF(AND(P57&lt;&gt;"",COUNTIFS(回路定義!$A:$A,A57,回路定義!$B:$B,P57)=0),"／回路2が定義にない","")&amp;IF(AND(S57&lt;&gt;"",COUNTIFS(回路定義!$A:$A,A57,回路定義!$B:$B,S57)=0),"／回路3が定義にない",""),2,300)))</f>
        <v/>
      </c>
    </row>
    <row r="58">
      <c r="A58" s="5" t="inlineStr">
        <is>
          <t>E24-S8-3</t>
        </is>
      </c>
      <c r="B58" s="5" t="inlineStr">
        <is>
          <t>両面</t>
        </is>
      </c>
      <c r="C58" s="5" t="n">
        <v>23</v>
      </c>
      <c r="D58" s="5" t="n">
        <v>1</v>
      </c>
      <c r="E58" s="6">
        <f>IF(C58="","",C58+D58-1)</f>
        <v/>
      </c>
      <c r="F58" s="5" t="inlineStr">
        <is>
          <t>Dell S4148F-1</t>
        </is>
      </c>
      <c r="G58" s="5" t="inlineStr">
        <is>
          <t>H2110083</t>
        </is>
      </c>
      <c r="H58" s="5" t="inlineStr"/>
      <c r="I58" s="5" t="inlineStr"/>
      <c r="J58" s="5" t="n">
        <v>4.5</v>
      </c>
      <c r="K58" s="5" t="n">
        <v>100</v>
      </c>
      <c r="L58" s="5" t="n">
        <v>2</v>
      </c>
      <c r="M58" s="5" t="inlineStr">
        <is>
          <t>100V 20A （1）</t>
        </is>
      </c>
      <c r="N58" s="5" t="n">
        <v>0.5</v>
      </c>
      <c r="O58" s="5" t="n">
        <v>1</v>
      </c>
      <c r="P58" s="5" t="inlineStr">
        <is>
          <t>100V 20A （2）</t>
        </is>
      </c>
      <c r="Q58" s="5" t="n">
        <v>0.5</v>
      </c>
      <c r="R58" s="5" t="n">
        <v>1</v>
      </c>
      <c r="S58" s="5" t="n"/>
      <c r="T58" s="5" t="n"/>
      <c r="U58" s="5" t="n"/>
      <c r="V58" s="5" t="inlineStr">
        <is>
          <t>前留</t>
        </is>
      </c>
      <c r="W58" s="5" t="inlineStr"/>
      <c r="X58" s="5" t="inlineStr"/>
      <c r="Y58" s="6">
        <f>COUNT(N58,Q58,T58)</f>
        <v/>
      </c>
      <c r="Z58" s="6">
        <f>IF(OR(K58="",NOT(ISNUMBER(K58))),"",K58*SUM(N58,Q58,T58))</f>
        <v/>
      </c>
      <c r="AA58" s="6">
        <f>IF(OR(Y58=0,N58=""),"",N58/Y58)</f>
        <v/>
      </c>
      <c r="AB58" s="6">
        <f>IF(OR(Y58=0,Q58=""),"",Q58/Y58)</f>
        <v/>
      </c>
      <c r="AC58" s="6">
        <f>IF(OR(Y58=0,T58=""),"",T58/Y58)</f>
        <v/>
      </c>
      <c r="AD58" s="6">
        <f>IF(F58="","",IF((IF(AND(Y58=0,NOT(SUMPRODUCT(--ISNUMBER(SEARCH({"棚板","棚","アングル","ｱﾝｸﾞﾙ","使用不可","ケーブル","ｹｰﾌﾞﾙ","PatchPnael","パッチ","引き出し","引出","ブランク","ﾌﾞﾗﾝｸ","マネージ","ﾏﾈｰｼﾞ","PDU","ONU"},$F58&amp;"")))&gt;0),NOT(SUMPRODUCT(--ISNUMBER(SEARCH({"電源オフ","未投入","停止","未使用","撤去"},$X58&amp;"")))&gt;0)),"／電力が未記入","")&amp;IF(AND(NOT(ISNUMBER(J58)),NOT(SUMPRODUCT(--ISNUMBER(SEARCH({"棚板","棚","アングル","ｱﾝｸﾞﾙ","使用不可","ケーブル","ｹｰﾌﾞﾙ","PatchPnael","パッチ","引き出し","引出","ブランク","ﾌﾞﾗﾝｸ","マネージ","ﾏﾈｰｼﾞ","PDU","ONU"},$F58&amp;"")))&gt;0)),"／重量が未記入","")&amp;IF(AND(K58&lt;&gt;"",NOT(ISNUMBER(K58))),"／電圧が数値でない","")&amp;IF(AND(N58&lt;&gt;"",NOT(ISNUMBER(N58))),"／電流が数値でない","")&amp;IF(AND(C58&lt;&gt;"",C58&lt;1),"／開始Uが1未満","")&amp;IF(AND(E58&lt;&gt;"",E58&gt;IFERROR(VLOOKUP(A58,ラック定義!$A:$B,2,FALSE),47)),"／総Uをはみ出す","")&amp;IF(AND(A58&lt;&gt;"",COUNTIF(ラック定義!$A:$A,A58)=0),"／ラックが定義にない","")&amp;IF(AND(SUMPRODUCT((機器台帳!$A$2:$A$400=$A58)*((機器台帳!$B$2:$B$400=$B58)+(機器台帳!$B$2:$B$400="両面")+($B58="両面")&gt;0)*(機器台帳!$C$2:$C$400&lt;=$C58+$D58-1)*(機器台帳!$C$2:$C$400+機器台帳!$D$2:$D$400-1&gt;=$C58)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58&amp;"")))&gt;0)),"／同じUに他の機器(横並びなら正常)","")&amp;IF(AND(M58&lt;&gt;"",COUNTIFS(回路定義!$A:$A,A58,回路定義!$B:$B,M58)=0),"／回路1が定義にない","")&amp;IF(AND(P58&lt;&gt;"",COUNTIFS(回路定義!$A:$A,A58,回路定義!$B:$B,P58)=0),"／回路2が定義にない","")&amp;IF(AND(S58&lt;&gt;"",COUNTIFS(回路定義!$A:$A,A58,回路定義!$B:$B,S58)=0),"／回路3が定義にない",""))="","",MID(IF(AND(Y58=0,NOT(SUMPRODUCT(--ISNUMBER(SEARCH({"棚板","棚","アングル","ｱﾝｸﾞﾙ","使用不可","ケーブル","ｹｰﾌﾞﾙ","PatchPnael","パッチ","引き出し","引出","ブランク","ﾌﾞﾗﾝｸ","マネージ","ﾏﾈｰｼﾞ","PDU","ONU"},$F58&amp;"")))&gt;0),NOT(SUMPRODUCT(--ISNUMBER(SEARCH({"電源オフ","未投入","停止","未使用","撤去"},$X58&amp;"")))&gt;0)),"／電力が未記入","")&amp;IF(AND(NOT(ISNUMBER(J58)),NOT(SUMPRODUCT(--ISNUMBER(SEARCH({"棚板","棚","アングル","ｱﾝｸﾞﾙ","使用不可","ケーブル","ｹｰﾌﾞﾙ","PatchPnael","パッチ","引き出し","引出","ブランク","ﾌﾞﾗﾝｸ","マネージ","ﾏﾈｰｼﾞ","PDU","ONU"},$F58&amp;"")))&gt;0)),"／重量が未記入","")&amp;IF(AND(K58&lt;&gt;"",NOT(ISNUMBER(K58))),"／電圧が数値でない","")&amp;IF(AND(N58&lt;&gt;"",NOT(ISNUMBER(N58))),"／電流が数値でない","")&amp;IF(AND(C58&lt;&gt;"",C58&lt;1),"／開始Uが1未満","")&amp;IF(AND(E58&lt;&gt;"",E58&gt;IFERROR(VLOOKUP(A58,ラック定義!$A:$B,2,FALSE),47)),"／総Uをはみ出す","")&amp;IF(AND(A58&lt;&gt;"",COUNTIF(ラック定義!$A:$A,A58)=0),"／ラックが定義にない","")&amp;IF(AND(SUMPRODUCT((機器台帳!$A$2:$A$400=$A58)*((機器台帳!$B$2:$B$400=$B58)+(機器台帳!$B$2:$B$400="両面")+($B58="両面")&gt;0)*(機器台帳!$C$2:$C$400&lt;=$C58+$D58-1)*(機器台帳!$C$2:$C$400+機器台帳!$D$2:$D$400-1&gt;=$C58)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58&amp;"")))&gt;0)),"／同じUに他の機器(横並びなら正常)","")&amp;IF(AND(M58&lt;&gt;"",COUNTIFS(回路定義!$A:$A,A58,回路定義!$B:$B,M58)=0),"／回路1が定義にない","")&amp;IF(AND(P58&lt;&gt;"",COUNTIFS(回路定義!$A:$A,A58,回路定義!$B:$B,P58)=0),"／回路2が定義にない","")&amp;IF(AND(S58&lt;&gt;"",COUNTIFS(回路定義!$A:$A,A58,回路定義!$B:$B,S58)=0),"／回路3が定義にない",""),2,300)))</f>
        <v/>
      </c>
    </row>
    <row r="59">
      <c r="A59" s="5" t="inlineStr">
        <is>
          <t>E24-S8-3</t>
        </is>
      </c>
      <c r="B59" s="5" t="inlineStr">
        <is>
          <t>両面</t>
        </is>
      </c>
      <c r="C59" s="5" t="n">
        <v>22</v>
      </c>
      <c r="D59" s="5" t="n">
        <v>1</v>
      </c>
      <c r="E59" s="6">
        <f>IF(C59="","",C59+D59-1)</f>
        <v/>
      </c>
      <c r="F59" s="5" t="inlineStr">
        <is>
          <t>Dell S4148F-2</t>
        </is>
      </c>
      <c r="G59" s="5" t="inlineStr">
        <is>
          <t>H2110082</t>
        </is>
      </c>
      <c r="H59" s="5" t="inlineStr"/>
      <c r="I59" s="5" t="inlineStr"/>
      <c r="J59" s="5" t="n">
        <v>4.5</v>
      </c>
      <c r="K59" s="5" t="n">
        <v>100</v>
      </c>
      <c r="L59" s="5" t="n">
        <v>2</v>
      </c>
      <c r="M59" s="5" t="inlineStr">
        <is>
          <t>100V 20A （1）</t>
        </is>
      </c>
      <c r="N59" s="5" t="n">
        <v>0.5</v>
      </c>
      <c r="O59" s="5" t="n">
        <v>1</v>
      </c>
      <c r="P59" s="5" t="inlineStr">
        <is>
          <t>100V 20A （2）</t>
        </is>
      </c>
      <c r="Q59" s="5" t="n">
        <v>0.5</v>
      </c>
      <c r="R59" s="5" t="n">
        <v>1</v>
      </c>
      <c r="S59" s="5" t="n"/>
      <c r="T59" s="5" t="n"/>
      <c r="U59" s="5" t="n"/>
      <c r="V59" s="5" t="inlineStr">
        <is>
          <t>前留</t>
        </is>
      </c>
      <c r="W59" s="5" t="inlineStr"/>
      <c r="X59" s="5" t="inlineStr"/>
      <c r="Y59" s="6">
        <f>COUNT(N59,Q59,T59)</f>
        <v/>
      </c>
      <c r="Z59" s="6">
        <f>IF(OR(K59="",NOT(ISNUMBER(K59))),"",K59*SUM(N59,Q59,T59))</f>
        <v/>
      </c>
      <c r="AA59" s="6">
        <f>IF(OR(Y59=0,N59=""),"",N59/Y59)</f>
        <v/>
      </c>
      <c r="AB59" s="6">
        <f>IF(OR(Y59=0,Q59=""),"",Q59/Y59)</f>
        <v/>
      </c>
      <c r="AC59" s="6">
        <f>IF(OR(Y59=0,T59=""),"",T59/Y59)</f>
        <v/>
      </c>
      <c r="AD59" s="6">
        <f>IF(F59="","",IF((IF(AND(Y59=0,NOT(SUMPRODUCT(--ISNUMBER(SEARCH({"棚板","棚","アングル","ｱﾝｸﾞﾙ","使用不可","ケーブル","ｹｰﾌﾞﾙ","PatchPnael","パッチ","引き出し","引出","ブランク","ﾌﾞﾗﾝｸ","マネージ","ﾏﾈｰｼﾞ","PDU","ONU"},$F59&amp;"")))&gt;0),NOT(SUMPRODUCT(--ISNUMBER(SEARCH({"電源オフ","未投入","停止","未使用","撤去"},$X59&amp;"")))&gt;0)),"／電力が未記入","")&amp;IF(AND(NOT(ISNUMBER(J59)),NOT(SUMPRODUCT(--ISNUMBER(SEARCH({"棚板","棚","アングル","ｱﾝｸﾞﾙ","使用不可","ケーブル","ｹｰﾌﾞﾙ","PatchPnael","パッチ","引き出し","引出","ブランク","ﾌﾞﾗﾝｸ","マネージ","ﾏﾈｰｼﾞ","PDU","ONU"},$F59&amp;"")))&gt;0)),"／重量が未記入","")&amp;IF(AND(K59&lt;&gt;"",NOT(ISNUMBER(K59))),"／電圧が数値でない","")&amp;IF(AND(N59&lt;&gt;"",NOT(ISNUMBER(N59))),"／電流が数値でない","")&amp;IF(AND(C59&lt;&gt;"",C59&lt;1),"／開始Uが1未満","")&amp;IF(AND(E59&lt;&gt;"",E59&gt;IFERROR(VLOOKUP(A59,ラック定義!$A:$B,2,FALSE),47)),"／総Uをはみ出す","")&amp;IF(AND(A59&lt;&gt;"",COUNTIF(ラック定義!$A:$A,A59)=0),"／ラックが定義にない","")&amp;IF(AND(SUMPRODUCT((機器台帳!$A$2:$A$400=$A59)*((機器台帳!$B$2:$B$400=$B59)+(機器台帳!$B$2:$B$400="両面")+($B59="両面")&gt;0)*(機器台帳!$C$2:$C$400&lt;=$C59+$D59-1)*(機器台帳!$C$2:$C$400+機器台帳!$D$2:$D$400-1&gt;=$C59)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59&amp;"")))&gt;0)),"／同じUに他の機器(横並びなら正常)","")&amp;IF(AND(M59&lt;&gt;"",COUNTIFS(回路定義!$A:$A,A59,回路定義!$B:$B,M59)=0),"／回路1が定義にない","")&amp;IF(AND(P59&lt;&gt;"",COUNTIFS(回路定義!$A:$A,A59,回路定義!$B:$B,P59)=0),"／回路2が定義にない","")&amp;IF(AND(S59&lt;&gt;"",COUNTIFS(回路定義!$A:$A,A59,回路定義!$B:$B,S59)=0),"／回路3が定義にない",""))="","",MID(IF(AND(Y59=0,NOT(SUMPRODUCT(--ISNUMBER(SEARCH({"棚板","棚","アングル","ｱﾝｸﾞﾙ","使用不可","ケーブル","ｹｰﾌﾞﾙ","PatchPnael","パッチ","引き出し","引出","ブランク","ﾌﾞﾗﾝｸ","マネージ","ﾏﾈｰｼﾞ","PDU","ONU"},$F59&amp;"")))&gt;0),NOT(SUMPRODUCT(--ISNUMBER(SEARCH({"電源オフ","未投入","停止","未使用","撤去"},$X59&amp;"")))&gt;0)),"／電力が未記入","")&amp;IF(AND(NOT(ISNUMBER(J59)),NOT(SUMPRODUCT(--ISNUMBER(SEARCH({"棚板","棚","アングル","ｱﾝｸﾞﾙ","使用不可","ケーブル","ｹｰﾌﾞﾙ","PatchPnael","パッチ","引き出し","引出","ブランク","ﾌﾞﾗﾝｸ","マネージ","ﾏﾈｰｼﾞ","PDU","ONU"},$F59&amp;"")))&gt;0)),"／重量が未記入","")&amp;IF(AND(K59&lt;&gt;"",NOT(ISNUMBER(K59))),"／電圧が数値でない","")&amp;IF(AND(N59&lt;&gt;"",NOT(ISNUMBER(N59))),"／電流が数値でない","")&amp;IF(AND(C59&lt;&gt;"",C59&lt;1),"／開始Uが1未満","")&amp;IF(AND(E59&lt;&gt;"",E59&gt;IFERROR(VLOOKUP(A59,ラック定義!$A:$B,2,FALSE),47)),"／総Uをはみ出す","")&amp;IF(AND(A59&lt;&gt;"",COUNTIF(ラック定義!$A:$A,A59)=0),"／ラックが定義にない","")&amp;IF(AND(SUMPRODUCT((機器台帳!$A$2:$A$400=$A59)*((機器台帳!$B$2:$B$400=$B59)+(機器台帳!$B$2:$B$400="両面")+($B59="両面")&gt;0)*(機器台帳!$C$2:$C$400&lt;=$C59+$D59-1)*(機器台帳!$C$2:$C$400+機器台帳!$D$2:$D$400-1&gt;=$C59)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59&amp;"")))&gt;0)),"／同じUに他の機器(横並びなら正常)","")&amp;IF(AND(M59&lt;&gt;"",COUNTIFS(回路定義!$A:$A,A59,回路定義!$B:$B,M59)=0),"／回路1が定義にない","")&amp;IF(AND(P59&lt;&gt;"",COUNTIFS(回路定義!$A:$A,A59,回路定義!$B:$B,P59)=0),"／回路2が定義にない","")&amp;IF(AND(S59&lt;&gt;"",COUNTIFS(回路定義!$A:$A,A59,回路定義!$B:$B,S59)=0),"／回路3が定義にない",""),2,300)))</f>
        <v/>
      </c>
    </row>
    <row r="60">
      <c r="A60" s="5" t="inlineStr">
        <is>
          <t>E24-S8-3</t>
        </is>
      </c>
      <c r="B60" s="5" t="inlineStr">
        <is>
          <t>両面</t>
        </is>
      </c>
      <c r="C60" s="5" t="n">
        <v>20</v>
      </c>
      <c r="D60" s="5" t="n">
        <v>1</v>
      </c>
      <c r="E60" s="6">
        <f>IF(C60="","",C60+D60-1)</f>
        <v/>
      </c>
      <c r="F60" s="5" t="inlineStr">
        <is>
          <t>DELLEMC R640-1</t>
        </is>
      </c>
      <c r="G60" s="5" t="inlineStr">
        <is>
          <t>H1714830</t>
        </is>
      </c>
      <c r="H60" s="5" t="inlineStr"/>
      <c r="I60" s="5" t="inlineStr">
        <is>
          <t>Server</t>
        </is>
      </c>
      <c r="J60" s="5" t="n">
        <v>9.5</v>
      </c>
      <c r="K60" s="5" t="n">
        <v>100</v>
      </c>
      <c r="L60" s="5" t="n">
        <v>2</v>
      </c>
      <c r="M60" s="5" t="inlineStr">
        <is>
          <t>100V 20A （1）</t>
        </is>
      </c>
      <c r="N60" s="5" t="n">
        <v>3</v>
      </c>
      <c r="O60" s="5" t="n">
        <v>2</v>
      </c>
      <c r="P60" s="5" t="n"/>
      <c r="Q60" s="5" t="n"/>
      <c r="R60" s="5" t="n"/>
      <c r="S60" s="5" t="n"/>
      <c r="T60" s="5" t="n"/>
      <c r="U60" s="5" t="n"/>
      <c r="V60" s="5" t="inlineStr">
        <is>
          <t>○</t>
        </is>
      </c>
      <c r="W60" s="5" t="inlineStr"/>
      <c r="X60" s="5" t="inlineStr"/>
      <c r="Y60" s="6">
        <f>COUNT(N60,Q60,T60)</f>
        <v/>
      </c>
      <c r="Z60" s="6">
        <f>IF(OR(K60="",NOT(ISNUMBER(K60))),"",K60*SUM(N60,Q60,T60))</f>
        <v/>
      </c>
      <c r="AA60" s="6">
        <f>IF(OR(Y60=0,N60=""),"",N60/Y60)</f>
        <v/>
      </c>
      <c r="AB60" s="6">
        <f>IF(OR(Y60=0,Q60=""),"",Q60/Y60)</f>
        <v/>
      </c>
      <c r="AC60" s="6">
        <f>IF(OR(Y60=0,T60=""),"",T60/Y60)</f>
        <v/>
      </c>
      <c r="AD60" s="6">
        <f>IF(F60="","",IF((IF(AND(Y60=0,NOT(SUMPRODUCT(--ISNUMBER(SEARCH({"棚板","棚","アングル","ｱﾝｸﾞﾙ","使用不可","ケーブル","ｹｰﾌﾞﾙ","PatchPnael","パッチ","引き出し","引出","ブランク","ﾌﾞﾗﾝｸ","マネージ","ﾏﾈｰｼﾞ","PDU","ONU"},$F60&amp;"")))&gt;0),NOT(SUMPRODUCT(--ISNUMBER(SEARCH({"電源オフ","未投入","停止","未使用","撤去"},$X60&amp;"")))&gt;0)),"／電力が未記入","")&amp;IF(AND(NOT(ISNUMBER(J60)),NOT(SUMPRODUCT(--ISNUMBER(SEARCH({"棚板","棚","アングル","ｱﾝｸﾞﾙ","使用不可","ケーブル","ｹｰﾌﾞﾙ","PatchPnael","パッチ","引き出し","引出","ブランク","ﾌﾞﾗﾝｸ","マネージ","ﾏﾈｰｼﾞ","PDU","ONU"},$F60&amp;"")))&gt;0)),"／重量が未記入","")&amp;IF(AND(K60&lt;&gt;"",NOT(ISNUMBER(K60))),"／電圧が数値でない","")&amp;IF(AND(N60&lt;&gt;"",NOT(ISNUMBER(N60))),"／電流が数値でない","")&amp;IF(AND(C60&lt;&gt;"",C60&lt;1),"／開始Uが1未満","")&amp;IF(AND(E60&lt;&gt;"",E60&gt;IFERROR(VLOOKUP(A60,ラック定義!$A:$B,2,FALSE),47)),"／総Uをはみ出す","")&amp;IF(AND(A60&lt;&gt;"",COUNTIF(ラック定義!$A:$A,A60)=0),"／ラックが定義にない","")&amp;IF(AND(SUMPRODUCT((機器台帳!$A$2:$A$400=$A60)*((機器台帳!$B$2:$B$400=$B60)+(機器台帳!$B$2:$B$400="両面")+($B60="両面")&gt;0)*(機器台帳!$C$2:$C$400&lt;=$C60+$D60-1)*(機器台帳!$C$2:$C$400+機器台帳!$D$2:$D$400-1&gt;=$C60)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60&amp;"")))&gt;0)),"／同じUに他の機器(横並びなら正常)","")&amp;IF(AND(M60&lt;&gt;"",COUNTIFS(回路定義!$A:$A,A60,回路定義!$B:$B,M60)=0),"／回路1が定義にない","")&amp;IF(AND(P60&lt;&gt;"",COUNTIFS(回路定義!$A:$A,A60,回路定義!$B:$B,P60)=0),"／回路2が定義にない","")&amp;IF(AND(S60&lt;&gt;"",COUNTIFS(回路定義!$A:$A,A60,回路定義!$B:$B,S60)=0),"／回路3が定義にない",""))="","",MID(IF(AND(Y60=0,NOT(SUMPRODUCT(--ISNUMBER(SEARCH({"棚板","棚","アングル","ｱﾝｸﾞﾙ","使用不可","ケーブル","ｹｰﾌﾞﾙ","PatchPnael","パッチ","引き出し","引出","ブランク","ﾌﾞﾗﾝｸ","マネージ","ﾏﾈｰｼﾞ","PDU","ONU"},$F60&amp;"")))&gt;0),NOT(SUMPRODUCT(--ISNUMBER(SEARCH({"電源オフ","未投入","停止","未使用","撤去"},$X60&amp;"")))&gt;0)),"／電力が未記入","")&amp;IF(AND(NOT(ISNUMBER(J60)),NOT(SUMPRODUCT(--ISNUMBER(SEARCH({"棚板","棚","アングル","ｱﾝｸﾞﾙ","使用不可","ケーブル","ｹｰﾌﾞﾙ","PatchPnael","パッチ","引き出し","引出","ブランク","ﾌﾞﾗﾝｸ","マネージ","ﾏﾈｰｼﾞ","PDU","ONU"},$F60&amp;"")))&gt;0)),"／重量が未記入","")&amp;IF(AND(K60&lt;&gt;"",NOT(ISNUMBER(K60))),"／電圧が数値でない","")&amp;IF(AND(N60&lt;&gt;"",NOT(ISNUMBER(N60))),"／電流が数値でない","")&amp;IF(AND(C60&lt;&gt;"",C60&lt;1),"／開始Uが1未満","")&amp;IF(AND(E60&lt;&gt;"",E60&gt;IFERROR(VLOOKUP(A60,ラック定義!$A:$B,2,FALSE),47)),"／総Uをはみ出す","")&amp;IF(AND(A60&lt;&gt;"",COUNTIF(ラック定義!$A:$A,A60)=0),"／ラックが定義にない","")&amp;IF(AND(SUMPRODUCT((機器台帳!$A$2:$A$400=$A60)*((機器台帳!$B$2:$B$400=$B60)+(機器台帳!$B$2:$B$400="両面")+($B60="両面")&gt;0)*(機器台帳!$C$2:$C$400&lt;=$C60+$D60-1)*(機器台帳!$C$2:$C$400+機器台帳!$D$2:$D$400-1&gt;=$C60)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60&amp;"")))&gt;0)),"／同じUに他の機器(横並びなら正常)","")&amp;IF(AND(M60&lt;&gt;"",COUNTIFS(回路定義!$A:$A,A60,回路定義!$B:$B,M60)=0),"／回路1が定義にない","")&amp;IF(AND(P60&lt;&gt;"",COUNTIFS(回路定義!$A:$A,A60,回路定義!$B:$B,P60)=0),"／回路2が定義にない","")&amp;IF(AND(S60&lt;&gt;"",COUNTIFS(回路定義!$A:$A,A60,回路定義!$B:$B,S60)=0),"／回路3が定義にない",""),2,300)))</f>
        <v/>
      </c>
    </row>
    <row r="61">
      <c r="A61" s="5" t="inlineStr">
        <is>
          <t>E24-S8-3</t>
        </is>
      </c>
      <c r="B61" s="5" t="inlineStr">
        <is>
          <t>両面</t>
        </is>
      </c>
      <c r="C61" s="5" t="n">
        <v>18</v>
      </c>
      <c r="D61" s="5" t="n">
        <v>1</v>
      </c>
      <c r="E61" s="6">
        <f>IF(C61="","",C61+D61-1)</f>
        <v/>
      </c>
      <c r="F61" s="5" t="inlineStr">
        <is>
          <t>DELLEMC R640-3</t>
        </is>
      </c>
      <c r="G61" s="5" t="inlineStr">
        <is>
          <t>H1709323</t>
        </is>
      </c>
      <c r="H61" s="5" t="inlineStr"/>
      <c r="I61" s="5" t="inlineStr">
        <is>
          <t>Server</t>
        </is>
      </c>
      <c r="J61" s="5" t="n">
        <v>9.5</v>
      </c>
      <c r="K61" s="5" t="n">
        <v>100</v>
      </c>
      <c r="L61" s="5" t="n">
        <v>2</v>
      </c>
      <c r="M61" s="5" t="inlineStr">
        <is>
          <t>100V 20A （1）</t>
        </is>
      </c>
      <c r="N61" s="5" t="n">
        <v>3</v>
      </c>
      <c r="O61" s="5" t="n">
        <v>2</v>
      </c>
      <c r="P61" s="5" t="n"/>
      <c r="Q61" s="5" t="n"/>
      <c r="R61" s="5" t="n"/>
      <c r="S61" s="5" t="n"/>
      <c r="T61" s="5" t="n"/>
      <c r="U61" s="5" t="n"/>
      <c r="V61" s="5" t="inlineStr">
        <is>
          <t>○</t>
        </is>
      </c>
      <c r="W61" s="5" t="inlineStr"/>
      <c r="X61" s="5" t="inlineStr"/>
      <c r="Y61" s="6">
        <f>COUNT(N61,Q61,T61)</f>
        <v/>
      </c>
      <c r="Z61" s="6">
        <f>IF(OR(K61="",NOT(ISNUMBER(K61))),"",K61*SUM(N61,Q61,T61))</f>
        <v/>
      </c>
      <c r="AA61" s="6">
        <f>IF(OR(Y61=0,N61=""),"",N61/Y61)</f>
        <v/>
      </c>
      <c r="AB61" s="6">
        <f>IF(OR(Y61=0,Q61=""),"",Q61/Y61)</f>
        <v/>
      </c>
      <c r="AC61" s="6">
        <f>IF(OR(Y61=0,T61=""),"",T61/Y61)</f>
        <v/>
      </c>
      <c r="AD61" s="6">
        <f>IF(F61="","",IF((IF(AND(Y61=0,NOT(SUMPRODUCT(--ISNUMBER(SEARCH({"棚板","棚","アングル","ｱﾝｸﾞﾙ","使用不可","ケーブル","ｹｰﾌﾞﾙ","PatchPnael","パッチ","引き出し","引出","ブランク","ﾌﾞﾗﾝｸ","マネージ","ﾏﾈｰｼﾞ","PDU","ONU"},$F61&amp;"")))&gt;0),NOT(SUMPRODUCT(--ISNUMBER(SEARCH({"電源オフ","未投入","停止","未使用","撤去"},$X61&amp;"")))&gt;0)),"／電力が未記入","")&amp;IF(AND(NOT(ISNUMBER(J61)),NOT(SUMPRODUCT(--ISNUMBER(SEARCH({"棚板","棚","アングル","ｱﾝｸﾞﾙ","使用不可","ケーブル","ｹｰﾌﾞﾙ","PatchPnael","パッチ","引き出し","引出","ブランク","ﾌﾞﾗﾝｸ","マネージ","ﾏﾈｰｼﾞ","PDU","ONU"},$F61&amp;"")))&gt;0)),"／重量が未記入","")&amp;IF(AND(K61&lt;&gt;"",NOT(ISNUMBER(K61))),"／電圧が数値でない","")&amp;IF(AND(N61&lt;&gt;"",NOT(ISNUMBER(N61))),"／電流が数値でない","")&amp;IF(AND(C61&lt;&gt;"",C61&lt;1),"／開始Uが1未満","")&amp;IF(AND(E61&lt;&gt;"",E61&gt;IFERROR(VLOOKUP(A61,ラック定義!$A:$B,2,FALSE),47)),"／総Uをはみ出す","")&amp;IF(AND(A61&lt;&gt;"",COUNTIF(ラック定義!$A:$A,A61)=0),"／ラックが定義にない","")&amp;IF(AND(SUMPRODUCT((機器台帳!$A$2:$A$400=$A61)*((機器台帳!$B$2:$B$400=$B61)+(機器台帳!$B$2:$B$400="両面")+($B61="両面")&gt;0)*(機器台帳!$C$2:$C$400&lt;=$C61+$D61-1)*(機器台帳!$C$2:$C$400+機器台帳!$D$2:$D$400-1&gt;=$C61)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61&amp;"")))&gt;0)),"／同じUに他の機器(横並びなら正常)","")&amp;IF(AND(M61&lt;&gt;"",COUNTIFS(回路定義!$A:$A,A61,回路定義!$B:$B,M61)=0),"／回路1が定義にない","")&amp;IF(AND(P61&lt;&gt;"",COUNTIFS(回路定義!$A:$A,A61,回路定義!$B:$B,P61)=0),"／回路2が定義にない","")&amp;IF(AND(S61&lt;&gt;"",COUNTIFS(回路定義!$A:$A,A61,回路定義!$B:$B,S61)=0),"／回路3が定義にない",""))="","",MID(IF(AND(Y61=0,NOT(SUMPRODUCT(--ISNUMBER(SEARCH({"棚板","棚","アングル","ｱﾝｸﾞﾙ","使用不可","ケーブル","ｹｰﾌﾞﾙ","PatchPnael","パッチ","引き出し","引出","ブランク","ﾌﾞﾗﾝｸ","マネージ","ﾏﾈｰｼﾞ","PDU","ONU"},$F61&amp;"")))&gt;0),NOT(SUMPRODUCT(--ISNUMBER(SEARCH({"電源オフ","未投入","停止","未使用","撤去"},$X61&amp;"")))&gt;0)),"／電力が未記入","")&amp;IF(AND(NOT(ISNUMBER(J61)),NOT(SUMPRODUCT(--ISNUMBER(SEARCH({"棚板","棚","アングル","ｱﾝｸﾞﾙ","使用不可","ケーブル","ｹｰﾌﾞﾙ","PatchPnael","パッチ","引き出し","引出","ブランク","ﾌﾞﾗﾝｸ","マネージ","ﾏﾈｰｼﾞ","PDU","ONU"},$F61&amp;"")))&gt;0)),"／重量が未記入","")&amp;IF(AND(K61&lt;&gt;"",NOT(ISNUMBER(K61))),"／電圧が数値でない","")&amp;IF(AND(N61&lt;&gt;"",NOT(ISNUMBER(N61))),"／電流が数値でない","")&amp;IF(AND(C61&lt;&gt;"",C61&lt;1),"／開始Uが1未満","")&amp;IF(AND(E61&lt;&gt;"",E61&gt;IFERROR(VLOOKUP(A61,ラック定義!$A:$B,2,FALSE),47)),"／総Uをはみ出す","")&amp;IF(AND(A61&lt;&gt;"",COUNTIF(ラック定義!$A:$A,A61)=0),"／ラックが定義にない","")&amp;IF(AND(SUMPRODUCT((機器台帳!$A$2:$A$400=$A61)*((機器台帳!$B$2:$B$400=$B61)+(機器台帳!$B$2:$B$400="両面")+($B61="両面")&gt;0)*(機器台帳!$C$2:$C$400&lt;=$C61+$D61-1)*(機器台帳!$C$2:$C$400+機器台帳!$D$2:$D$400-1&gt;=$C61)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61&amp;"")))&gt;0)),"／同じUに他の機器(横並びなら正常)","")&amp;IF(AND(M61&lt;&gt;"",COUNTIFS(回路定義!$A:$A,A61,回路定義!$B:$B,M61)=0),"／回路1が定義にない","")&amp;IF(AND(P61&lt;&gt;"",COUNTIFS(回路定義!$A:$A,A61,回路定義!$B:$B,P61)=0),"／回路2が定義にない","")&amp;IF(AND(S61&lt;&gt;"",COUNTIFS(回路定義!$A:$A,A61,回路定義!$B:$B,S61)=0),"／回路3が定義にない",""),2,300)))</f>
        <v/>
      </c>
    </row>
    <row r="62">
      <c r="A62" s="5" t="inlineStr">
        <is>
          <t>E24-S8-3</t>
        </is>
      </c>
      <c r="B62" s="5" t="inlineStr">
        <is>
          <t>両面</t>
        </is>
      </c>
      <c r="C62" s="5" t="n">
        <v>17</v>
      </c>
      <c r="D62" s="5" t="n">
        <v>1</v>
      </c>
      <c r="E62" s="6">
        <f>IF(C62="","",C62+D62-1)</f>
        <v/>
      </c>
      <c r="F62" s="5" t="inlineStr">
        <is>
          <t>DELLEMC R640-4 S/N:768JCM2</t>
        </is>
      </c>
      <c r="G62" s="5" t="inlineStr">
        <is>
          <t>H1714609</t>
        </is>
      </c>
      <c r="H62" s="5" t="inlineStr"/>
      <c r="I62" s="5" t="inlineStr">
        <is>
          <t>Server</t>
        </is>
      </c>
      <c r="J62" s="5" t="n">
        <v>9.5</v>
      </c>
      <c r="K62" s="5" t="n">
        <v>100</v>
      </c>
      <c r="L62" s="5" t="n">
        <v>2</v>
      </c>
      <c r="M62" s="5" t="inlineStr">
        <is>
          <t>100V 20A （2）</t>
        </is>
      </c>
      <c r="N62" s="5" t="n">
        <v>3</v>
      </c>
      <c r="O62" s="5" t="n">
        <v>2</v>
      </c>
      <c r="P62" s="5" t="n"/>
      <c r="Q62" s="5" t="n"/>
      <c r="R62" s="5" t="n"/>
      <c r="S62" s="5" t="n"/>
      <c r="T62" s="5" t="n"/>
      <c r="U62" s="5" t="n"/>
      <c r="V62" s="5" t="inlineStr">
        <is>
          <t>○</t>
        </is>
      </c>
      <c r="W62" s="5" t="inlineStr"/>
      <c r="X62" s="5" t="inlineStr"/>
      <c r="Y62" s="6">
        <f>COUNT(N62,Q62,T62)</f>
        <v/>
      </c>
      <c r="Z62" s="6">
        <f>IF(OR(K62="",NOT(ISNUMBER(K62))),"",K62*SUM(N62,Q62,T62))</f>
        <v/>
      </c>
      <c r="AA62" s="6">
        <f>IF(OR(Y62=0,N62=""),"",N62/Y62)</f>
        <v/>
      </c>
      <c r="AB62" s="6">
        <f>IF(OR(Y62=0,Q62=""),"",Q62/Y62)</f>
        <v/>
      </c>
      <c r="AC62" s="6">
        <f>IF(OR(Y62=0,T62=""),"",T62/Y62)</f>
        <v/>
      </c>
      <c r="AD62" s="6">
        <f>IF(F62="","",IF((IF(AND(Y62=0,NOT(SUMPRODUCT(--ISNUMBER(SEARCH({"棚板","棚","アングル","ｱﾝｸﾞﾙ","使用不可","ケーブル","ｹｰﾌﾞﾙ","PatchPnael","パッチ","引き出し","引出","ブランク","ﾌﾞﾗﾝｸ","マネージ","ﾏﾈｰｼﾞ","PDU","ONU"},$F62&amp;"")))&gt;0),NOT(SUMPRODUCT(--ISNUMBER(SEARCH({"電源オフ","未投入","停止","未使用","撤去"},$X62&amp;"")))&gt;0)),"／電力が未記入","")&amp;IF(AND(NOT(ISNUMBER(J62)),NOT(SUMPRODUCT(--ISNUMBER(SEARCH({"棚板","棚","アングル","ｱﾝｸﾞﾙ","使用不可","ケーブル","ｹｰﾌﾞﾙ","PatchPnael","パッチ","引き出し","引出","ブランク","ﾌﾞﾗﾝｸ","マネージ","ﾏﾈｰｼﾞ","PDU","ONU"},$F62&amp;"")))&gt;0)),"／重量が未記入","")&amp;IF(AND(K62&lt;&gt;"",NOT(ISNUMBER(K62))),"／電圧が数値でない","")&amp;IF(AND(N62&lt;&gt;"",NOT(ISNUMBER(N62))),"／電流が数値でない","")&amp;IF(AND(C62&lt;&gt;"",C62&lt;1),"／開始Uが1未満","")&amp;IF(AND(E62&lt;&gt;"",E62&gt;IFERROR(VLOOKUP(A62,ラック定義!$A:$B,2,FALSE),47)),"／総Uをはみ出す","")&amp;IF(AND(A62&lt;&gt;"",COUNTIF(ラック定義!$A:$A,A62)=0),"／ラックが定義にない","")&amp;IF(AND(SUMPRODUCT((機器台帳!$A$2:$A$400=$A62)*((機器台帳!$B$2:$B$400=$B62)+(機器台帳!$B$2:$B$400="両面")+($B62="両面")&gt;0)*(機器台帳!$C$2:$C$400&lt;=$C62+$D62-1)*(機器台帳!$C$2:$C$400+機器台帳!$D$2:$D$400-1&gt;=$C62)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62&amp;"")))&gt;0)),"／同じUに他の機器(横並びなら正常)","")&amp;IF(AND(M62&lt;&gt;"",COUNTIFS(回路定義!$A:$A,A62,回路定義!$B:$B,M62)=0),"／回路1が定義にない","")&amp;IF(AND(P62&lt;&gt;"",COUNTIFS(回路定義!$A:$A,A62,回路定義!$B:$B,P62)=0),"／回路2が定義にない","")&amp;IF(AND(S62&lt;&gt;"",COUNTIFS(回路定義!$A:$A,A62,回路定義!$B:$B,S62)=0),"／回路3が定義にない",""))="","",MID(IF(AND(Y62=0,NOT(SUMPRODUCT(--ISNUMBER(SEARCH({"棚板","棚","アングル","ｱﾝｸﾞﾙ","使用不可","ケーブル","ｹｰﾌﾞﾙ","PatchPnael","パッチ","引き出し","引出","ブランク","ﾌﾞﾗﾝｸ","マネージ","ﾏﾈｰｼﾞ","PDU","ONU"},$F62&amp;"")))&gt;0),NOT(SUMPRODUCT(--ISNUMBER(SEARCH({"電源オフ","未投入","停止","未使用","撤去"},$X62&amp;"")))&gt;0)),"／電力が未記入","")&amp;IF(AND(NOT(ISNUMBER(J62)),NOT(SUMPRODUCT(--ISNUMBER(SEARCH({"棚板","棚","アングル","ｱﾝｸﾞﾙ","使用不可","ケーブル","ｹｰﾌﾞﾙ","PatchPnael","パッチ","引き出し","引出","ブランク","ﾌﾞﾗﾝｸ","マネージ","ﾏﾈｰｼﾞ","PDU","ONU"},$F62&amp;"")))&gt;0)),"／重量が未記入","")&amp;IF(AND(K62&lt;&gt;"",NOT(ISNUMBER(K62))),"／電圧が数値でない","")&amp;IF(AND(N62&lt;&gt;"",NOT(ISNUMBER(N62))),"／電流が数値でない","")&amp;IF(AND(C62&lt;&gt;"",C62&lt;1),"／開始Uが1未満","")&amp;IF(AND(E62&lt;&gt;"",E62&gt;IFERROR(VLOOKUP(A62,ラック定義!$A:$B,2,FALSE),47)),"／総Uをはみ出す","")&amp;IF(AND(A62&lt;&gt;"",COUNTIF(ラック定義!$A:$A,A62)=0),"／ラックが定義にない","")&amp;IF(AND(SUMPRODUCT((機器台帳!$A$2:$A$400=$A62)*((機器台帳!$B$2:$B$400=$B62)+(機器台帳!$B$2:$B$400="両面")+($B62="両面")&gt;0)*(機器台帳!$C$2:$C$400&lt;=$C62+$D62-1)*(機器台帳!$C$2:$C$400+機器台帳!$D$2:$D$400-1&gt;=$C62)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62&amp;"")))&gt;0)),"／同じUに他の機器(横並びなら正常)","")&amp;IF(AND(M62&lt;&gt;"",COUNTIFS(回路定義!$A:$A,A62,回路定義!$B:$B,M62)=0),"／回路1が定義にない","")&amp;IF(AND(P62&lt;&gt;"",COUNTIFS(回路定義!$A:$A,A62,回路定義!$B:$B,P62)=0),"／回路2が定義にない","")&amp;IF(AND(S62&lt;&gt;"",COUNTIFS(回路定義!$A:$A,A62,回路定義!$B:$B,S62)=0),"／回路3が定義にない",""),2,300)))</f>
        <v/>
      </c>
    </row>
    <row r="63">
      <c r="A63" s="5" t="inlineStr">
        <is>
          <t>E24-S8-3</t>
        </is>
      </c>
      <c r="B63" s="5" t="inlineStr">
        <is>
          <t>両面</t>
        </is>
      </c>
      <c r="C63" s="5" t="n">
        <v>16</v>
      </c>
      <c r="D63" s="5" t="n">
        <v>1</v>
      </c>
      <c r="E63" s="6">
        <f>IF(C63="","",C63+D63-1)</f>
        <v/>
      </c>
      <c r="F63" s="5" t="inlineStr">
        <is>
          <t>DELLEMC R640-5S/N:2LF9WL2</t>
        </is>
      </c>
      <c r="G63" s="5" t="inlineStr">
        <is>
          <t>H1709321</t>
        </is>
      </c>
      <c r="H63" s="5" t="inlineStr"/>
      <c r="I63" s="5" t="inlineStr">
        <is>
          <t>Server</t>
        </is>
      </c>
      <c r="J63" s="5" t="n">
        <v>9.5</v>
      </c>
      <c r="K63" s="5" t="n">
        <v>100</v>
      </c>
      <c r="L63" s="5" t="n">
        <v>2</v>
      </c>
      <c r="M63" s="5" t="inlineStr">
        <is>
          <t>100V 20A （1）</t>
        </is>
      </c>
      <c r="N63" s="5" t="n">
        <v>3</v>
      </c>
      <c r="O63" s="5" t="n">
        <v>2</v>
      </c>
      <c r="P63" s="5" t="n"/>
      <c r="Q63" s="5" t="n"/>
      <c r="R63" s="5" t="n"/>
      <c r="S63" s="5" t="n"/>
      <c r="T63" s="5" t="n"/>
      <c r="U63" s="5" t="n"/>
      <c r="V63" s="5" t="inlineStr">
        <is>
          <t>○</t>
        </is>
      </c>
      <c r="W63" s="5" t="inlineStr"/>
      <c r="X63" s="5" t="inlineStr">
        <is>
          <t>10/20 新規搭載予定</t>
        </is>
      </c>
      <c r="Y63" s="6">
        <f>COUNT(N63,Q63,T63)</f>
        <v/>
      </c>
      <c r="Z63" s="6">
        <f>IF(OR(K63="",NOT(ISNUMBER(K63))),"",K63*SUM(N63,Q63,T63))</f>
        <v/>
      </c>
      <c r="AA63" s="6">
        <f>IF(OR(Y63=0,N63=""),"",N63/Y63)</f>
        <v/>
      </c>
      <c r="AB63" s="6">
        <f>IF(OR(Y63=0,Q63=""),"",Q63/Y63)</f>
        <v/>
      </c>
      <c r="AC63" s="6">
        <f>IF(OR(Y63=0,T63=""),"",T63/Y63)</f>
        <v/>
      </c>
      <c r="AD63" s="6">
        <f>IF(F63="","",IF((IF(AND(Y63=0,NOT(SUMPRODUCT(--ISNUMBER(SEARCH({"棚板","棚","アングル","ｱﾝｸﾞﾙ","使用不可","ケーブル","ｹｰﾌﾞﾙ","PatchPnael","パッチ","引き出し","引出","ブランク","ﾌﾞﾗﾝｸ","マネージ","ﾏﾈｰｼﾞ","PDU","ONU"},$F63&amp;"")))&gt;0),NOT(SUMPRODUCT(--ISNUMBER(SEARCH({"電源オフ","未投入","停止","未使用","撤去"},$X63&amp;"")))&gt;0)),"／電力が未記入","")&amp;IF(AND(NOT(ISNUMBER(J63)),NOT(SUMPRODUCT(--ISNUMBER(SEARCH({"棚板","棚","アングル","ｱﾝｸﾞﾙ","使用不可","ケーブル","ｹｰﾌﾞﾙ","PatchPnael","パッチ","引き出し","引出","ブランク","ﾌﾞﾗﾝｸ","マネージ","ﾏﾈｰｼﾞ","PDU","ONU"},$F63&amp;"")))&gt;0)),"／重量が未記入","")&amp;IF(AND(K63&lt;&gt;"",NOT(ISNUMBER(K63))),"／電圧が数値でない","")&amp;IF(AND(N63&lt;&gt;"",NOT(ISNUMBER(N63))),"／電流が数値でない","")&amp;IF(AND(C63&lt;&gt;"",C63&lt;1),"／開始Uが1未満","")&amp;IF(AND(E63&lt;&gt;"",E63&gt;IFERROR(VLOOKUP(A63,ラック定義!$A:$B,2,FALSE),47)),"／総Uをはみ出す","")&amp;IF(AND(A63&lt;&gt;"",COUNTIF(ラック定義!$A:$A,A63)=0),"／ラックが定義にない","")&amp;IF(AND(SUMPRODUCT((機器台帳!$A$2:$A$400=$A63)*((機器台帳!$B$2:$B$400=$B63)+(機器台帳!$B$2:$B$400="両面")+($B63="両面")&gt;0)*(機器台帳!$C$2:$C$400&lt;=$C63+$D63-1)*(機器台帳!$C$2:$C$400+機器台帳!$D$2:$D$400-1&gt;=$C63)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63&amp;"")))&gt;0)),"／同じUに他の機器(横並びなら正常)","")&amp;IF(AND(M63&lt;&gt;"",COUNTIFS(回路定義!$A:$A,A63,回路定義!$B:$B,M63)=0),"／回路1が定義にない","")&amp;IF(AND(P63&lt;&gt;"",COUNTIFS(回路定義!$A:$A,A63,回路定義!$B:$B,P63)=0),"／回路2が定義にない","")&amp;IF(AND(S63&lt;&gt;"",COUNTIFS(回路定義!$A:$A,A63,回路定義!$B:$B,S63)=0),"／回路3が定義にない",""))="","",MID(IF(AND(Y63=0,NOT(SUMPRODUCT(--ISNUMBER(SEARCH({"棚板","棚","アングル","ｱﾝｸﾞﾙ","使用不可","ケーブル","ｹｰﾌﾞﾙ","PatchPnael","パッチ","引き出し","引出","ブランク","ﾌﾞﾗﾝｸ","マネージ","ﾏﾈｰｼﾞ","PDU","ONU"},$F63&amp;"")))&gt;0),NOT(SUMPRODUCT(--ISNUMBER(SEARCH({"電源オフ","未投入","停止","未使用","撤去"},$X63&amp;"")))&gt;0)),"／電力が未記入","")&amp;IF(AND(NOT(ISNUMBER(J63)),NOT(SUMPRODUCT(--ISNUMBER(SEARCH({"棚板","棚","アングル","ｱﾝｸﾞﾙ","使用不可","ケーブル","ｹｰﾌﾞﾙ","PatchPnael","パッチ","引き出し","引出","ブランク","ﾌﾞﾗﾝｸ","マネージ","ﾏﾈｰｼﾞ","PDU","ONU"},$F63&amp;"")))&gt;0)),"／重量が未記入","")&amp;IF(AND(K63&lt;&gt;"",NOT(ISNUMBER(K63))),"／電圧が数値でない","")&amp;IF(AND(N63&lt;&gt;"",NOT(ISNUMBER(N63))),"／電流が数値でない","")&amp;IF(AND(C63&lt;&gt;"",C63&lt;1),"／開始Uが1未満","")&amp;IF(AND(E63&lt;&gt;"",E63&gt;IFERROR(VLOOKUP(A63,ラック定義!$A:$B,2,FALSE),47)),"／総Uをはみ出す","")&amp;IF(AND(A63&lt;&gt;"",COUNTIF(ラック定義!$A:$A,A63)=0),"／ラックが定義にない","")&amp;IF(AND(SUMPRODUCT((機器台帳!$A$2:$A$400=$A63)*((機器台帳!$B$2:$B$400=$B63)+(機器台帳!$B$2:$B$400="両面")+($B63="両面")&gt;0)*(機器台帳!$C$2:$C$400&lt;=$C63+$D63-1)*(機器台帳!$C$2:$C$400+機器台帳!$D$2:$D$400-1&gt;=$C63)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63&amp;"")))&gt;0)),"／同じUに他の機器(横並びなら正常)","")&amp;IF(AND(M63&lt;&gt;"",COUNTIFS(回路定義!$A:$A,A63,回路定義!$B:$B,M63)=0),"／回路1が定義にない","")&amp;IF(AND(P63&lt;&gt;"",COUNTIFS(回路定義!$A:$A,A63,回路定義!$B:$B,P63)=0),"／回路2が定義にない","")&amp;IF(AND(S63&lt;&gt;"",COUNTIFS(回路定義!$A:$A,A63,回路定義!$B:$B,S63)=0),"／回路3が定義にない",""),2,300)))</f>
        <v/>
      </c>
    </row>
    <row r="64">
      <c r="A64" s="5" t="inlineStr">
        <is>
          <t>E24-S8-3</t>
        </is>
      </c>
      <c r="B64" s="5" t="inlineStr">
        <is>
          <t>両面</t>
        </is>
      </c>
      <c r="C64" s="5" t="n">
        <v>1</v>
      </c>
      <c r="D64" s="5" t="n">
        <v>3</v>
      </c>
      <c r="E64" s="6">
        <f>IF(C64="","",C64+D64-1)</f>
        <v/>
      </c>
      <c r="F64" s="5" t="inlineStr">
        <is>
          <t>使用不可</t>
        </is>
      </c>
      <c r="G64" s="5" t="inlineStr"/>
      <c r="H64" s="5" t="inlineStr"/>
      <c r="I64" s="5" t="inlineStr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inlineStr"/>
      <c r="W64" s="5" t="inlineStr"/>
      <c r="X64" s="5" t="inlineStr"/>
      <c r="Y64" s="6">
        <f>COUNT(N64,Q64,T64)</f>
        <v/>
      </c>
      <c r="Z64" s="6">
        <f>IF(OR(K64="",NOT(ISNUMBER(K64))),"",K64*SUM(N64,Q64,T64))</f>
        <v/>
      </c>
      <c r="AA64" s="6">
        <f>IF(OR(Y64=0,N64=""),"",N64/Y64)</f>
        <v/>
      </c>
      <c r="AB64" s="6">
        <f>IF(OR(Y64=0,Q64=""),"",Q64/Y64)</f>
        <v/>
      </c>
      <c r="AC64" s="6">
        <f>IF(OR(Y64=0,T64=""),"",T64/Y64)</f>
        <v/>
      </c>
      <c r="AD64" s="6">
        <f>IF(F64="","",IF((IF(AND(Y64=0,NOT(SUMPRODUCT(--ISNUMBER(SEARCH({"棚板","棚","アングル","ｱﾝｸﾞﾙ","使用不可","ケーブル","ｹｰﾌﾞﾙ","PatchPnael","パッチ","引き出し","引出","ブランク","ﾌﾞﾗﾝｸ","マネージ","ﾏﾈｰｼﾞ","PDU","ONU"},$F64&amp;"")))&gt;0),NOT(SUMPRODUCT(--ISNUMBER(SEARCH({"電源オフ","未投入","停止","未使用","撤去"},$X64&amp;"")))&gt;0)),"／電力が未記入","")&amp;IF(AND(NOT(ISNUMBER(J64)),NOT(SUMPRODUCT(--ISNUMBER(SEARCH({"棚板","棚","アングル","ｱﾝｸﾞﾙ","使用不可","ケーブル","ｹｰﾌﾞﾙ","PatchPnael","パッチ","引き出し","引出","ブランク","ﾌﾞﾗﾝｸ","マネージ","ﾏﾈｰｼﾞ","PDU","ONU"},$F64&amp;"")))&gt;0)),"／重量が未記入","")&amp;IF(AND(K64&lt;&gt;"",NOT(ISNUMBER(K64))),"／電圧が数値でない","")&amp;IF(AND(N64&lt;&gt;"",NOT(ISNUMBER(N64))),"／電流が数値でない","")&amp;IF(AND(C64&lt;&gt;"",C64&lt;1),"／開始Uが1未満","")&amp;IF(AND(E64&lt;&gt;"",E64&gt;IFERROR(VLOOKUP(A64,ラック定義!$A:$B,2,FALSE),47)),"／総Uをはみ出す","")&amp;IF(AND(A64&lt;&gt;"",COUNTIF(ラック定義!$A:$A,A64)=0),"／ラックが定義にない","")&amp;IF(AND(SUMPRODUCT((機器台帳!$A$2:$A$400=$A64)*((機器台帳!$B$2:$B$400=$B64)+(機器台帳!$B$2:$B$400="両面")+($B64="両面")&gt;0)*(機器台帳!$C$2:$C$400&lt;=$C64+$D64-1)*(機器台帳!$C$2:$C$400+機器台帳!$D$2:$D$400-1&gt;=$C64)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64&amp;"")))&gt;0)),"／同じUに他の機器(横並びなら正常)","")&amp;IF(AND(M64&lt;&gt;"",COUNTIFS(回路定義!$A:$A,A64,回路定義!$B:$B,M64)=0),"／回路1が定義にない","")&amp;IF(AND(P64&lt;&gt;"",COUNTIFS(回路定義!$A:$A,A64,回路定義!$B:$B,P64)=0),"／回路2が定義にない","")&amp;IF(AND(S64&lt;&gt;"",COUNTIFS(回路定義!$A:$A,A64,回路定義!$B:$B,S64)=0),"／回路3が定義にない",""))="","",MID(IF(AND(Y64=0,NOT(SUMPRODUCT(--ISNUMBER(SEARCH({"棚板","棚","アングル","ｱﾝｸﾞﾙ","使用不可","ケーブル","ｹｰﾌﾞﾙ","PatchPnael","パッチ","引き出し","引出","ブランク","ﾌﾞﾗﾝｸ","マネージ","ﾏﾈｰｼﾞ","PDU","ONU"},$F64&amp;"")))&gt;0),NOT(SUMPRODUCT(--ISNUMBER(SEARCH({"電源オフ","未投入","停止","未使用","撤去"},$X64&amp;"")))&gt;0)),"／電力が未記入","")&amp;IF(AND(NOT(ISNUMBER(J64)),NOT(SUMPRODUCT(--ISNUMBER(SEARCH({"棚板","棚","アングル","ｱﾝｸﾞﾙ","使用不可","ケーブル","ｹｰﾌﾞﾙ","PatchPnael","パッチ","引き出し","引出","ブランク","ﾌﾞﾗﾝｸ","マネージ","ﾏﾈｰｼﾞ","PDU","ONU"},$F64&amp;"")))&gt;0)),"／重量が未記入","")&amp;IF(AND(K64&lt;&gt;"",NOT(ISNUMBER(K64))),"／電圧が数値でない","")&amp;IF(AND(N64&lt;&gt;"",NOT(ISNUMBER(N64))),"／電流が数値でない","")&amp;IF(AND(C64&lt;&gt;"",C64&lt;1),"／開始Uが1未満","")&amp;IF(AND(E64&lt;&gt;"",E64&gt;IFERROR(VLOOKUP(A64,ラック定義!$A:$B,2,FALSE),47)),"／総Uをはみ出す","")&amp;IF(AND(A64&lt;&gt;"",COUNTIF(ラック定義!$A:$A,A64)=0),"／ラックが定義にない","")&amp;IF(AND(SUMPRODUCT((機器台帳!$A$2:$A$400=$A64)*((機器台帳!$B$2:$B$400=$B64)+(機器台帳!$B$2:$B$400="両面")+($B64="両面")&gt;0)*(機器台帳!$C$2:$C$400&lt;=$C64+$D64-1)*(機器台帳!$C$2:$C$400+機器台帳!$D$2:$D$400-1&gt;=$C64)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64&amp;"")))&gt;0)),"／同じUに他の機器(横並びなら正常)","")&amp;IF(AND(M64&lt;&gt;"",COUNTIFS(回路定義!$A:$A,A64,回路定義!$B:$B,M64)=0),"／回路1が定義にない","")&amp;IF(AND(P64&lt;&gt;"",COUNTIFS(回路定義!$A:$A,A64,回路定義!$B:$B,P64)=0),"／回路2が定義にない","")&amp;IF(AND(S64&lt;&gt;"",COUNTIFS(回路定義!$A:$A,A64,回路定義!$B:$B,S64)=0),"／回路3が定義にない",""),2,300)))</f>
        <v/>
      </c>
    </row>
    <row r="65">
      <c r="A65" s="5" t="inlineStr">
        <is>
          <t>E24-S8-3</t>
        </is>
      </c>
      <c r="B65" s="5" t="inlineStr">
        <is>
          <t>前面</t>
        </is>
      </c>
      <c r="C65" s="5" t="n">
        <v>47</v>
      </c>
      <c r="D65" s="5" t="n">
        <v>1</v>
      </c>
      <c r="E65" s="6">
        <f>IF(C65="","",C65+D65-1)</f>
        <v/>
      </c>
      <c r="F65" s="5" t="inlineStr">
        <is>
          <t>ｹｰﾌﾞﾙﾏﾈｰｼﾞﾒﾝﾄ</t>
        </is>
      </c>
      <c r="G65" s="5" t="inlineStr"/>
      <c r="H65" s="5" t="inlineStr"/>
      <c r="I65" s="5" t="inlineStr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inlineStr"/>
      <c r="W65" s="5" t="inlineStr"/>
      <c r="X65" s="5" t="inlineStr"/>
      <c r="Y65" s="6">
        <f>COUNT(N65,Q65,T65)</f>
        <v/>
      </c>
      <c r="Z65" s="6">
        <f>IF(OR(K65="",NOT(ISNUMBER(K65))),"",K65*SUM(N65,Q65,T65))</f>
        <v/>
      </c>
      <c r="AA65" s="6">
        <f>IF(OR(Y65=0,N65=""),"",N65/Y65)</f>
        <v/>
      </c>
      <c r="AB65" s="6">
        <f>IF(OR(Y65=0,Q65=""),"",Q65/Y65)</f>
        <v/>
      </c>
      <c r="AC65" s="6">
        <f>IF(OR(Y65=0,T65=""),"",T65/Y65)</f>
        <v/>
      </c>
      <c r="AD65" s="6">
        <f>IF(F65="","",IF((IF(AND(Y65=0,NOT(SUMPRODUCT(--ISNUMBER(SEARCH({"棚板","棚","アングル","ｱﾝｸﾞﾙ","使用不可","ケーブル","ｹｰﾌﾞﾙ","PatchPnael","パッチ","引き出し","引出","ブランク","ﾌﾞﾗﾝｸ","マネージ","ﾏﾈｰｼﾞ","PDU","ONU"},$F65&amp;"")))&gt;0),NOT(SUMPRODUCT(--ISNUMBER(SEARCH({"電源オフ","未投入","停止","未使用","撤去"},$X65&amp;"")))&gt;0)),"／電力が未記入","")&amp;IF(AND(NOT(ISNUMBER(J65)),NOT(SUMPRODUCT(--ISNUMBER(SEARCH({"棚板","棚","アングル","ｱﾝｸﾞﾙ","使用不可","ケーブル","ｹｰﾌﾞﾙ","PatchPnael","パッチ","引き出し","引出","ブランク","ﾌﾞﾗﾝｸ","マネージ","ﾏﾈｰｼﾞ","PDU","ONU"},$F65&amp;"")))&gt;0)),"／重量が未記入","")&amp;IF(AND(K65&lt;&gt;"",NOT(ISNUMBER(K65))),"／電圧が数値でない","")&amp;IF(AND(N65&lt;&gt;"",NOT(ISNUMBER(N65))),"／電流が数値でない","")&amp;IF(AND(C65&lt;&gt;"",C65&lt;1),"／開始Uが1未満","")&amp;IF(AND(E65&lt;&gt;"",E65&gt;IFERROR(VLOOKUP(A65,ラック定義!$A:$B,2,FALSE),47)),"／総Uをはみ出す","")&amp;IF(AND(A65&lt;&gt;"",COUNTIF(ラック定義!$A:$A,A65)=0),"／ラックが定義にない","")&amp;IF(AND(SUMPRODUCT((機器台帳!$A$2:$A$400=$A65)*((機器台帳!$B$2:$B$400=$B65)+(機器台帳!$B$2:$B$400="両面")+($B65="両面")&gt;0)*(機器台帳!$C$2:$C$400&lt;=$C65+$D65-1)*(機器台帳!$C$2:$C$400+機器台帳!$D$2:$D$400-1&gt;=$C65)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65&amp;"")))&gt;0)),"／同じUに他の機器(横並びなら正常)","")&amp;IF(AND(M65&lt;&gt;"",COUNTIFS(回路定義!$A:$A,A65,回路定義!$B:$B,M65)=0),"／回路1が定義にない","")&amp;IF(AND(P65&lt;&gt;"",COUNTIFS(回路定義!$A:$A,A65,回路定義!$B:$B,P65)=0),"／回路2が定義にない","")&amp;IF(AND(S65&lt;&gt;"",COUNTIFS(回路定義!$A:$A,A65,回路定義!$B:$B,S65)=0),"／回路3が定義にない",""))="","",MID(IF(AND(Y65=0,NOT(SUMPRODUCT(--ISNUMBER(SEARCH({"棚板","棚","アングル","ｱﾝｸﾞﾙ","使用不可","ケーブル","ｹｰﾌﾞﾙ","PatchPnael","パッチ","引き出し","引出","ブランク","ﾌﾞﾗﾝｸ","マネージ","ﾏﾈｰｼﾞ","PDU","ONU"},$F65&amp;"")))&gt;0),NOT(SUMPRODUCT(--ISNUMBER(SEARCH({"電源オフ","未投入","停止","未使用","撤去"},$X65&amp;"")))&gt;0)),"／電力が未記入","")&amp;IF(AND(NOT(ISNUMBER(J65)),NOT(SUMPRODUCT(--ISNUMBER(SEARCH({"棚板","棚","アングル","ｱﾝｸﾞﾙ","使用不可","ケーブル","ｹｰﾌﾞﾙ","PatchPnael","パッチ","引き出し","引出","ブランク","ﾌﾞﾗﾝｸ","マネージ","ﾏﾈｰｼﾞ","PDU","ONU"},$F65&amp;"")))&gt;0)),"／重量が未記入","")&amp;IF(AND(K65&lt;&gt;"",NOT(ISNUMBER(K65))),"／電圧が数値でない","")&amp;IF(AND(N65&lt;&gt;"",NOT(ISNUMBER(N65))),"／電流が数値でない","")&amp;IF(AND(C65&lt;&gt;"",C65&lt;1),"／開始Uが1未満","")&amp;IF(AND(E65&lt;&gt;"",E65&gt;IFERROR(VLOOKUP(A65,ラック定義!$A:$B,2,FALSE),47)),"／総Uをはみ出す","")&amp;IF(AND(A65&lt;&gt;"",COUNTIF(ラック定義!$A:$A,A65)=0),"／ラックが定義にない","")&amp;IF(AND(SUMPRODUCT((機器台帳!$A$2:$A$400=$A65)*((機器台帳!$B$2:$B$400=$B65)+(機器台帳!$B$2:$B$400="両面")+($B65="両面")&gt;0)*(機器台帳!$C$2:$C$400&lt;=$C65+$D65-1)*(機器台帳!$C$2:$C$400+機器台帳!$D$2:$D$400-1&gt;=$C65)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65&amp;"")))&gt;0)),"／同じUに他の機器(横並びなら正常)","")&amp;IF(AND(M65&lt;&gt;"",COUNTIFS(回路定義!$A:$A,A65,回路定義!$B:$B,M65)=0),"／回路1が定義にない","")&amp;IF(AND(P65&lt;&gt;"",COUNTIFS(回路定義!$A:$A,A65,回路定義!$B:$B,P65)=0),"／回路2が定義にない","")&amp;IF(AND(S65&lt;&gt;"",COUNTIFS(回路定義!$A:$A,A65,回路定義!$B:$B,S65)=0),"／回路3が定義にない",""),2,300)))</f>
        <v/>
      </c>
    </row>
    <row r="66">
      <c r="A66" s="5" t="inlineStr">
        <is>
          <t>E24-S8-3</t>
        </is>
      </c>
      <c r="B66" s="5" t="inlineStr">
        <is>
          <t>前面</t>
        </is>
      </c>
      <c r="C66" s="5" t="n">
        <v>46</v>
      </c>
      <c r="D66" s="5" t="n">
        <v>1</v>
      </c>
      <c r="E66" s="6">
        <f>IF(C66="","",C66+D66-1)</f>
        <v/>
      </c>
      <c r="F66" s="5" t="inlineStr">
        <is>
          <t>UTP 12port PatchPnael(前面)</t>
        </is>
      </c>
      <c r="G66" s="5" t="inlineStr"/>
      <c r="H66" s="5" t="inlineStr"/>
      <c r="I66" s="5" t="inlineStr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inlineStr"/>
      <c r="W66" s="5" t="inlineStr"/>
      <c r="X66" s="5" t="inlineStr"/>
      <c r="Y66" s="6">
        <f>COUNT(N66,Q66,T66)</f>
        <v/>
      </c>
      <c r="Z66" s="6">
        <f>IF(OR(K66="",NOT(ISNUMBER(K66))),"",K66*SUM(N66,Q66,T66))</f>
        <v/>
      </c>
      <c r="AA66" s="6">
        <f>IF(OR(Y66=0,N66=""),"",N66/Y66)</f>
        <v/>
      </c>
      <c r="AB66" s="6">
        <f>IF(OR(Y66=0,Q66=""),"",Q66/Y66)</f>
        <v/>
      </c>
      <c r="AC66" s="6">
        <f>IF(OR(Y66=0,T66=""),"",T66/Y66)</f>
        <v/>
      </c>
      <c r="AD66" s="6">
        <f>IF(F66="","",IF((IF(AND(Y66=0,NOT(SUMPRODUCT(--ISNUMBER(SEARCH({"棚板","棚","アングル","ｱﾝｸﾞﾙ","使用不可","ケーブル","ｹｰﾌﾞﾙ","PatchPnael","パッチ","引き出し","引出","ブランク","ﾌﾞﾗﾝｸ","マネージ","ﾏﾈｰｼﾞ","PDU","ONU"},$F66&amp;"")))&gt;0),NOT(SUMPRODUCT(--ISNUMBER(SEARCH({"電源オフ","未投入","停止","未使用","撤去"},$X66&amp;"")))&gt;0)),"／電力が未記入","")&amp;IF(AND(NOT(ISNUMBER(J66)),NOT(SUMPRODUCT(--ISNUMBER(SEARCH({"棚板","棚","アングル","ｱﾝｸﾞﾙ","使用不可","ケーブル","ｹｰﾌﾞﾙ","PatchPnael","パッチ","引き出し","引出","ブランク","ﾌﾞﾗﾝｸ","マネージ","ﾏﾈｰｼﾞ","PDU","ONU"},$F66&amp;"")))&gt;0)),"／重量が未記入","")&amp;IF(AND(K66&lt;&gt;"",NOT(ISNUMBER(K66))),"／電圧が数値でない","")&amp;IF(AND(N66&lt;&gt;"",NOT(ISNUMBER(N66))),"／電流が数値でない","")&amp;IF(AND(C66&lt;&gt;"",C66&lt;1),"／開始Uが1未満","")&amp;IF(AND(E66&lt;&gt;"",E66&gt;IFERROR(VLOOKUP(A66,ラック定義!$A:$B,2,FALSE),47)),"／総Uをはみ出す","")&amp;IF(AND(A66&lt;&gt;"",COUNTIF(ラック定義!$A:$A,A66)=0),"／ラックが定義にない","")&amp;IF(AND(SUMPRODUCT((機器台帳!$A$2:$A$400=$A66)*((機器台帳!$B$2:$B$400=$B66)+(機器台帳!$B$2:$B$400="両面")+($B66="両面")&gt;0)*(機器台帳!$C$2:$C$400&lt;=$C66+$D66-1)*(機器台帳!$C$2:$C$400+機器台帳!$D$2:$D$400-1&gt;=$C66)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66&amp;"")))&gt;0)),"／同じUに他の機器(横並びなら正常)","")&amp;IF(AND(M66&lt;&gt;"",COUNTIFS(回路定義!$A:$A,A66,回路定義!$B:$B,M66)=0),"／回路1が定義にない","")&amp;IF(AND(P66&lt;&gt;"",COUNTIFS(回路定義!$A:$A,A66,回路定義!$B:$B,P66)=0),"／回路2が定義にない","")&amp;IF(AND(S66&lt;&gt;"",COUNTIFS(回路定義!$A:$A,A66,回路定義!$B:$B,S66)=0),"／回路3が定義にない",""))="","",MID(IF(AND(Y66=0,NOT(SUMPRODUCT(--ISNUMBER(SEARCH({"棚板","棚","アングル","ｱﾝｸﾞﾙ","使用不可","ケーブル","ｹｰﾌﾞﾙ","PatchPnael","パッチ","引き出し","引出","ブランク","ﾌﾞﾗﾝｸ","マネージ","ﾏﾈｰｼﾞ","PDU","ONU"},$F66&amp;"")))&gt;0),NOT(SUMPRODUCT(--ISNUMBER(SEARCH({"電源オフ","未投入","停止","未使用","撤去"},$X66&amp;"")))&gt;0)),"／電力が未記入","")&amp;IF(AND(NOT(ISNUMBER(J66)),NOT(SUMPRODUCT(--ISNUMBER(SEARCH({"棚板","棚","アングル","ｱﾝｸﾞﾙ","使用不可","ケーブル","ｹｰﾌﾞﾙ","PatchPnael","パッチ","引き出し","引出","ブランク","ﾌﾞﾗﾝｸ","マネージ","ﾏﾈｰｼﾞ","PDU","ONU"},$F66&amp;"")))&gt;0)),"／重量が未記入","")&amp;IF(AND(K66&lt;&gt;"",NOT(ISNUMBER(K66))),"／電圧が数値でない","")&amp;IF(AND(N66&lt;&gt;"",NOT(ISNUMBER(N66))),"／電流が数値でない","")&amp;IF(AND(C66&lt;&gt;"",C66&lt;1),"／開始Uが1未満","")&amp;IF(AND(E66&lt;&gt;"",E66&gt;IFERROR(VLOOKUP(A66,ラック定義!$A:$B,2,FALSE),47)),"／総Uをはみ出す","")&amp;IF(AND(A66&lt;&gt;"",COUNTIF(ラック定義!$A:$A,A66)=0),"／ラックが定義にない","")&amp;IF(AND(SUMPRODUCT((機器台帳!$A$2:$A$400=$A66)*((機器台帳!$B$2:$B$400=$B66)+(機器台帳!$B$2:$B$400="両面")+($B66="両面")&gt;0)*(機器台帳!$C$2:$C$400&lt;=$C66+$D66-1)*(機器台帳!$C$2:$C$400+機器台帳!$D$2:$D$400-1&gt;=$C66)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66&amp;"")))&gt;0)),"／同じUに他の機器(横並びなら正常)","")&amp;IF(AND(M66&lt;&gt;"",COUNTIFS(回路定義!$A:$A,A66,回路定義!$B:$B,M66)=0),"／回路1が定義にない","")&amp;IF(AND(P66&lt;&gt;"",COUNTIFS(回路定義!$A:$A,A66,回路定義!$B:$B,P66)=0),"／回路2が定義にない","")&amp;IF(AND(S66&lt;&gt;"",COUNTIFS(回路定義!$A:$A,A66,回路定義!$B:$B,S66)=0),"／回路3が定義にない",""),2,300)))</f>
        <v/>
      </c>
    </row>
    <row r="67">
      <c r="A67" s="5" t="inlineStr">
        <is>
          <t>E24-S8-3</t>
        </is>
      </c>
      <c r="B67" s="5" t="inlineStr">
        <is>
          <t>背面</t>
        </is>
      </c>
      <c r="C67" s="5" t="n">
        <v>46</v>
      </c>
      <c r="D67" s="5" t="n">
        <v>1</v>
      </c>
      <c r="E67" s="6">
        <f>IF(C67="","",C67+D67-1)</f>
        <v/>
      </c>
      <c r="F67" s="5" t="inlineStr">
        <is>
          <t>UTP 12port PatchPnael(背面)</t>
        </is>
      </c>
      <c r="G67" s="5" t="inlineStr"/>
      <c r="H67" s="5" t="inlineStr"/>
      <c r="I67" s="5" t="inlineStr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inlineStr"/>
      <c r="W67" s="5" t="inlineStr"/>
      <c r="X67" s="5" t="inlineStr"/>
      <c r="Y67" s="6">
        <f>COUNT(N67,Q67,T67)</f>
        <v/>
      </c>
      <c r="Z67" s="6">
        <f>IF(OR(K67="",NOT(ISNUMBER(K67))),"",K67*SUM(N67,Q67,T67))</f>
        <v/>
      </c>
      <c r="AA67" s="6">
        <f>IF(OR(Y67=0,N67=""),"",N67/Y67)</f>
        <v/>
      </c>
      <c r="AB67" s="6">
        <f>IF(OR(Y67=0,Q67=""),"",Q67/Y67)</f>
        <v/>
      </c>
      <c r="AC67" s="6">
        <f>IF(OR(Y67=0,T67=""),"",T67/Y67)</f>
        <v/>
      </c>
      <c r="AD67" s="6">
        <f>IF(F67="","",IF((IF(AND(Y67=0,NOT(SUMPRODUCT(--ISNUMBER(SEARCH({"棚板","棚","アングル","ｱﾝｸﾞﾙ","使用不可","ケーブル","ｹｰﾌﾞﾙ","PatchPnael","パッチ","引き出し","引出","ブランク","ﾌﾞﾗﾝｸ","マネージ","ﾏﾈｰｼﾞ","PDU","ONU"},$F67&amp;"")))&gt;0),NOT(SUMPRODUCT(--ISNUMBER(SEARCH({"電源オフ","未投入","停止","未使用","撤去"},$X67&amp;"")))&gt;0)),"／電力が未記入","")&amp;IF(AND(NOT(ISNUMBER(J67)),NOT(SUMPRODUCT(--ISNUMBER(SEARCH({"棚板","棚","アングル","ｱﾝｸﾞﾙ","使用不可","ケーブル","ｹｰﾌﾞﾙ","PatchPnael","パッチ","引き出し","引出","ブランク","ﾌﾞﾗﾝｸ","マネージ","ﾏﾈｰｼﾞ","PDU","ONU"},$F67&amp;"")))&gt;0)),"／重量が未記入","")&amp;IF(AND(K67&lt;&gt;"",NOT(ISNUMBER(K67))),"／電圧が数値でない","")&amp;IF(AND(N67&lt;&gt;"",NOT(ISNUMBER(N67))),"／電流が数値でない","")&amp;IF(AND(C67&lt;&gt;"",C67&lt;1),"／開始Uが1未満","")&amp;IF(AND(E67&lt;&gt;"",E67&gt;IFERROR(VLOOKUP(A67,ラック定義!$A:$B,2,FALSE),47)),"／総Uをはみ出す","")&amp;IF(AND(A67&lt;&gt;"",COUNTIF(ラック定義!$A:$A,A67)=0),"／ラックが定義にない","")&amp;IF(AND(SUMPRODUCT((機器台帳!$A$2:$A$400=$A67)*((機器台帳!$B$2:$B$400=$B67)+(機器台帳!$B$2:$B$400="両面")+($B67="両面")&gt;0)*(機器台帳!$C$2:$C$400&lt;=$C67+$D67-1)*(機器台帳!$C$2:$C$400+機器台帳!$D$2:$D$400-1&gt;=$C67)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67&amp;"")))&gt;0)),"／同じUに他の機器(横並びなら正常)","")&amp;IF(AND(M67&lt;&gt;"",COUNTIFS(回路定義!$A:$A,A67,回路定義!$B:$B,M67)=0),"／回路1が定義にない","")&amp;IF(AND(P67&lt;&gt;"",COUNTIFS(回路定義!$A:$A,A67,回路定義!$B:$B,P67)=0),"／回路2が定義にない","")&amp;IF(AND(S67&lt;&gt;"",COUNTIFS(回路定義!$A:$A,A67,回路定義!$B:$B,S67)=0),"／回路3が定義にない",""))="","",MID(IF(AND(Y67=0,NOT(SUMPRODUCT(--ISNUMBER(SEARCH({"棚板","棚","アングル","ｱﾝｸﾞﾙ","使用不可","ケーブル","ｹｰﾌﾞﾙ","PatchPnael","パッチ","引き出し","引出","ブランク","ﾌﾞﾗﾝｸ","マネージ","ﾏﾈｰｼﾞ","PDU","ONU"},$F67&amp;"")))&gt;0),NOT(SUMPRODUCT(--ISNUMBER(SEARCH({"電源オフ","未投入","停止","未使用","撤去"},$X67&amp;"")))&gt;0)),"／電力が未記入","")&amp;IF(AND(NOT(ISNUMBER(J67)),NOT(SUMPRODUCT(--ISNUMBER(SEARCH({"棚板","棚","アングル","ｱﾝｸﾞﾙ","使用不可","ケーブル","ｹｰﾌﾞﾙ","PatchPnael","パッチ","引き出し","引出","ブランク","ﾌﾞﾗﾝｸ","マネージ","ﾏﾈｰｼﾞ","PDU","ONU"},$F67&amp;"")))&gt;0)),"／重量が未記入","")&amp;IF(AND(K67&lt;&gt;"",NOT(ISNUMBER(K67))),"／電圧が数値でない","")&amp;IF(AND(N67&lt;&gt;"",NOT(ISNUMBER(N67))),"／電流が数値でない","")&amp;IF(AND(C67&lt;&gt;"",C67&lt;1),"／開始Uが1未満","")&amp;IF(AND(E67&lt;&gt;"",E67&gt;IFERROR(VLOOKUP(A67,ラック定義!$A:$B,2,FALSE),47)),"／総Uをはみ出す","")&amp;IF(AND(A67&lt;&gt;"",COUNTIF(ラック定義!$A:$A,A67)=0),"／ラックが定義にない","")&amp;IF(AND(SUMPRODUCT((機器台帳!$A$2:$A$400=$A67)*((機器台帳!$B$2:$B$400=$B67)+(機器台帳!$B$2:$B$400="両面")+($B67="両面")&gt;0)*(機器台帳!$C$2:$C$400&lt;=$C67+$D67-1)*(機器台帳!$C$2:$C$400+機器台帳!$D$2:$D$400-1&gt;=$C67)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67&amp;"")))&gt;0)),"／同じUに他の機器(横並びなら正常)","")&amp;IF(AND(M67&lt;&gt;"",COUNTIFS(回路定義!$A:$A,A67,回路定義!$B:$B,M67)=0),"／回路1が定義にない","")&amp;IF(AND(P67&lt;&gt;"",COUNTIFS(回路定義!$A:$A,A67,回路定義!$B:$B,P67)=0),"／回路2が定義にない","")&amp;IF(AND(S67&lt;&gt;"",COUNTIFS(回路定義!$A:$A,A67,回路定義!$B:$B,S67)=0),"／回路3が定義にない",""),2,300)))</f>
        <v/>
      </c>
    </row>
    <row r="68">
      <c r="A68" s="5" t="inlineStr">
        <is>
          <t>E24-S8-3</t>
        </is>
      </c>
      <c r="B68" s="5" t="inlineStr">
        <is>
          <t>前面</t>
        </is>
      </c>
      <c r="C68" s="5" t="n">
        <v>45</v>
      </c>
      <c r="D68" s="5" t="n">
        <v>1</v>
      </c>
      <c r="E68" s="6">
        <f>IF(C68="","",C68+D68-1)</f>
        <v/>
      </c>
      <c r="F68" s="5" t="inlineStr">
        <is>
          <t>要確認: 原本 行6 の電力</t>
        </is>
      </c>
      <c r="G68" s="5" t="inlineStr"/>
      <c r="H68" s="5" t="inlineStr">
        <is>
          <t>Meraki</t>
        </is>
      </c>
      <c r="I68" s="5" t="inlineStr">
        <is>
          <t>Firewall</t>
        </is>
      </c>
      <c r="J68" s="5" t="n">
        <v>1</v>
      </c>
      <c r="K68" s="5" t="n">
        <v>100</v>
      </c>
      <c r="L68" s="5" t="n">
        <v>1</v>
      </c>
      <c r="M68" s="5" t="inlineStr">
        <is>
          <t>100V 20A （1）</t>
        </is>
      </c>
      <c r="N68" s="5" t="n">
        <v>0.18</v>
      </c>
      <c r="O68" s="5" t="n">
        <v>1</v>
      </c>
      <c r="P68" s="5" t="n"/>
      <c r="Q68" s="5" t="n"/>
      <c r="R68" s="5" t="n"/>
      <c r="S68" s="5" t="n"/>
      <c r="T68" s="5" t="n"/>
      <c r="U68" s="5" t="n"/>
      <c r="V68" s="5" t="inlineStr"/>
      <c r="W68" s="5" t="inlineStr"/>
      <c r="X68" s="5" t="inlineStr">
        <is>
          <t>原本に電力の記入はあるが機器が描かれていない行</t>
        </is>
      </c>
      <c r="Y68" s="6">
        <f>COUNT(N68,Q68,T68)</f>
        <v/>
      </c>
      <c r="Z68" s="6">
        <f>IF(OR(K68="",NOT(ISNUMBER(K68))),"",K68*SUM(N68,Q68,T68))</f>
        <v/>
      </c>
      <c r="AA68" s="6">
        <f>IF(OR(Y68=0,N68=""),"",N68/Y68)</f>
        <v/>
      </c>
      <c r="AB68" s="6">
        <f>IF(OR(Y68=0,Q68=""),"",Q68/Y68)</f>
        <v/>
      </c>
      <c r="AC68" s="6">
        <f>IF(OR(Y68=0,T68=""),"",T68/Y68)</f>
        <v/>
      </c>
      <c r="AD68" s="6">
        <f>IF(F68="","",IF((IF(AND(Y68=0,NOT(SUMPRODUCT(--ISNUMBER(SEARCH({"棚板","棚","アングル","ｱﾝｸﾞﾙ","使用不可","ケーブル","ｹｰﾌﾞﾙ","PatchPnael","パッチ","引き出し","引出","ブランク","ﾌﾞﾗﾝｸ","マネージ","ﾏﾈｰｼﾞ","PDU","ONU"},$F68&amp;"")))&gt;0),NOT(SUMPRODUCT(--ISNUMBER(SEARCH({"電源オフ","未投入","停止","未使用","撤去"},$X68&amp;"")))&gt;0)),"／電力が未記入","")&amp;IF(AND(NOT(ISNUMBER(J68)),NOT(SUMPRODUCT(--ISNUMBER(SEARCH({"棚板","棚","アングル","ｱﾝｸﾞﾙ","使用不可","ケーブル","ｹｰﾌﾞﾙ","PatchPnael","パッチ","引き出し","引出","ブランク","ﾌﾞﾗﾝｸ","マネージ","ﾏﾈｰｼﾞ","PDU","ONU"},$F68&amp;"")))&gt;0)),"／重量が未記入","")&amp;IF(AND(K68&lt;&gt;"",NOT(ISNUMBER(K68))),"／電圧が数値でない","")&amp;IF(AND(N68&lt;&gt;"",NOT(ISNUMBER(N68))),"／電流が数値でない","")&amp;IF(AND(C68&lt;&gt;"",C68&lt;1),"／開始Uが1未満","")&amp;IF(AND(E68&lt;&gt;"",E68&gt;IFERROR(VLOOKUP(A68,ラック定義!$A:$B,2,FALSE),47)),"／総Uをはみ出す","")&amp;IF(AND(A68&lt;&gt;"",COUNTIF(ラック定義!$A:$A,A68)=0),"／ラックが定義にない","")&amp;IF(AND(SUMPRODUCT((機器台帳!$A$2:$A$400=$A68)*((機器台帳!$B$2:$B$400=$B68)+(機器台帳!$B$2:$B$400="両面")+($B68="両面")&gt;0)*(機器台帳!$C$2:$C$400&lt;=$C68+$D68-1)*(機器台帳!$C$2:$C$400+機器台帳!$D$2:$D$400-1&gt;=$C68)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68&amp;"")))&gt;0)),"／同じUに他の機器(横並びなら正常)","")&amp;IF(AND(M68&lt;&gt;"",COUNTIFS(回路定義!$A:$A,A68,回路定義!$B:$B,M68)=0),"／回路1が定義にない","")&amp;IF(AND(P68&lt;&gt;"",COUNTIFS(回路定義!$A:$A,A68,回路定義!$B:$B,P68)=0),"／回路2が定義にない","")&amp;IF(AND(S68&lt;&gt;"",COUNTIFS(回路定義!$A:$A,A68,回路定義!$B:$B,S68)=0),"／回路3が定義にない",""))="","",MID(IF(AND(Y68=0,NOT(SUMPRODUCT(--ISNUMBER(SEARCH({"棚板","棚","アングル","ｱﾝｸﾞﾙ","使用不可","ケーブル","ｹｰﾌﾞﾙ","PatchPnael","パッチ","引き出し","引出","ブランク","ﾌﾞﾗﾝｸ","マネージ","ﾏﾈｰｼﾞ","PDU","ONU"},$F68&amp;"")))&gt;0),NOT(SUMPRODUCT(--ISNUMBER(SEARCH({"電源オフ","未投入","停止","未使用","撤去"},$X68&amp;"")))&gt;0)),"／電力が未記入","")&amp;IF(AND(NOT(ISNUMBER(J68)),NOT(SUMPRODUCT(--ISNUMBER(SEARCH({"棚板","棚","アングル","ｱﾝｸﾞﾙ","使用不可","ケーブル","ｹｰﾌﾞﾙ","PatchPnael","パッチ","引き出し","引出","ブランク","ﾌﾞﾗﾝｸ","マネージ","ﾏﾈｰｼﾞ","PDU","ONU"},$F68&amp;"")))&gt;0)),"／重量が未記入","")&amp;IF(AND(K68&lt;&gt;"",NOT(ISNUMBER(K68))),"／電圧が数値でない","")&amp;IF(AND(N68&lt;&gt;"",NOT(ISNUMBER(N68))),"／電流が数値でない","")&amp;IF(AND(C68&lt;&gt;"",C68&lt;1),"／開始Uが1未満","")&amp;IF(AND(E68&lt;&gt;"",E68&gt;IFERROR(VLOOKUP(A68,ラック定義!$A:$B,2,FALSE),47)),"／総Uをはみ出す","")&amp;IF(AND(A68&lt;&gt;"",COUNTIF(ラック定義!$A:$A,A68)=0),"／ラックが定義にない","")&amp;IF(AND(SUMPRODUCT((機器台帳!$A$2:$A$400=$A68)*((機器台帳!$B$2:$B$400=$B68)+(機器台帳!$B$2:$B$400="両面")+($B68="両面")&gt;0)*(機器台帳!$C$2:$C$400&lt;=$C68+$D68-1)*(機器台帳!$C$2:$C$400+機器台帳!$D$2:$D$400-1&gt;=$C68)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68&amp;"")))&gt;0)),"／同じUに他の機器(横並びなら正常)","")&amp;IF(AND(M68&lt;&gt;"",COUNTIFS(回路定義!$A:$A,A68,回路定義!$B:$B,M68)=0),"／回路1が定義にない","")&amp;IF(AND(P68&lt;&gt;"",COUNTIFS(回路定義!$A:$A,A68,回路定義!$B:$B,P68)=0),"／回路2が定義にない","")&amp;IF(AND(S68&lt;&gt;"",COUNTIFS(回路定義!$A:$A,A68,回路定義!$B:$B,S68)=0),"／回路3が定義にない",""),2,300)))</f>
        <v/>
      </c>
    </row>
    <row r="69">
      <c r="A69" s="5" t="inlineStr">
        <is>
          <t>E24-S8-3</t>
        </is>
      </c>
      <c r="B69" s="5" t="inlineStr">
        <is>
          <t>背面</t>
        </is>
      </c>
      <c r="C69" s="5" t="n">
        <v>45</v>
      </c>
      <c r="D69" s="5" t="n">
        <v>1</v>
      </c>
      <c r="E69" s="6">
        <f>IF(C69="","",C69+D69-1)</f>
        <v/>
      </c>
      <c r="F69" s="5" t="inlineStr">
        <is>
          <t>要確認: 原本 行66 の電力</t>
        </is>
      </c>
      <c r="G69" s="5" t="inlineStr"/>
      <c r="H69" s="5" t="inlineStr">
        <is>
          <t>Internet</t>
        </is>
      </c>
      <c r="I69" s="5" t="inlineStr">
        <is>
          <t>ONU</t>
        </is>
      </c>
      <c r="J69" s="5" t="n">
        <v>0.5</v>
      </c>
      <c r="K69" s="5" t="n">
        <v>1</v>
      </c>
      <c r="L69" s="5" t="n">
        <v>1</v>
      </c>
      <c r="M69" s="5" t="inlineStr">
        <is>
          <t>100V 20A （1）</t>
        </is>
      </c>
      <c r="N69" s="5" t="n">
        <v>0.3</v>
      </c>
      <c r="O69" s="5" t="n">
        <v>1</v>
      </c>
      <c r="P69" s="5" t="n"/>
      <c r="Q69" s="5" t="n"/>
      <c r="R69" s="5" t="n"/>
      <c r="S69" s="5" t="n"/>
      <c r="T69" s="5" t="n"/>
      <c r="U69" s="5" t="n"/>
      <c r="V69" s="5" t="inlineStr"/>
      <c r="W69" s="5" t="inlineStr"/>
      <c r="X69" s="5" t="inlineStr">
        <is>
          <t>原本に電力の記入はあるが機器が描かれていない行</t>
        </is>
      </c>
      <c r="Y69" s="6">
        <f>COUNT(N69,Q69,T69)</f>
        <v/>
      </c>
      <c r="Z69" s="6">
        <f>IF(OR(K69="",NOT(ISNUMBER(K69))),"",K69*SUM(N69,Q69,T69))</f>
        <v/>
      </c>
      <c r="AA69" s="6">
        <f>IF(OR(Y69=0,N69=""),"",N69/Y69)</f>
        <v/>
      </c>
      <c r="AB69" s="6">
        <f>IF(OR(Y69=0,Q69=""),"",Q69/Y69)</f>
        <v/>
      </c>
      <c r="AC69" s="6">
        <f>IF(OR(Y69=0,T69=""),"",T69/Y69)</f>
        <v/>
      </c>
      <c r="AD69" s="6">
        <f>IF(F69="","",IF((IF(AND(Y69=0,NOT(SUMPRODUCT(--ISNUMBER(SEARCH({"棚板","棚","アングル","ｱﾝｸﾞﾙ","使用不可","ケーブル","ｹｰﾌﾞﾙ","PatchPnael","パッチ","引き出し","引出","ブランク","ﾌﾞﾗﾝｸ","マネージ","ﾏﾈｰｼﾞ","PDU","ONU"},$F69&amp;"")))&gt;0),NOT(SUMPRODUCT(--ISNUMBER(SEARCH({"電源オフ","未投入","停止","未使用","撤去"},$X69&amp;"")))&gt;0)),"／電力が未記入","")&amp;IF(AND(NOT(ISNUMBER(J69)),NOT(SUMPRODUCT(--ISNUMBER(SEARCH({"棚板","棚","アングル","ｱﾝｸﾞﾙ","使用不可","ケーブル","ｹｰﾌﾞﾙ","PatchPnael","パッチ","引き出し","引出","ブランク","ﾌﾞﾗﾝｸ","マネージ","ﾏﾈｰｼﾞ","PDU","ONU"},$F69&amp;"")))&gt;0)),"／重量が未記入","")&amp;IF(AND(K69&lt;&gt;"",NOT(ISNUMBER(K69))),"／電圧が数値でない","")&amp;IF(AND(N69&lt;&gt;"",NOT(ISNUMBER(N69))),"／電流が数値でない","")&amp;IF(AND(C69&lt;&gt;"",C69&lt;1),"／開始Uが1未満","")&amp;IF(AND(E69&lt;&gt;"",E69&gt;IFERROR(VLOOKUP(A69,ラック定義!$A:$B,2,FALSE),47)),"／総Uをはみ出す","")&amp;IF(AND(A69&lt;&gt;"",COUNTIF(ラック定義!$A:$A,A69)=0),"／ラックが定義にない","")&amp;IF(AND(SUMPRODUCT((機器台帳!$A$2:$A$400=$A69)*((機器台帳!$B$2:$B$400=$B69)+(機器台帳!$B$2:$B$400="両面")+($B69="両面")&gt;0)*(機器台帳!$C$2:$C$400&lt;=$C69+$D69-1)*(機器台帳!$C$2:$C$400+機器台帳!$D$2:$D$400-1&gt;=$C69)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69&amp;"")))&gt;0)),"／同じUに他の機器(横並びなら正常)","")&amp;IF(AND(M69&lt;&gt;"",COUNTIFS(回路定義!$A:$A,A69,回路定義!$B:$B,M69)=0),"／回路1が定義にない","")&amp;IF(AND(P69&lt;&gt;"",COUNTIFS(回路定義!$A:$A,A69,回路定義!$B:$B,P69)=0),"／回路2が定義にない","")&amp;IF(AND(S69&lt;&gt;"",COUNTIFS(回路定義!$A:$A,A69,回路定義!$B:$B,S69)=0),"／回路3が定義にない",""))="","",MID(IF(AND(Y69=0,NOT(SUMPRODUCT(--ISNUMBER(SEARCH({"棚板","棚","アングル","ｱﾝｸﾞﾙ","使用不可","ケーブル","ｹｰﾌﾞﾙ","PatchPnael","パッチ","引き出し","引出","ブランク","ﾌﾞﾗﾝｸ","マネージ","ﾏﾈｰｼﾞ","PDU","ONU"},$F69&amp;"")))&gt;0),NOT(SUMPRODUCT(--ISNUMBER(SEARCH({"電源オフ","未投入","停止","未使用","撤去"},$X69&amp;"")))&gt;0)),"／電力が未記入","")&amp;IF(AND(NOT(ISNUMBER(J69)),NOT(SUMPRODUCT(--ISNUMBER(SEARCH({"棚板","棚","アングル","ｱﾝｸﾞﾙ","使用不可","ケーブル","ｹｰﾌﾞﾙ","PatchPnael","パッチ","引き出し","引出","ブランク","ﾌﾞﾗﾝｸ","マネージ","ﾏﾈｰｼﾞ","PDU","ONU"},$F69&amp;"")))&gt;0)),"／重量が未記入","")&amp;IF(AND(K69&lt;&gt;"",NOT(ISNUMBER(K69))),"／電圧が数値でない","")&amp;IF(AND(N69&lt;&gt;"",NOT(ISNUMBER(N69))),"／電流が数値でない","")&amp;IF(AND(C69&lt;&gt;"",C69&lt;1),"／開始Uが1未満","")&amp;IF(AND(E69&lt;&gt;"",E69&gt;IFERROR(VLOOKUP(A69,ラック定義!$A:$B,2,FALSE),47)),"／総Uをはみ出す","")&amp;IF(AND(A69&lt;&gt;"",COUNTIF(ラック定義!$A:$A,A69)=0),"／ラックが定義にない","")&amp;IF(AND(SUMPRODUCT((機器台帳!$A$2:$A$400=$A69)*((機器台帳!$B$2:$B$400=$B69)+(機器台帳!$B$2:$B$400="両面")+($B69="両面")&gt;0)*(機器台帳!$C$2:$C$400&lt;=$C69+$D69-1)*(機器台帳!$C$2:$C$400+機器台帳!$D$2:$D$400-1&gt;=$C69)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69&amp;"")))&gt;0)),"／同じUに他の機器(横並びなら正常)","")&amp;IF(AND(M69&lt;&gt;"",COUNTIFS(回路定義!$A:$A,A69,回路定義!$B:$B,M69)=0),"／回路1が定義にない","")&amp;IF(AND(P69&lt;&gt;"",COUNTIFS(回路定義!$A:$A,A69,回路定義!$B:$B,P69)=0),"／回路2が定義にない","")&amp;IF(AND(S69&lt;&gt;"",COUNTIFS(回路定義!$A:$A,A69,回路定義!$B:$B,S69)=0),"／回路3が定義にない",""),2,300)))</f>
        <v/>
      </c>
    </row>
    <row r="70">
      <c r="A70" s="5" t="inlineStr">
        <is>
          <t>E24-S8-3</t>
        </is>
      </c>
      <c r="B70" s="5" t="inlineStr">
        <is>
          <t>前面</t>
        </is>
      </c>
      <c r="C70" s="5" t="n">
        <v>44</v>
      </c>
      <c r="D70" s="5" t="n">
        <v>1</v>
      </c>
      <c r="E70" s="6">
        <f>IF(C70="","",C70+D70-1)</f>
        <v/>
      </c>
      <c r="F70" s="5" t="inlineStr">
        <is>
          <t>要確認: 原本 行7 の電力</t>
        </is>
      </c>
      <c r="G70" s="5" t="inlineStr"/>
      <c r="H70" s="5" t="inlineStr">
        <is>
          <t>Meraki</t>
        </is>
      </c>
      <c r="I70" s="5" t="inlineStr">
        <is>
          <t>Firewall</t>
        </is>
      </c>
      <c r="J70" s="5" t="n">
        <v>1</v>
      </c>
      <c r="K70" s="5" t="n">
        <v>100</v>
      </c>
      <c r="L70" s="5" t="n">
        <v>1</v>
      </c>
      <c r="M70" s="5" t="inlineStr">
        <is>
          <t>100V 20A （1）</t>
        </is>
      </c>
      <c r="N70" s="5" t="n">
        <v>0.18</v>
      </c>
      <c r="O70" s="5" t="n">
        <v>1</v>
      </c>
      <c r="P70" s="5" t="n"/>
      <c r="Q70" s="5" t="n"/>
      <c r="R70" s="5" t="n"/>
      <c r="S70" s="5" t="n"/>
      <c r="T70" s="5" t="n"/>
      <c r="U70" s="5" t="n"/>
      <c r="V70" s="5" t="inlineStr"/>
      <c r="W70" s="5" t="inlineStr"/>
      <c r="X70" s="5" t="inlineStr">
        <is>
          <t>原本に電力の記入はあるが機器が描かれていない行</t>
        </is>
      </c>
      <c r="Y70" s="6">
        <f>COUNT(N70,Q70,T70)</f>
        <v/>
      </c>
      <c r="Z70" s="6">
        <f>IF(OR(K70="",NOT(ISNUMBER(K70))),"",K70*SUM(N70,Q70,T70))</f>
        <v/>
      </c>
      <c r="AA70" s="6">
        <f>IF(OR(Y70=0,N70=""),"",N70/Y70)</f>
        <v/>
      </c>
      <c r="AB70" s="6">
        <f>IF(OR(Y70=0,Q70=""),"",Q70/Y70)</f>
        <v/>
      </c>
      <c r="AC70" s="6">
        <f>IF(OR(Y70=0,T70=""),"",T70/Y70)</f>
        <v/>
      </c>
      <c r="AD70" s="6">
        <f>IF(F70="","",IF((IF(AND(Y70=0,NOT(SUMPRODUCT(--ISNUMBER(SEARCH({"棚板","棚","アングル","ｱﾝｸﾞﾙ","使用不可","ケーブル","ｹｰﾌﾞﾙ","PatchPnael","パッチ","引き出し","引出","ブランク","ﾌﾞﾗﾝｸ","マネージ","ﾏﾈｰｼﾞ","PDU","ONU"},$F70&amp;"")))&gt;0),NOT(SUMPRODUCT(--ISNUMBER(SEARCH({"電源オフ","未投入","停止","未使用","撤去"},$X70&amp;"")))&gt;0)),"／電力が未記入","")&amp;IF(AND(NOT(ISNUMBER(J70)),NOT(SUMPRODUCT(--ISNUMBER(SEARCH({"棚板","棚","アングル","ｱﾝｸﾞﾙ","使用不可","ケーブル","ｹｰﾌﾞﾙ","PatchPnael","パッチ","引き出し","引出","ブランク","ﾌﾞﾗﾝｸ","マネージ","ﾏﾈｰｼﾞ","PDU","ONU"},$F70&amp;"")))&gt;0)),"／重量が未記入","")&amp;IF(AND(K70&lt;&gt;"",NOT(ISNUMBER(K70))),"／電圧が数値でない","")&amp;IF(AND(N70&lt;&gt;"",NOT(ISNUMBER(N70))),"／電流が数値でない","")&amp;IF(AND(C70&lt;&gt;"",C70&lt;1),"／開始Uが1未満","")&amp;IF(AND(E70&lt;&gt;"",E70&gt;IFERROR(VLOOKUP(A70,ラック定義!$A:$B,2,FALSE),47)),"／総Uをはみ出す","")&amp;IF(AND(A70&lt;&gt;"",COUNTIF(ラック定義!$A:$A,A70)=0),"／ラックが定義にない","")&amp;IF(AND(SUMPRODUCT((機器台帳!$A$2:$A$400=$A70)*((機器台帳!$B$2:$B$400=$B70)+(機器台帳!$B$2:$B$400="両面")+($B70="両面")&gt;0)*(機器台帳!$C$2:$C$400&lt;=$C70+$D70-1)*(機器台帳!$C$2:$C$400+機器台帳!$D$2:$D$400-1&gt;=$C70)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70&amp;"")))&gt;0)),"／同じUに他の機器(横並びなら正常)","")&amp;IF(AND(M70&lt;&gt;"",COUNTIFS(回路定義!$A:$A,A70,回路定義!$B:$B,M70)=0),"／回路1が定義にない","")&amp;IF(AND(P70&lt;&gt;"",COUNTIFS(回路定義!$A:$A,A70,回路定義!$B:$B,P70)=0),"／回路2が定義にない","")&amp;IF(AND(S70&lt;&gt;"",COUNTIFS(回路定義!$A:$A,A70,回路定義!$B:$B,S70)=0),"／回路3が定義にない",""))="","",MID(IF(AND(Y70=0,NOT(SUMPRODUCT(--ISNUMBER(SEARCH({"棚板","棚","アングル","ｱﾝｸﾞﾙ","使用不可","ケーブル","ｹｰﾌﾞﾙ","PatchPnael","パッチ","引き出し","引出","ブランク","ﾌﾞﾗﾝｸ","マネージ","ﾏﾈｰｼﾞ","PDU","ONU"},$F70&amp;"")))&gt;0),NOT(SUMPRODUCT(--ISNUMBER(SEARCH({"電源オフ","未投入","停止","未使用","撤去"},$X70&amp;"")))&gt;0)),"／電力が未記入","")&amp;IF(AND(NOT(ISNUMBER(J70)),NOT(SUMPRODUCT(--ISNUMBER(SEARCH({"棚板","棚","アングル","ｱﾝｸﾞﾙ","使用不可","ケーブル","ｹｰﾌﾞﾙ","PatchPnael","パッチ","引き出し","引出","ブランク","ﾌﾞﾗﾝｸ","マネージ","ﾏﾈｰｼﾞ","PDU","ONU"},$F70&amp;"")))&gt;0)),"／重量が未記入","")&amp;IF(AND(K70&lt;&gt;"",NOT(ISNUMBER(K70))),"／電圧が数値でない","")&amp;IF(AND(N70&lt;&gt;"",NOT(ISNUMBER(N70))),"／電流が数値でない","")&amp;IF(AND(C70&lt;&gt;"",C70&lt;1),"／開始Uが1未満","")&amp;IF(AND(E70&lt;&gt;"",E70&gt;IFERROR(VLOOKUP(A70,ラック定義!$A:$B,2,FALSE),47)),"／総Uをはみ出す","")&amp;IF(AND(A70&lt;&gt;"",COUNTIF(ラック定義!$A:$A,A70)=0),"／ラックが定義にない","")&amp;IF(AND(SUMPRODUCT((機器台帳!$A$2:$A$400=$A70)*((機器台帳!$B$2:$B$400=$B70)+(機器台帳!$B$2:$B$400="両面")+($B70="両面")&gt;0)*(機器台帳!$C$2:$C$400&lt;=$C70+$D70-1)*(機器台帳!$C$2:$C$400+機器台帳!$D$2:$D$400-1&gt;=$C70)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70&amp;"")))&gt;0)),"／同じUに他の機器(横並びなら正常)","")&amp;IF(AND(M70&lt;&gt;"",COUNTIFS(回路定義!$A:$A,A70,回路定義!$B:$B,M70)=0),"／回路1が定義にない","")&amp;IF(AND(P70&lt;&gt;"",COUNTIFS(回路定義!$A:$A,A70,回路定義!$B:$B,P70)=0),"／回路2が定義にない","")&amp;IF(AND(S70&lt;&gt;"",COUNTIFS(回路定義!$A:$A,A70,回路定義!$B:$B,S70)=0),"／回路3が定義にない",""),2,300)))</f>
        <v/>
      </c>
    </row>
    <row r="71">
      <c r="A71" s="5" t="inlineStr">
        <is>
          <t>E24-S8-3</t>
        </is>
      </c>
      <c r="B71" s="5" t="inlineStr">
        <is>
          <t>背面</t>
        </is>
      </c>
      <c r="C71" s="5" t="n">
        <v>43</v>
      </c>
      <c r="D71" s="5" t="n">
        <v>1</v>
      </c>
      <c r="E71" s="6">
        <f>IF(C71="","",C71+D71-1)</f>
        <v/>
      </c>
      <c r="F71" s="5" t="inlineStr">
        <is>
          <t>②MR33</t>
        </is>
      </c>
      <c r="G71" s="5" t="inlineStr">
        <is>
          <t>H1909175</t>
        </is>
      </c>
      <c r="H71" s="5" t="inlineStr">
        <is>
          <t>Meraki</t>
        </is>
      </c>
      <c r="I71" s="5" t="inlineStr">
        <is>
          <t>AccessPoint</t>
        </is>
      </c>
      <c r="J71" s="5" t="n">
        <v>0.4</v>
      </c>
      <c r="K71" s="5" t="n">
        <v>100</v>
      </c>
      <c r="L71" s="5" t="n">
        <v>1</v>
      </c>
      <c r="M71" s="5" t="inlineStr">
        <is>
          <t>100V 20A （1）</t>
        </is>
      </c>
      <c r="N71" s="5" t="n">
        <v>0.18</v>
      </c>
      <c r="O71" s="5" t="n">
        <v>1</v>
      </c>
      <c r="P71" s="5" t="n"/>
      <c r="Q71" s="5" t="n"/>
      <c r="R71" s="5" t="n"/>
      <c r="S71" s="5" t="n"/>
      <c r="T71" s="5" t="n"/>
      <c r="U71" s="5" t="n"/>
      <c r="V71" s="5" t="inlineStr">
        <is>
          <t>棚</t>
        </is>
      </c>
      <c r="W71" s="5" t="inlineStr">
        <is>
          <t>１本</t>
        </is>
      </c>
      <c r="X71" s="5" t="inlineStr">
        <is>
          <t>※移設元ラックに機器無し</t>
        </is>
      </c>
      <c r="Y71" s="6">
        <f>COUNT(N71,Q71,T71)</f>
        <v/>
      </c>
      <c r="Z71" s="6">
        <f>IF(OR(K71="",NOT(ISNUMBER(K71))),"",K71*SUM(N71,Q71,T71))</f>
        <v/>
      </c>
      <c r="AA71" s="6">
        <f>IF(OR(Y71=0,N71=""),"",N71/Y71)</f>
        <v/>
      </c>
      <c r="AB71" s="6">
        <f>IF(OR(Y71=0,Q71=""),"",Q71/Y71)</f>
        <v/>
      </c>
      <c r="AC71" s="6">
        <f>IF(OR(Y71=0,T71=""),"",T71/Y71)</f>
        <v/>
      </c>
      <c r="AD71" s="6">
        <f>IF(F71="","",IF((IF(AND(Y71=0,NOT(SUMPRODUCT(--ISNUMBER(SEARCH({"棚板","棚","アングル","ｱﾝｸﾞﾙ","使用不可","ケーブル","ｹｰﾌﾞﾙ","PatchPnael","パッチ","引き出し","引出","ブランク","ﾌﾞﾗﾝｸ","マネージ","ﾏﾈｰｼﾞ","PDU","ONU"},$F71&amp;"")))&gt;0),NOT(SUMPRODUCT(--ISNUMBER(SEARCH({"電源オフ","未投入","停止","未使用","撤去"},$X71&amp;"")))&gt;0)),"／電力が未記入","")&amp;IF(AND(NOT(ISNUMBER(J71)),NOT(SUMPRODUCT(--ISNUMBER(SEARCH({"棚板","棚","アングル","ｱﾝｸﾞﾙ","使用不可","ケーブル","ｹｰﾌﾞﾙ","PatchPnael","パッチ","引き出し","引出","ブランク","ﾌﾞﾗﾝｸ","マネージ","ﾏﾈｰｼﾞ","PDU","ONU"},$F71&amp;"")))&gt;0)),"／重量が未記入","")&amp;IF(AND(K71&lt;&gt;"",NOT(ISNUMBER(K71))),"／電圧が数値でない","")&amp;IF(AND(N71&lt;&gt;"",NOT(ISNUMBER(N71))),"／電流が数値でない","")&amp;IF(AND(C71&lt;&gt;"",C71&lt;1),"／開始Uが1未満","")&amp;IF(AND(E71&lt;&gt;"",E71&gt;IFERROR(VLOOKUP(A71,ラック定義!$A:$B,2,FALSE),47)),"／総Uをはみ出す","")&amp;IF(AND(A71&lt;&gt;"",COUNTIF(ラック定義!$A:$A,A71)=0),"／ラックが定義にない","")&amp;IF(AND(SUMPRODUCT((機器台帳!$A$2:$A$400=$A71)*((機器台帳!$B$2:$B$400=$B71)+(機器台帳!$B$2:$B$400="両面")+($B71="両面")&gt;0)*(機器台帳!$C$2:$C$400&lt;=$C71+$D71-1)*(機器台帳!$C$2:$C$400+機器台帳!$D$2:$D$400-1&gt;=$C71)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71&amp;"")))&gt;0)),"／同じUに他の機器(横並びなら正常)","")&amp;IF(AND(M71&lt;&gt;"",COUNTIFS(回路定義!$A:$A,A71,回路定義!$B:$B,M71)=0),"／回路1が定義にない","")&amp;IF(AND(P71&lt;&gt;"",COUNTIFS(回路定義!$A:$A,A71,回路定義!$B:$B,P71)=0),"／回路2が定義にない","")&amp;IF(AND(S71&lt;&gt;"",COUNTIFS(回路定義!$A:$A,A71,回路定義!$B:$B,S71)=0),"／回路3が定義にない",""))="","",MID(IF(AND(Y71=0,NOT(SUMPRODUCT(--ISNUMBER(SEARCH({"棚板","棚","アングル","ｱﾝｸﾞﾙ","使用不可","ケーブル","ｹｰﾌﾞﾙ","PatchPnael","パッチ","引き出し","引出","ブランク","ﾌﾞﾗﾝｸ","マネージ","ﾏﾈｰｼﾞ","PDU","ONU"},$F71&amp;"")))&gt;0),NOT(SUMPRODUCT(--ISNUMBER(SEARCH({"電源オフ","未投入","停止","未使用","撤去"},$X71&amp;"")))&gt;0)),"／電力が未記入","")&amp;IF(AND(NOT(ISNUMBER(J71)),NOT(SUMPRODUCT(--ISNUMBER(SEARCH({"棚板","棚","アングル","ｱﾝｸﾞﾙ","使用不可","ケーブル","ｹｰﾌﾞﾙ","PatchPnael","パッチ","引き出し","引出","ブランク","ﾌﾞﾗﾝｸ","マネージ","ﾏﾈｰｼﾞ","PDU","ONU"},$F71&amp;"")))&gt;0)),"／重量が未記入","")&amp;IF(AND(K71&lt;&gt;"",NOT(ISNUMBER(K71))),"／電圧が数値でない","")&amp;IF(AND(N71&lt;&gt;"",NOT(ISNUMBER(N71))),"／電流が数値でない","")&amp;IF(AND(C71&lt;&gt;"",C71&lt;1),"／開始Uが1未満","")&amp;IF(AND(E71&lt;&gt;"",E71&gt;IFERROR(VLOOKUP(A71,ラック定義!$A:$B,2,FALSE),47)),"／総Uをはみ出す","")&amp;IF(AND(A71&lt;&gt;"",COUNTIF(ラック定義!$A:$A,A71)=0),"／ラックが定義にない","")&amp;IF(AND(SUMPRODUCT((機器台帳!$A$2:$A$400=$A71)*((機器台帳!$B$2:$B$400=$B71)+(機器台帳!$B$2:$B$400="両面")+($B71="両面")&gt;0)*(機器台帳!$C$2:$C$400&lt;=$C71+$D71-1)*(機器台帳!$C$2:$C$400+機器台帳!$D$2:$D$400-1&gt;=$C71)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71&amp;"")))&gt;0)),"／同じUに他の機器(横並びなら正常)","")&amp;IF(AND(M71&lt;&gt;"",COUNTIFS(回路定義!$A:$A,A71,回路定義!$B:$B,M71)=0),"／回路1が定義にない","")&amp;IF(AND(P71&lt;&gt;"",COUNTIFS(回路定義!$A:$A,A71,回路定義!$B:$B,P71)=0),"／回路2が定義にない","")&amp;IF(AND(S71&lt;&gt;"",COUNTIFS(回路定義!$A:$A,A71,回路定義!$B:$B,S71)=0),"／回路3が定義にない",""),2,300)))</f>
        <v/>
      </c>
    </row>
    <row r="72">
      <c r="A72" s="5" t="inlineStr">
        <is>
          <t>E24-S8-3</t>
        </is>
      </c>
      <c r="B72" s="5" t="inlineStr">
        <is>
          <t>背面</t>
        </is>
      </c>
      <c r="C72" s="5" t="n">
        <v>40</v>
      </c>
      <c r="D72" s="5" t="n">
        <v>3</v>
      </c>
      <c r="E72" s="6">
        <f>IF(C72="","",C72+D72-1)</f>
        <v/>
      </c>
      <c r="F72" s="5" t="inlineStr">
        <is>
          <t>①ONU</t>
        </is>
      </c>
      <c r="G72" s="5" t="inlineStr"/>
      <c r="H72" s="5" t="inlineStr">
        <is>
          <t>Meraki</t>
        </is>
      </c>
      <c r="I72" s="5" t="inlineStr">
        <is>
          <t>AccessPoint</t>
        </is>
      </c>
      <c r="J72" s="5" t="n">
        <v>0.4</v>
      </c>
      <c r="K72" s="5" t="n">
        <v>100</v>
      </c>
      <c r="L72" s="5" t="n">
        <v>1</v>
      </c>
      <c r="M72" s="5" t="inlineStr">
        <is>
          <t>100V 20A （1）</t>
        </is>
      </c>
      <c r="N72" s="5" t="n">
        <v>0.18</v>
      </c>
      <c r="O72" s="5" t="n">
        <v>1</v>
      </c>
      <c r="P72" s="5" t="n"/>
      <c r="Q72" s="5" t="n"/>
      <c r="R72" s="5" t="n"/>
      <c r="S72" s="5" t="n"/>
      <c r="T72" s="5" t="n"/>
      <c r="U72" s="5" t="n"/>
      <c r="V72" s="5" t="inlineStr">
        <is>
          <t>棚</t>
        </is>
      </c>
      <c r="W72" s="5" t="inlineStr">
        <is>
          <t>１本</t>
        </is>
      </c>
      <c r="X72" s="5" t="inlineStr">
        <is>
          <t>※移設元ラックに機器無し</t>
        </is>
      </c>
      <c r="Y72" s="6">
        <f>COUNT(N72,Q72,T72)</f>
        <v/>
      </c>
      <c r="Z72" s="6">
        <f>IF(OR(K72="",NOT(ISNUMBER(K72))),"",K72*SUM(N72,Q72,T72))</f>
        <v/>
      </c>
      <c r="AA72" s="6">
        <f>IF(OR(Y72=0,N72=""),"",N72/Y72)</f>
        <v/>
      </c>
      <c r="AB72" s="6">
        <f>IF(OR(Y72=0,Q72=""),"",Q72/Y72)</f>
        <v/>
      </c>
      <c r="AC72" s="6">
        <f>IF(OR(Y72=0,T72=""),"",T72/Y72)</f>
        <v/>
      </c>
      <c r="AD72" s="6">
        <f>IF(F72="","",IF((IF(AND(Y72=0,NOT(SUMPRODUCT(--ISNUMBER(SEARCH({"棚板","棚","アングル","ｱﾝｸﾞﾙ","使用不可","ケーブル","ｹｰﾌﾞﾙ","PatchPnael","パッチ","引き出し","引出","ブランク","ﾌﾞﾗﾝｸ","マネージ","ﾏﾈｰｼﾞ","PDU","ONU"},$F72&amp;"")))&gt;0),NOT(SUMPRODUCT(--ISNUMBER(SEARCH({"電源オフ","未投入","停止","未使用","撤去"},$X72&amp;"")))&gt;0)),"／電力が未記入","")&amp;IF(AND(NOT(ISNUMBER(J72)),NOT(SUMPRODUCT(--ISNUMBER(SEARCH({"棚板","棚","アングル","ｱﾝｸﾞﾙ","使用不可","ケーブル","ｹｰﾌﾞﾙ","PatchPnael","パッチ","引き出し","引出","ブランク","ﾌﾞﾗﾝｸ","マネージ","ﾏﾈｰｼﾞ","PDU","ONU"},$F72&amp;"")))&gt;0)),"／重量が未記入","")&amp;IF(AND(K72&lt;&gt;"",NOT(ISNUMBER(K72))),"／電圧が数値でない","")&amp;IF(AND(N72&lt;&gt;"",NOT(ISNUMBER(N72))),"／電流が数値でない","")&amp;IF(AND(C72&lt;&gt;"",C72&lt;1),"／開始Uが1未満","")&amp;IF(AND(E72&lt;&gt;"",E72&gt;IFERROR(VLOOKUP(A72,ラック定義!$A:$B,2,FALSE),47)),"／総Uをはみ出す","")&amp;IF(AND(A72&lt;&gt;"",COUNTIF(ラック定義!$A:$A,A72)=0),"／ラックが定義にない","")&amp;IF(AND(SUMPRODUCT((機器台帳!$A$2:$A$400=$A72)*((機器台帳!$B$2:$B$400=$B72)+(機器台帳!$B$2:$B$400="両面")+($B72="両面")&gt;0)*(機器台帳!$C$2:$C$400&lt;=$C72+$D72-1)*(機器台帳!$C$2:$C$400+機器台帳!$D$2:$D$400-1&gt;=$C72)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72&amp;"")))&gt;0)),"／同じUに他の機器(横並びなら正常)","")&amp;IF(AND(M72&lt;&gt;"",COUNTIFS(回路定義!$A:$A,A72,回路定義!$B:$B,M72)=0),"／回路1が定義にない","")&amp;IF(AND(P72&lt;&gt;"",COUNTIFS(回路定義!$A:$A,A72,回路定義!$B:$B,P72)=0),"／回路2が定義にない","")&amp;IF(AND(S72&lt;&gt;"",COUNTIFS(回路定義!$A:$A,A72,回路定義!$B:$B,S72)=0),"／回路3が定義にない",""))="","",MID(IF(AND(Y72=0,NOT(SUMPRODUCT(--ISNUMBER(SEARCH({"棚板","棚","アングル","ｱﾝｸﾞﾙ","使用不可","ケーブル","ｹｰﾌﾞﾙ","PatchPnael","パッチ","引き出し","引出","ブランク","ﾌﾞﾗﾝｸ","マネージ","ﾏﾈｰｼﾞ","PDU","ONU"},$F72&amp;"")))&gt;0),NOT(SUMPRODUCT(--ISNUMBER(SEARCH({"電源オフ","未投入","停止","未使用","撤去"},$X72&amp;"")))&gt;0)),"／電力が未記入","")&amp;IF(AND(NOT(ISNUMBER(J72)),NOT(SUMPRODUCT(--ISNUMBER(SEARCH({"棚板","棚","アングル","ｱﾝｸﾞﾙ","使用不可","ケーブル","ｹｰﾌﾞﾙ","PatchPnael","パッチ","引き出し","引出","ブランク","ﾌﾞﾗﾝｸ","マネージ","ﾏﾈｰｼﾞ","PDU","ONU"},$F72&amp;"")))&gt;0)),"／重量が未記入","")&amp;IF(AND(K72&lt;&gt;"",NOT(ISNUMBER(K72))),"／電圧が数値でない","")&amp;IF(AND(N72&lt;&gt;"",NOT(ISNUMBER(N72))),"／電流が数値でない","")&amp;IF(AND(C72&lt;&gt;"",C72&lt;1),"／開始Uが1未満","")&amp;IF(AND(E72&lt;&gt;"",E72&gt;IFERROR(VLOOKUP(A72,ラック定義!$A:$B,2,FALSE),47)),"／総Uをはみ出す","")&amp;IF(AND(A72&lt;&gt;"",COUNTIF(ラック定義!$A:$A,A72)=0),"／ラックが定義にない","")&amp;IF(AND(SUMPRODUCT((機器台帳!$A$2:$A$400=$A72)*((機器台帳!$B$2:$B$400=$B72)+(機器台帳!$B$2:$B$400="両面")+($B72="両面")&gt;0)*(機器台帳!$C$2:$C$400&lt;=$C72+$D72-1)*(機器台帳!$C$2:$C$400+機器台帳!$D$2:$D$400-1&gt;=$C72)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72&amp;"")))&gt;0)),"／同じUに他の機器(横並びなら正常)","")&amp;IF(AND(M72&lt;&gt;"",COUNTIFS(回路定義!$A:$A,A72,回路定義!$B:$B,M72)=0),"／回路1が定義にない","")&amp;IF(AND(P72&lt;&gt;"",COUNTIFS(回路定義!$A:$A,A72,回路定義!$B:$B,P72)=0),"／回路2が定義にない","")&amp;IF(AND(S72&lt;&gt;"",COUNTIFS(回路定義!$A:$A,A72,回路定義!$B:$B,S72)=0),"／回路3が定義にない",""),2,300)))</f>
        <v/>
      </c>
    </row>
    <row r="73">
      <c r="A73" s="5" t="inlineStr">
        <is>
          <t>E24-S8-3</t>
        </is>
      </c>
      <c r="B73" s="5" t="inlineStr">
        <is>
          <t>前面</t>
        </is>
      </c>
      <c r="C73" s="5" t="n">
        <v>42</v>
      </c>
      <c r="D73" s="5" t="n">
        <v>1</v>
      </c>
      <c r="E73" s="6">
        <f>IF(C73="","",C73+D73-1)</f>
        <v/>
      </c>
      <c r="F73" s="5" t="inlineStr">
        <is>
          <t>①MX64</t>
        </is>
      </c>
      <c r="G73" s="5" t="inlineStr">
        <is>
          <t>H2006989</t>
        </is>
      </c>
      <c r="H73" s="5" t="inlineStr">
        <is>
          <t>Meraki</t>
        </is>
      </c>
      <c r="I73" s="5" t="inlineStr">
        <is>
          <t>Firewall</t>
        </is>
      </c>
      <c r="J73" s="5" t="n">
        <v>1</v>
      </c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inlineStr">
        <is>
          <t>棚</t>
        </is>
      </c>
      <c r="W73" s="5" t="inlineStr">
        <is>
          <t>１本</t>
        </is>
      </c>
      <c r="X73" s="5" t="inlineStr">
        <is>
          <t>※移設元ラックに機器無し</t>
        </is>
      </c>
      <c r="Y73" s="6">
        <f>COUNT(N73,Q73,T73)</f>
        <v/>
      </c>
      <c r="Z73" s="6">
        <f>IF(OR(K73="",NOT(ISNUMBER(K73))),"",K73*SUM(N73,Q73,T73))</f>
        <v/>
      </c>
      <c r="AA73" s="6">
        <f>IF(OR(Y73=0,N73=""),"",N73/Y73)</f>
        <v/>
      </c>
      <c r="AB73" s="6">
        <f>IF(OR(Y73=0,Q73=""),"",Q73/Y73)</f>
        <v/>
      </c>
      <c r="AC73" s="6">
        <f>IF(OR(Y73=0,T73=""),"",T73/Y73)</f>
        <v/>
      </c>
      <c r="AD73" s="6">
        <f>IF(F73="","",IF((IF(AND(Y73=0,NOT(SUMPRODUCT(--ISNUMBER(SEARCH({"棚板","棚","アングル","ｱﾝｸﾞﾙ","使用不可","ケーブル","ｹｰﾌﾞﾙ","PatchPnael","パッチ","引き出し","引出","ブランク","ﾌﾞﾗﾝｸ","マネージ","ﾏﾈｰｼﾞ","PDU","ONU"},$F73&amp;"")))&gt;0),NOT(SUMPRODUCT(--ISNUMBER(SEARCH({"電源オフ","未投入","停止","未使用","撤去"},$X73&amp;"")))&gt;0)),"／電力が未記入","")&amp;IF(AND(NOT(ISNUMBER(J73)),NOT(SUMPRODUCT(--ISNUMBER(SEARCH({"棚板","棚","アングル","ｱﾝｸﾞﾙ","使用不可","ケーブル","ｹｰﾌﾞﾙ","PatchPnael","パッチ","引き出し","引出","ブランク","ﾌﾞﾗﾝｸ","マネージ","ﾏﾈｰｼﾞ","PDU","ONU"},$F73&amp;"")))&gt;0)),"／重量が未記入","")&amp;IF(AND(K73&lt;&gt;"",NOT(ISNUMBER(K73))),"／電圧が数値でない","")&amp;IF(AND(N73&lt;&gt;"",NOT(ISNUMBER(N73))),"／電流が数値でない","")&amp;IF(AND(C73&lt;&gt;"",C73&lt;1),"／開始Uが1未満","")&amp;IF(AND(E73&lt;&gt;"",E73&gt;IFERROR(VLOOKUP(A73,ラック定義!$A:$B,2,FALSE),47)),"／総Uをはみ出す","")&amp;IF(AND(A73&lt;&gt;"",COUNTIF(ラック定義!$A:$A,A73)=0),"／ラックが定義にない","")&amp;IF(AND(SUMPRODUCT((機器台帳!$A$2:$A$400=$A73)*((機器台帳!$B$2:$B$400=$B73)+(機器台帳!$B$2:$B$400="両面")+($B73="両面")&gt;0)*(機器台帳!$C$2:$C$400&lt;=$C73+$D73-1)*(機器台帳!$C$2:$C$400+機器台帳!$D$2:$D$400-1&gt;=$C73)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73&amp;"")))&gt;0)),"／同じUに他の機器(横並びなら正常)","")&amp;IF(AND(M73&lt;&gt;"",COUNTIFS(回路定義!$A:$A,A73,回路定義!$B:$B,M73)=0),"／回路1が定義にない","")&amp;IF(AND(P73&lt;&gt;"",COUNTIFS(回路定義!$A:$A,A73,回路定義!$B:$B,P73)=0),"／回路2が定義にない","")&amp;IF(AND(S73&lt;&gt;"",COUNTIFS(回路定義!$A:$A,A73,回路定義!$B:$B,S73)=0),"／回路3が定義にない",""))="","",MID(IF(AND(Y73=0,NOT(SUMPRODUCT(--ISNUMBER(SEARCH({"棚板","棚","アングル","ｱﾝｸﾞﾙ","使用不可","ケーブル","ｹｰﾌﾞﾙ","PatchPnael","パッチ","引き出し","引出","ブランク","ﾌﾞﾗﾝｸ","マネージ","ﾏﾈｰｼﾞ","PDU","ONU"},$F73&amp;"")))&gt;0),NOT(SUMPRODUCT(--ISNUMBER(SEARCH({"電源オフ","未投入","停止","未使用","撤去"},$X73&amp;"")))&gt;0)),"／電力が未記入","")&amp;IF(AND(NOT(ISNUMBER(J73)),NOT(SUMPRODUCT(--ISNUMBER(SEARCH({"棚板","棚","アングル","ｱﾝｸﾞﾙ","使用不可","ケーブル","ｹｰﾌﾞﾙ","PatchPnael","パッチ","引き出し","引出","ブランク","ﾌﾞﾗﾝｸ","マネージ","ﾏﾈｰｼﾞ","PDU","ONU"},$F73&amp;"")))&gt;0)),"／重量が未記入","")&amp;IF(AND(K73&lt;&gt;"",NOT(ISNUMBER(K73))),"／電圧が数値でない","")&amp;IF(AND(N73&lt;&gt;"",NOT(ISNUMBER(N73))),"／電流が数値でない","")&amp;IF(AND(C73&lt;&gt;"",C73&lt;1),"／開始Uが1未満","")&amp;IF(AND(E73&lt;&gt;"",E73&gt;IFERROR(VLOOKUP(A73,ラック定義!$A:$B,2,FALSE),47)),"／総Uをはみ出す","")&amp;IF(AND(A73&lt;&gt;"",COUNTIF(ラック定義!$A:$A,A73)=0),"／ラックが定義にない","")&amp;IF(AND(SUMPRODUCT((機器台帳!$A$2:$A$400=$A73)*((機器台帳!$B$2:$B$400=$B73)+(機器台帳!$B$2:$B$400="両面")+($B73="両面")&gt;0)*(機器台帳!$C$2:$C$400&lt;=$C73+$D73-1)*(機器台帳!$C$2:$C$400+機器台帳!$D$2:$D$400-1&gt;=$C73)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73&amp;"")))&gt;0)),"／同じUに他の機器(横並びなら正常)","")&amp;IF(AND(M73&lt;&gt;"",COUNTIFS(回路定義!$A:$A,A73,回路定義!$B:$B,M73)=0),"／回路1が定義にない","")&amp;IF(AND(P73&lt;&gt;"",COUNTIFS(回路定義!$A:$A,A73,回路定義!$B:$B,P73)=0),"／回路2が定義にない","")&amp;IF(AND(S73&lt;&gt;"",COUNTIFS(回路定義!$A:$A,A73,回路定義!$B:$B,S73)=0),"／回路3が定義にない",""),2,300)))</f>
        <v/>
      </c>
    </row>
    <row r="74">
      <c r="A74" s="5" t="inlineStr">
        <is>
          <t>E24-S8-3</t>
        </is>
      </c>
      <c r="B74" s="5" t="inlineStr">
        <is>
          <t>背面</t>
        </is>
      </c>
      <c r="C74" s="5" t="n">
        <v>42</v>
      </c>
      <c r="D74" s="5" t="n">
        <v>1</v>
      </c>
      <c r="E74" s="6">
        <f>IF(C74="","",C74+D74-1)</f>
        <v/>
      </c>
      <c r="F74" s="5" t="inlineStr">
        <is>
          <t>③MR33</t>
        </is>
      </c>
      <c r="G74" s="5" t="inlineStr">
        <is>
          <t>H1909174</t>
        </is>
      </c>
      <c r="H74" s="5" t="inlineStr">
        <is>
          <t>Meraki</t>
        </is>
      </c>
      <c r="I74" s="5" t="inlineStr">
        <is>
          <t>AccessPoint</t>
        </is>
      </c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inlineStr">
        <is>
          <t>棚</t>
        </is>
      </c>
      <c r="W74" s="5" t="inlineStr">
        <is>
          <t>１本</t>
        </is>
      </c>
      <c r="X74" s="5" t="inlineStr">
        <is>
          <t>※移設元ラックに機器無し</t>
        </is>
      </c>
      <c r="Y74" s="6">
        <f>COUNT(N74,Q74,T74)</f>
        <v/>
      </c>
      <c r="Z74" s="6">
        <f>IF(OR(K74="",NOT(ISNUMBER(K74))),"",K74*SUM(N74,Q74,T74))</f>
        <v/>
      </c>
      <c r="AA74" s="6">
        <f>IF(OR(Y74=0,N74=""),"",N74/Y74)</f>
        <v/>
      </c>
      <c r="AB74" s="6">
        <f>IF(OR(Y74=0,Q74=""),"",Q74/Y74)</f>
        <v/>
      </c>
      <c r="AC74" s="6">
        <f>IF(OR(Y74=0,T74=""),"",T74/Y74)</f>
        <v/>
      </c>
      <c r="AD74" s="6">
        <f>IF(F74="","",IF((IF(AND(Y74=0,NOT(SUMPRODUCT(--ISNUMBER(SEARCH({"棚板","棚","アングル","ｱﾝｸﾞﾙ","使用不可","ケーブル","ｹｰﾌﾞﾙ","PatchPnael","パッチ","引き出し","引出","ブランク","ﾌﾞﾗﾝｸ","マネージ","ﾏﾈｰｼﾞ","PDU","ONU"},$F74&amp;"")))&gt;0),NOT(SUMPRODUCT(--ISNUMBER(SEARCH({"電源オフ","未投入","停止","未使用","撤去"},$X74&amp;"")))&gt;0)),"／電力が未記入","")&amp;IF(AND(NOT(ISNUMBER(J74)),NOT(SUMPRODUCT(--ISNUMBER(SEARCH({"棚板","棚","アングル","ｱﾝｸﾞﾙ","使用不可","ケーブル","ｹｰﾌﾞﾙ","PatchPnael","パッチ","引き出し","引出","ブランク","ﾌﾞﾗﾝｸ","マネージ","ﾏﾈｰｼﾞ","PDU","ONU"},$F74&amp;"")))&gt;0)),"／重量が未記入","")&amp;IF(AND(K74&lt;&gt;"",NOT(ISNUMBER(K74))),"／電圧が数値でない","")&amp;IF(AND(N74&lt;&gt;"",NOT(ISNUMBER(N74))),"／電流が数値でない","")&amp;IF(AND(C74&lt;&gt;"",C74&lt;1),"／開始Uが1未満","")&amp;IF(AND(E74&lt;&gt;"",E74&gt;IFERROR(VLOOKUP(A74,ラック定義!$A:$B,2,FALSE),47)),"／総Uをはみ出す","")&amp;IF(AND(A74&lt;&gt;"",COUNTIF(ラック定義!$A:$A,A74)=0),"／ラックが定義にない","")&amp;IF(AND(SUMPRODUCT((機器台帳!$A$2:$A$400=$A74)*((機器台帳!$B$2:$B$400=$B74)+(機器台帳!$B$2:$B$400="両面")+($B74="両面")&gt;0)*(機器台帳!$C$2:$C$400&lt;=$C74+$D74-1)*(機器台帳!$C$2:$C$400+機器台帳!$D$2:$D$400-1&gt;=$C74)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74&amp;"")))&gt;0)),"／同じUに他の機器(横並びなら正常)","")&amp;IF(AND(M74&lt;&gt;"",COUNTIFS(回路定義!$A:$A,A74,回路定義!$B:$B,M74)=0),"／回路1が定義にない","")&amp;IF(AND(P74&lt;&gt;"",COUNTIFS(回路定義!$A:$A,A74,回路定義!$B:$B,P74)=0),"／回路2が定義にない","")&amp;IF(AND(S74&lt;&gt;"",COUNTIFS(回路定義!$A:$A,A74,回路定義!$B:$B,S74)=0),"／回路3が定義にない",""))="","",MID(IF(AND(Y74=0,NOT(SUMPRODUCT(--ISNUMBER(SEARCH({"棚板","棚","アングル","ｱﾝｸﾞﾙ","使用不可","ケーブル","ｹｰﾌﾞﾙ","PatchPnael","パッチ","引き出し","引出","ブランク","ﾌﾞﾗﾝｸ","マネージ","ﾏﾈｰｼﾞ","PDU","ONU"},$F74&amp;"")))&gt;0),NOT(SUMPRODUCT(--ISNUMBER(SEARCH({"電源オフ","未投入","停止","未使用","撤去"},$X74&amp;"")))&gt;0)),"／電力が未記入","")&amp;IF(AND(NOT(ISNUMBER(J74)),NOT(SUMPRODUCT(--ISNUMBER(SEARCH({"棚板","棚","アングル","ｱﾝｸﾞﾙ","使用不可","ケーブル","ｹｰﾌﾞﾙ","PatchPnael","パッチ","引き出し","引出","ブランク","ﾌﾞﾗﾝｸ","マネージ","ﾏﾈｰｼﾞ","PDU","ONU"},$F74&amp;"")))&gt;0)),"／重量が未記入","")&amp;IF(AND(K74&lt;&gt;"",NOT(ISNUMBER(K74))),"／電圧が数値でない","")&amp;IF(AND(N74&lt;&gt;"",NOT(ISNUMBER(N74))),"／電流が数値でない","")&amp;IF(AND(C74&lt;&gt;"",C74&lt;1),"／開始Uが1未満","")&amp;IF(AND(E74&lt;&gt;"",E74&gt;IFERROR(VLOOKUP(A74,ラック定義!$A:$B,2,FALSE),47)),"／総Uをはみ出す","")&amp;IF(AND(A74&lt;&gt;"",COUNTIF(ラック定義!$A:$A,A74)=0),"／ラックが定義にない","")&amp;IF(AND(SUMPRODUCT((機器台帳!$A$2:$A$400=$A74)*((機器台帳!$B$2:$B$400=$B74)+(機器台帳!$B$2:$B$400="両面")+($B74="両面")&gt;0)*(機器台帳!$C$2:$C$400&lt;=$C74+$D74-1)*(機器台帳!$C$2:$C$400+機器台帳!$D$2:$D$400-1&gt;=$C74)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74&amp;"")))&gt;0)),"／同じUに他の機器(横並びなら正常)","")&amp;IF(AND(M74&lt;&gt;"",COUNTIFS(回路定義!$A:$A,A74,回路定義!$B:$B,M74)=0),"／回路1が定義にない","")&amp;IF(AND(P74&lt;&gt;"",COUNTIFS(回路定義!$A:$A,A74,回路定義!$B:$B,P74)=0),"／回路2が定義にない","")&amp;IF(AND(S74&lt;&gt;"",COUNTIFS(回路定義!$A:$A,A74,回路定義!$B:$B,S74)=0),"／回路3が定義にない",""),2,300)))</f>
        <v/>
      </c>
    </row>
    <row r="75">
      <c r="A75" s="5" t="inlineStr">
        <is>
          <t>E24-S8-3</t>
        </is>
      </c>
      <c r="B75" s="5" t="inlineStr">
        <is>
          <t>前面</t>
        </is>
      </c>
      <c r="C75" s="5" t="n">
        <v>41</v>
      </c>
      <c r="D75" s="5" t="n">
        <v>1</v>
      </c>
      <c r="E75" s="6">
        <f>IF(C75="","",C75+D75-1)</f>
        <v/>
      </c>
      <c r="F75" s="5" t="inlineStr">
        <is>
          <t>②MX64</t>
        </is>
      </c>
      <c r="G75" s="5" t="inlineStr">
        <is>
          <t>H1916299</t>
        </is>
      </c>
      <c r="H75" s="5" t="inlineStr">
        <is>
          <t>Meraki</t>
        </is>
      </c>
      <c r="I75" s="5" t="inlineStr">
        <is>
          <t>Firewall</t>
        </is>
      </c>
      <c r="J75" s="5" t="n">
        <v>1</v>
      </c>
      <c r="K75" s="5" t="n">
        <v>100</v>
      </c>
      <c r="L75" s="5" t="n">
        <v>1</v>
      </c>
      <c r="M75" s="5" t="inlineStr">
        <is>
          <t>100V 20A （1）</t>
        </is>
      </c>
      <c r="N75" s="5" t="n">
        <v>0.18</v>
      </c>
      <c r="O75" s="5" t="n">
        <v>1</v>
      </c>
      <c r="P75" s="5" t="n"/>
      <c r="Q75" s="5" t="n"/>
      <c r="R75" s="5" t="n"/>
      <c r="S75" s="5" t="n"/>
      <c r="T75" s="5" t="n"/>
      <c r="U75" s="5" t="n"/>
      <c r="V75" s="5" t="inlineStr">
        <is>
          <t>棚</t>
        </is>
      </c>
      <c r="W75" s="5" t="inlineStr">
        <is>
          <t>１本</t>
        </is>
      </c>
      <c r="X75" s="5" t="inlineStr"/>
      <c r="Y75" s="6">
        <f>COUNT(N75,Q75,T75)</f>
        <v/>
      </c>
      <c r="Z75" s="6">
        <f>IF(OR(K75="",NOT(ISNUMBER(K75))),"",K75*SUM(N75,Q75,T75))</f>
        <v/>
      </c>
      <c r="AA75" s="6">
        <f>IF(OR(Y75=0,N75=""),"",N75/Y75)</f>
        <v/>
      </c>
      <c r="AB75" s="6">
        <f>IF(OR(Y75=0,Q75=""),"",Q75/Y75)</f>
        <v/>
      </c>
      <c r="AC75" s="6">
        <f>IF(OR(Y75=0,T75=""),"",T75/Y75)</f>
        <v/>
      </c>
      <c r="AD75" s="6">
        <f>IF(F75="","",IF((IF(AND(Y75=0,NOT(SUMPRODUCT(--ISNUMBER(SEARCH({"棚板","棚","アングル","ｱﾝｸﾞﾙ","使用不可","ケーブル","ｹｰﾌﾞﾙ","PatchPnael","パッチ","引き出し","引出","ブランク","ﾌﾞﾗﾝｸ","マネージ","ﾏﾈｰｼﾞ","PDU","ONU"},$F75&amp;"")))&gt;0),NOT(SUMPRODUCT(--ISNUMBER(SEARCH({"電源オフ","未投入","停止","未使用","撤去"},$X75&amp;"")))&gt;0)),"／電力が未記入","")&amp;IF(AND(NOT(ISNUMBER(J75)),NOT(SUMPRODUCT(--ISNUMBER(SEARCH({"棚板","棚","アングル","ｱﾝｸﾞﾙ","使用不可","ケーブル","ｹｰﾌﾞﾙ","PatchPnael","パッチ","引き出し","引出","ブランク","ﾌﾞﾗﾝｸ","マネージ","ﾏﾈｰｼﾞ","PDU","ONU"},$F75&amp;"")))&gt;0)),"／重量が未記入","")&amp;IF(AND(K75&lt;&gt;"",NOT(ISNUMBER(K75))),"／電圧が数値でない","")&amp;IF(AND(N75&lt;&gt;"",NOT(ISNUMBER(N75))),"／電流が数値でない","")&amp;IF(AND(C75&lt;&gt;"",C75&lt;1),"／開始Uが1未満","")&amp;IF(AND(E75&lt;&gt;"",E75&gt;IFERROR(VLOOKUP(A75,ラック定義!$A:$B,2,FALSE),47)),"／総Uをはみ出す","")&amp;IF(AND(A75&lt;&gt;"",COUNTIF(ラック定義!$A:$A,A75)=0),"／ラックが定義にない","")&amp;IF(AND(SUMPRODUCT((機器台帳!$A$2:$A$400=$A75)*((機器台帳!$B$2:$B$400=$B75)+(機器台帳!$B$2:$B$400="両面")+($B75="両面")&gt;0)*(機器台帳!$C$2:$C$400&lt;=$C75+$D75-1)*(機器台帳!$C$2:$C$400+機器台帳!$D$2:$D$400-1&gt;=$C75)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75&amp;"")))&gt;0)),"／同じUに他の機器(横並びなら正常)","")&amp;IF(AND(M75&lt;&gt;"",COUNTIFS(回路定義!$A:$A,A75,回路定義!$B:$B,M75)=0),"／回路1が定義にない","")&amp;IF(AND(P75&lt;&gt;"",COUNTIFS(回路定義!$A:$A,A75,回路定義!$B:$B,P75)=0),"／回路2が定義にない","")&amp;IF(AND(S75&lt;&gt;"",COUNTIFS(回路定義!$A:$A,A75,回路定義!$B:$B,S75)=0),"／回路3が定義にない",""))="","",MID(IF(AND(Y75=0,NOT(SUMPRODUCT(--ISNUMBER(SEARCH({"棚板","棚","アングル","ｱﾝｸﾞﾙ","使用不可","ケーブル","ｹｰﾌﾞﾙ","PatchPnael","パッチ","引き出し","引出","ブランク","ﾌﾞﾗﾝｸ","マネージ","ﾏﾈｰｼﾞ","PDU","ONU"},$F75&amp;"")))&gt;0),NOT(SUMPRODUCT(--ISNUMBER(SEARCH({"電源オフ","未投入","停止","未使用","撤去"},$X75&amp;"")))&gt;0)),"／電力が未記入","")&amp;IF(AND(NOT(ISNUMBER(J75)),NOT(SUMPRODUCT(--ISNUMBER(SEARCH({"棚板","棚","アングル","ｱﾝｸﾞﾙ","使用不可","ケーブル","ｹｰﾌﾞﾙ","PatchPnael","パッチ","引き出し","引出","ブランク","ﾌﾞﾗﾝｸ","マネージ","ﾏﾈｰｼﾞ","PDU","ONU"},$F75&amp;"")))&gt;0)),"／重量が未記入","")&amp;IF(AND(K75&lt;&gt;"",NOT(ISNUMBER(K75))),"／電圧が数値でない","")&amp;IF(AND(N75&lt;&gt;"",NOT(ISNUMBER(N75))),"／電流が数値でない","")&amp;IF(AND(C75&lt;&gt;"",C75&lt;1),"／開始Uが1未満","")&amp;IF(AND(E75&lt;&gt;"",E75&gt;IFERROR(VLOOKUP(A75,ラック定義!$A:$B,2,FALSE),47)),"／総Uをはみ出す","")&amp;IF(AND(A75&lt;&gt;"",COUNTIF(ラック定義!$A:$A,A75)=0),"／ラックが定義にない","")&amp;IF(AND(SUMPRODUCT((機器台帳!$A$2:$A$400=$A75)*((機器台帳!$B$2:$B$400=$B75)+(機器台帳!$B$2:$B$400="両面")+($B75="両面")&gt;0)*(機器台帳!$C$2:$C$400&lt;=$C75+$D75-1)*(機器台帳!$C$2:$C$400+機器台帳!$D$2:$D$400-1&gt;=$C75)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75&amp;"")))&gt;0)),"／同じUに他の機器(横並びなら正常)","")&amp;IF(AND(M75&lt;&gt;"",COUNTIFS(回路定義!$A:$A,A75,回路定義!$B:$B,M75)=0),"／回路1が定義にない","")&amp;IF(AND(P75&lt;&gt;"",COUNTIFS(回路定義!$A:$A,A75,回路定義!$B:$B,P75)=0),"／回路2が定義にない","")&amp;IF(AND(S75&lt;&gt;"",COUNTIFS(回路定義!$A:$A,A75,回路定義!$B:$B,S75)=0),"／回路3が定義にない",""),2,300)))</f>
        <v/>
      </c>
    </row>
    <row r="76">
      <c r="A76" s="5" t="inlineStr">
        <is>
          <t>E24-S8-3</t>
        </is>
      </c>
      <c r="B76" s="5" t="inlineStr">
        <is>
          <t>前面</t>
        </is>
      </c>
      <c r="C76" s="5" t="n">
        <v>41</v>
      </c>
      <c r="D76" s="5" t="n">
        <v>1</v>
      </c>
      <c r="E76" s="6">
        <f>IF(C76="","",C76+D76-1)</f>
        <v/>
      </c>
      <c r="F76" s="5" t="inlineStr">
        <is>
          <t>⑥MS120</t>
        </is>
      </c>
      <c r="G76" s="5" t="inlineStr">
        <is>
          <t>H2006987</t>
        </is>
      </c>
      <c r="H76" s="5" t="inlineStr">
        <is>
          <t>Meraki</t>
        </is>
      </c>
      <c r="I76" s="5" t="inlineStr">
        <is>
          <t>Firewall</t>
        </is>
      </c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inlineStr">
        <is>
          <t>棚</t>
        </is>
      </c>
      <c r="W76" s="5" t="inlineStr">
        <is>
          <t>１本</t>
        </is>
      </c>
      <c r="X76" s="5" t="inlineStr"/>
      <c r="Y76" s="6">
        <f>COUNT(N76,Q76,T76)</f>
        <v/>
      </c>
      <c r="Z76" s="6">
        <f>IF(OR(K76="",NOT(ISNUMBER(K76))),"",K76*SUM(N76,Q76,T76))</f>
        <v/>
      </c>
      <c r="AA76" s="6">
        <f>IF(OR(Y76=0,N76=""),"",N76/Y76)</f>
        <v/>
      </c>
      <c r="AB76" s="6">
        <f>IF(OR(Y76=0,Q76=""),"",Q76/Y76)</f>
        <v/>
      </c>
      <c r="AC76" s="6">
        <f>IF(OR(Y76=0,T76=""),"",T76/Y76)</f>
        <v/>
      </c>
      <c r="AD76" s="6">
        <f>IF(F76="","",IF((IF(AND(Y76=0,NOT(SUMPRODUCT(--ISNUMBER(SEARCH({"棚板","棚","アングル","ｱﾝｸﾞﾙ","使用不可","ケーブル","ｹｰﾌﾞﾙ","PatchPnael","パッチ","引き出し","引出","ブランク","ﾌﾞﾗﾝｸ","マネージ","ﾏﾈｰｼﾞ","PDU","ONU"},$F76&amp;"")))&gt;0),NOT(SUMPRODUCT(--ISNUMBER(SEARCH({"電源オフ","未投入","停止","未使用","撤去"},$X76&amp;"")))&gt;0)),"／電力が未記入","")&amp;IF(AND(NOT(ISNUMBER(J76)),NOT(SUMPRODUCT(--ISNUMBER(SEARCH({"棚板","棚","アングル","ｱﾝｸﾞﾙ","使用不可","ケーブル","ｹｰﾌﾞﾙ","PatchPnael","パッチ","引き出し","引出","ブランク","ﾌﾞﾗﾝｸ","マネージ","ﾏﾈｰｼﾞ","PDU","ONU"},$F76&amp;"")))&gt;0)),"／重量が未記入","")&amp;IF(AND(K76&lt;&gt;"",NOT(ISNUMBER(K76))),"／電圧が数値でない","")&amp;IF(AND(N76&lt;&gt;"",NOT(ISNUMBER(N76))),"／電流が数値でない","")&amp;IF(AND(C76&lt;&gt;"",C76&lt;1),"／開始Uが1未満","")&amp;IF(AND(E76&lt;&gt;"",E76&gt;IFERROR(VLOOKUP(A76,ラック定義!$A:$B,2,FALSE),47)),"／総Uをはみ出す","")&amp;IF(AND(A76&lt;&gt;"",COUNTIF(ラック定義!$A:$A,A76)=0),"／ラックが定義にない","")&amp;IF(AND(SUMPRODUCT((機器台帳!$A$2:$A$400=$A76)*((機器台帳!$B$2:$B$400=$B76)+(機器台帳!$B$2:$B$400="両面")+($B76="両面")&gt;0)*(機器台帳!$C$2:$C$400&lt;=$C76+$D76-1)*(機器台帳!$C$2:$C$400+機器台帳!$D$2:$D$400-1&gt;=$C76)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76&amp;"")))&gt;0)),"／同じUに他の機器(横並びなら正常)","")&amp;IF(AND(M76&lt;&gt;"",COUNTIFS(回路定義!$A:$A,A76,回路定義!$B:$B,M76)=0),"／回路1が定義にない","")&amp;IF(AND(P76&lt;&gt;"",COUNTIFS(回路定義!$A:$A,A76,回路定義!$B:$B,P76)=0),"／回路2が定義にない","")&amp;IF(AND(S76&lt;&gt;"",COUNTIFS(回路定義!$A:$A,A76,回路定義!$B:$B,S76)=0),"／回路3が定義にない",""))="","",MID(IF(AND(Y76=0,NOT(SUMPRODUCT(--ISNUMBER(SEARCH({"棚板","棚","アングル","ｱﾝｸﾞﾙ","使用不可","ケーブル","ｹｰﾌﾞﾙ","PatchPnael","パッチ","引き出し","引出","ブランク","ﾌﾞﾗﾝｸ","マネージ","ﾏﾈｰｼﾞ","PDU","ONU"},$F76&amp;"")))&gt;0),NOT(SUMPRODUCT(--ISNUMBER(SEARCH({"電源オフ","未投入","停止","未使用","撤去"},$X76&amp;"")))&gt;0)),"／電力が未記入","")&amp;IF(AND(NOT(ISNUMBER(J76)),NOT(SUMPRODUCT(--ISNUMBER(SEARCH({"棚板","棚","アングル","ｱﾝｸﾞﾙ","使用不可","ケーブル","ｹｰﾌﾞﾙ","PatchPnael","パッチ","引き出し","引出","ブランク","ﾌﾞﾗﾝｸ","マネージ","ﾏﾈｰｼﾞ","PDU","ONU"},$F76&amp;"")))&gt;0)),"／重量が未記入","")&amp;IF(AND(K76&lt;&gt;"",NOT(ISNUMBER(K76))),"／電圧が数値でない","")&amp;IF(AND(N76&lt;&gt;"",NOT(ISNUMBER(N76))),"／電流が数値でない","")&amp;IF(AND(C76&lt;&gt;"",C76&lt;1),"／開始Uが1未満","")&amp;IF(AND(E76&lt;&gt;"",E76&gt;IFERROR(VLOOKUP(A76,ラック定義!$A:$B,2,FALSE),47)),"／総Uをはみ出す","")&amp;IF(AND(A76&lt;&gt;"",COUNTIF(ラック定義!$A:$A,A76)=0),"／ラックが定義にない","")&amp;IF(AND(SUMPRODUCT((機器台帳!$A$2:$A$400=$A76)*((機器台帳!$B$2:$B$400=$B76)+(機器台帳!$B$2:$B$400="両面")+($B76="両面")&gt;0)*(機器台帳!$C$2:$C$400&lt;=$C76+$D76-1)*(機器台帳!$C$2:$C$400+機器台帳!$D$2:$D$400-1&gt;=$C76)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76&amp;"")))&gt;0)),"／同じUに他の機器(横並びなら正常)","")&amp;IF(AND(M76&lt;&gt;"",COUNTIFS(回路定義!$A:$A,A76,回路定義!$B:$B,M76)=0),"／回路1が定義にない","")&amp;IF(AND(P76&lt;&gt;"",COUNTIFS(回路定義!$A:$A,A76,回路定義!$B:$B,P76)=0),"／回路2が定義にない","")&amp;IF(AND(S76&lt;&gt;"",COUNTIFS(回路定義!$A:$A,A76,回路定義!$B:$B,S76)=0),"／回路3が定義にない",""),2,300)))</f>
        <v/>
      </c>
    </row>
    <row r="77">
      <c r="A77" s="5" t="inlineStr">
        <is>
          <t>E24-S8-3</t>
        </is>
      </c>
      <c r="B77" s="5" t="inlineStr">
        <is>
          <t>背面</t>
        </is>
      </c>
      <c r="C77" s="5" t="n">
        <v>41</v>
      </c>
      <c r="D77" s="5" t="n">
        <v>1</v>
      </c>
      <c r="E77" s="6">
        <f>IF(C77="","",C77+D77-1)</f>
        <v/>
      </c>
      <c r="F77" s="5" t="inlineStr">
        <is>
          <t>④MR33</t>
        </is>
      </c>
      <c r="G77" s="5" t="inlineStr">
        <is>
          <t>H1909176</t>
        </is>
      </c>
      <c r="H77" s="5" t="inlineStr">
        <is>
          <t>Meraki</t>
        </is>
      </c>
      <c r="I77" s="5" t="inlineStr">
        <is>
          <t>Firewall</t>
        </is>
      </c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inlineStr">
        <is>
          <t>棚</t>
        </is>
      </c>
      <c r="W77" s="5" t="inlineStr">
        <is>
          <t>１本</t>
        </is>
      </c>
      <c r="X77" s="5" t="inlineStr"/>
      <c r="Y77" s="6">
        <f>COUNT(N77,Q77,T77)</f>
        <v/>
      </c>
      <c r="Z77" s="6">
        <f>IF(OR(K77="",NOT(ISNUMBER(K77))),"",K77*SUM(N77,Q77,T77))</f>
        <v/>
      </c>
      <c r="AA77" s="6">
        <f>IF(OR(Y77=0,N77=""),"",N77/Y77)</f>
        <v/>
      </c>
      <c r="AB77" s="6">
        <f>IF(OR(Y77=0,Q77=""),"",Q77/Y77)</f>
        <v/>
      </c>
      <c r="AC77" s="6">
        <f>IF(OR(Y77=0,T77=""),"",T77/Y77)</f>
        <v/>
      </c>
      <c r="AD77" s="6">
        <f>IF(F77="","",IF((IF(AND(Y77=0,NOT(SUMPRODUCT(--ISNUMBER(SEARCH({"棚板","棚","アングル","ｱﾝｸﾞﾙ","使用不可","ケーブル","ｹｰﾌﾞﾙ","PatchPnael","パッチ","引き出し","引出","ブランク","ﾌﾞﾗﾝｸ","マネージ","ﾏﾈｰｼﾞ","PDU","ONU"},$F77&amp;"")))&gt;0),NOT(SUMPRODUCT(--ISNUMBER(SEARCH({"電源オフ","未投入","停止","未使用","撤去"},$X77&amp;"")))&gt;0)),"／電力が未記入","")&amp;IF(AND(NOT(ISNUMBER(J77)),NOT(SUMPRODUCT(--ISNUMBER(SEARCH({"棚板","棚","アングル","ｱﾝｸﾞﾙ","使用不可","ケーブル","ｹｰﾌﾞﾙ","PatchPnael","パッチ","引き出し","引出","ブランク","ﾌﾞﾗﾝｸ","マネージ","ﾏﾈｰｼﾞ","PDU","ONU"},$F77&amp;"")))&gt;0)),"／重量が未記入","")&amp;IF(AND(K77&lt;&gt;"",NOT(ISNUMBER(K77))),"／電圧が数値でない","")&amp;IF(AND(N77&lt;&gt;"",NOT(ISNUMBER(N77))),"／電流が数値でない","")&amp;IF(AND(C77&lt;&gt;"",C77&lt;1),"／開始Uが1未満","")&amp;IF(AND(E77&lt;&gt;"",E77&gt;IFERROR(VLOOKUP(A77,ラック定義!$A:$B,2,FALSE),47)),"／総Uをはみ出す","")&amp;IF(AND(A77&lt;&gt;"",COUNTIF(ラック定義!$A:$A,A77)=0),"／ラックが定義にない","")&amp;IF(AND(SUMPRODUCT((機器台帳!$A$2:$A$400=$A77)*((機器台帳!$B$2:$B$400=$B77)+(機器台帳!$B$2:$B$400="両面")+($B77="両面")&gt;0)*(機器台帳!$C$2:$C$400&lt;=$C77+$D77-1)*(機器台帳!$C$2:$C$400+機器台帳!$D$2:$D$400-1&gt;=$C77)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77&amp;"")))&gt;0)),"／同じUに他の機器(横並びなら正常)","")&amp;IF(AND(M77&lt;&gt;"",COUNTIFS(回路定義!$A:$A,A77,回路定義!$B:$B,M77)=0),"／回路1が定義にない","")&amp;IF(AND(P77&lt;&gt;"",COUNTIFS(回路定義!$A:$A,A77,回路定義!$B:$B,P77)=0),"／回路2が定義にない","")&amp;IF(AND(S77&lt;&gt;"",COUNTIFS(回路定義!$A:$A,A77,回路定義!$B:$B,S77)=0),"／回路3が定義にない",""))="","",MID(IF(AND(Y77=0,NOT(SUMPRODUCT(--ISNUMBER(SEARCH({"棚板","棚","アングル","ｱﾝｸﾞﾙ","使用不可","ケーブル","ｹｰﾌﾞﾙ","PatchPnael","パッチ","引き出し","引出","ブランク","ﾌﾞﾗﾝｸ","マネージ","ﾏﾈｰｼﾞ","PDU","ONU"},$F77&amp;"")))&gt;0),NOT(SUMPRODUCT(--ISNUMBER(SEARCH({"電源オフ","未投入","停止","未使用","撤去"},$X77&amp;"")))&gt;0)),"／電力が未記入","")&amp;IF(AND(NOT(ISNUMBER(J77)),NOT(SUMPRODUCT(--ISNUMBER(SEARCH({"棚板","棚","アングル","ｱﾝｸﾞﾙ","使用不可","ケーブル","ｹｰﾌﾞﾙ","PatchPnael","パッチ","引き出し","引出","ブランク","ﾌﾞﾗﾝｸ","マネージ","ﾏﾈｰｼﾞ","PDU","ONU"},$F77&amp;"")))&gt;0)),"／重量が未記入","")&amp;IF(AND(K77&lt;&gt;"",NOT(ISNUMBER(K77))),"／電圧が数値でない","")&amp;IF(AND(N77&lt;&gt;"",NOT(ISNUMBER(N77))),"／電流が数値でない","")&amp;IF(AND(C77&lt;&gt;"",C77&lt;1),"／開始Uが1未満","")&amp;IF(AND(E77&lt;&gt;"",E77&gt;IFERROR(VLOOKUP(A77,ラック定義!$A:$B,2,FALSE),47)),"／総Uをはみ出す","")&amp;IF(AND(A77&lt;&gt;"",COUNTIF(ラック定義!$A:$A,A77)=0),"／ラックが定義にない","")&amp;IF(AND(SUMPRODUCT((機器台帳!$A$2:$A$400=$A77)*((機器台帳!$B$2:$B$400=$B77)+(機器台帳!$B$2:$B$400="両面")+($B77="両面")&gt;0)*(機器台帳!$C$2:$C$400&lt;=$C77+$D77-1)*(機器台帳!$C$2:$C$400+機器台帳!$D$2:$D$400-1&gt;=$C77)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77&amp;"")))&gt;0)),"／同じUに他の機器(横並びなら正常)","")&amp;IF(AND(M77&lt;&gt;"",COUNTIFS(回路定義!$A:$A,A77,回路定義!$B:$B,M77)=0),"／回路1が定義にない","")&amp;IF(AND(P77&lt;&gt;"",COUNTIFS(回路定義!$A:$A,A77,回路定義!$B:$B,P77)=0),"／回路2が定義にない","")&amp;IF(AND(S77&lt;&gt;"",COUNTIFS(回路定義!$A:$A,A77,回路定義!$B:$B,S77)=0),"／回路3が定義にない",""),2,300)))</f>
        <v/>
      </c>
    </row>
    <row r="78">
      <c r="A78" s="5" t="inlineStr">
        <is>
          <t>E24-S8-3</t>
        </is>
      </c>
      <c r="B78" s="5" t="inlineStr">
        <is>
          <t>前面</t>
        </is>
      </c>
      <c r="C78" s="5" t="n">
        <v>40</v>
      </c>
      <c r="D78" s="5" t="n">
        <v>1</v>
      </c>
      <c r="E78" s="6">
        <f>IF(C78="","",C78+D78-1)</f>
        <v/>
      </c>
      <c r="F78" s="5" t="inlineStr">
        <is>
          <t>③MX64</t>
        </is>
      </c>
      <c r="G78" s="5" t="inlineStr">
        <is>
          <t>H1909170</t>
        </is>
      </c>
      <c r="H78" s="5" t="inlineStr">
        <is>
          <t>Meraki</t>
        </is>
      </c>
      <c r="I78" s="5" t="inlineStr">
        <is>
          <t>Switch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inlineStr">
        <is>
          <t>棚</t>
        </is>
      </c>
      <c r="W78" s="5" t="inlineStr">
        <is>
          <t>１本</t>
        </is>
      </c>
      <c r="X78" s="5" t="inlineStr"/>
      <c r="Y78" s="6">
        <f>COUNT(N78,Q78,T78)</f>
        <v/>
      </c>
      <c r="Z78" s="6">
        <f>IF(OR(K78="",NOT(ISNUMBER(K78))),"",K78*SUM(N78,Q78,T78))</f>
        <v/>
      </c>
      <c r="AA78" s="6">
        <f>IF(OR(Y78=0,N78=""),"",N78/Y78)</f>
        <v/>
      </c>
      <c r="AB78" s="6">
        <f>IF(OR(Y78=0,Q78=""),"",Q78/Y78)</f>
        <v/>
      </c>
      <c r="AC78" s="6">
        <f>IF(OR(Y78=0,T78=""),"",T78/Y78)</f>
        <v/>
      </c>
      <c r="AD78" s="6">
        <f>IF(F78="","",IF((IF(AND(Y78=0,NOT(SUMPRODUCT(--ISNUMBER(SEARCH({"棚板","棚","アングル","ｱﾝｸﾞﾙ","使用不可","ケーブル","ｹｰﾌﾞﾙ","PatchPnael","パッチ","引き出し","引出","ブランク","ﾌﾞﾗﾝｸ","マネージ","ﾏﾈｰｼﾞ","PDU","ONU"},$F78&amp;"")))&gt;0),NOT(SUMPRODUCT(--ISNUMBER(SEARCH({"電源オフ","未投入","停止","未使用","撤去"},$X78&amp;"")))&gt;0)),"／電力が未記入","")&amp;IF(AND(NOT(ISNUMBER(J78)),NOT(SUMPRODUCT(--ISNUMBER(SEARCH({"棚板","棚","アングル","ｱﾝｸﾞﾙ","使用不可","ケーブル","ｹｰﾌﾞﾙ","PatchPnael","パッチ","引き出し","引出","ブランク","ﾌﾞﾗﾝｸ","マネージ","ﾏﾈｰｼﾞ","PDU","ONU"},$F78&amp;"")))&gt;0)),"／重量が未記入","")&amp;IF(AND(K78&lt;&gt;"",NOT(ISNUMBER(K78))),"／電圧が数値でない","")&amp;IF(AND(N78&lt;&gt;"",NOT(ISNUMBER(N78))),"／電流が数値でない","")&amp;IF(AND(C78&lt;&gt;"",C78&lt;1),"／開始Uが1未満","")&amp;IF(AND(E78&lt;&gt;"",E78&gt;IFERROR(VLOOKUP(A78,ラック定義!$A:$B,2,FALSE),47)),"／総Uをはみ出す","")&amp;IF(AND(A78&lt;&gt;"",COUNTIF(ラック定義!$A:$A,A78)=0),"／ラックが定義にない","")&amp;IF(AND(SUMPRODUCT((機器台帳!$A$2:$A$400=$A78)*((機器台帳!$B$2:$B$400=$B78)+(機器台帳!$B$2:$B$400="両面")+($B78="両面")&gt;0)*(機器台帳!$C$2:$C$400&lt;=$C78+$D78-1)*(機器台帳!$C$2:$C$400+機器台帳!$D$2:$D$400-1&gt;=$C78)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78&amp;"")))&gt;0)),"／同じUに他の機器(横並びなら正常)","")&amp;IF(AND(M78&lt;&gt;"",COUNTIFS(回路定義!$A:$A,A78,回路定義!$B:$B,M78)=0),"／回路1が定義にない","")&amp;IF(AND(P78&lt;&gt;"",COUNTIFS(回路定義!$A:$A,A78,回路定義!$B:$B,P78)=0),"／回路2が定義にない","")&amp;IF(AND(S78&lt;&gt;"",COUNTIFS(回路定義!$A:$A,A78,回路定義!$B:$B,S78)=0),"／回路3が定義にない",""))="","",MID(IF(AND(Y78=0,NOT(SUMPRODUCT(--ISNUMBER(SEARCH({"棚板","棚","アングル","ｱﾝｸﾞﾙ","使用不可","ケーブル","ｹｰﾌﾞﾙ","PatchPnael","パッチ","引き出し","引出","ブランク","ﾌﾞﾗﾝｸ","マネージ","ﾏﾈｰｼﾞ","PDU","ONU"},$F78&amp;"")))&gt;0),NOT(SUMPRODUCT(--ISNUMBER(SEARCH({"電源オフ","未投入","停止","未使用","撤去"},$X78&amp;"")))&gt;0)),"／電力が未記入","")&amp;IF(AND(NOT(ISNUMBER(J78)),NOT(SUMPRODUCT(--ISNUMBER(SEARCH({"棚板","棚","アングル","ｱﾝｸﾞﾙ","使用不可","ケーブル","ｹｰﾌﾞﾙ","PatchPnael","パッチ","引き出し","引出","ブランク","ﾌﾞﾗﾝｸ","マネージ","ﾏﾈｰｼﾞ","PDU","ONU"},$F78&amp;"")))&gt;0)),"／重量が未記入","")&amp;IF(AND(K78&lt;&gt;"",NOT(ISNUMBER(K78))),"／電圧が数値でない","")&amp;IF(AND(N78&lt;&gt;"",NOT(ISNUMBER(N78))),"／電流が数値でない","")&amp;IF(AND(C78&lt;&gt;"",C78&lt;1),"／開始Uが1未満","")&amp;IF(AND(E78&lt;&gt;"",E78&gt;IFERROR(VLOOKUP(A78,ラック定義!$A:$B,2,FALSE),47)),"／総Uをはみ出す","")&amp;IF(AND(A78&lt;&gt;"",COUNTIF(ラック定義!$A:$A,A78)=0),"／ラックが定義にない","")&amp;IF(AND(SUMPRODUCT((機器台帳!$A$2:$A$400=$A78)*((機器台帳!$B$2:$B$400=$B78)+(機器台帳!$B$2:$B$400="両面")+($B78="両面")&gt;0)*(機器台帳!$C$2:$C$400&lt;=$C78+$D78-1)*(機器台帳!$C$2:$C$400+機器台帳!$D$2:$D$400-1&gt;=$C78)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78&amp;"")))&gt;0)),"／同じUに他の機器(横並びなら正常)","")&amp;IF(AND(M78&lt;&gt;"",COUNTIFS(回路定義!$A:$A,A78,回路定義!$B:$B,M78)=0),"／回路1が定義にない","")&amp;IF(AND(P78&lt;&gt;"",COUNTIFS(回路定義!$A:$A,A78,回路定義!$B:$B,P78)=0),"／回路2が定義にない","")&amp;IF(AND(S78&lt;&gt;"",COUNTIFS(回路定義!$A:$A,A78,回路定義!$B:$B,S78)=0),"／回路3が定義にない",""),2,300)))</f>
        <v/>
      </c>
    </row>
    <row r="79">
      <c r="A79" s="5" t="inlineStr">
        <is>
          <t>E24-S8-3</t>
        </is>
      </c>
      <c r="B79" s="5" t="inlineStr">
        <is>
          <t>前面</t>
        </is>
      </c>
      <c r="C79" s="5" t="n">
        <v>40</v>
      </c>
      <c r="D79" s="5" t="n">
        <v>1</v>
      </c>
      <c r="E79" s="6">
        <f>IF(C79="","",C79+D79-1)</f>
        <v/>
      </c>
      <c r="F79" s="5" t="inlineStr">
        <is>
          <t>⑦MS120</t>
        </is>
      </c>
      <c r="G79" s="5" t="inlineStr">
        <is>
          <t>H1909173</t>
        </is>
      </c>
      <c r="H79" s="5" t="inlineStr">
        <is>
          <t>Meraki</t>
        </is>
      </c>
      <c r="I79" s="5" t="inlineStr">
        <is>
          <t>Switch</t>
        </is>
      </c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inlineStr">
        <is>
          <t>棚</t>
        </is>
      </c>
      <c r="W79" s="5" t="inlineStr">
        <is>
          <t>１本</t>
        </is>
      </c>
      <c r="X79" s="5" t="inlineStr"/>
      <c r="Y79" s="6">
        <f>COUNT(N79,Q79,T79)</f>
        <v/>
      </c>
      <c r="Z79" s="6">
        <f>IF(OR(K79="",NOT(ISNUMBER(K79))),"",K79*SUM(N79,Q79,T79))</f>
        <v/>
      </c>
      <c r="AA79" s="6">
        <f>IF(OR(Y79=0,N79=""),"",N79/Y79)</f>
        <v/>
      </c>
      <c r="AB79" s="6">
        <f>IF(OR(Y79=0,Q79=""),"",Q79/Y79)</f>
        <v/>
      </c>
      <c r="AC79" s="6">
        <f>IF(OR(Y79=0,T79=""),"",T79/Y79)</f>
        <v/>
      </c>
      <c r="AD79" s="6">
        <f>IF(F79="","",IF((IF(AND(Y79=0,NOT(SUMPRODUCT(--ISNUMBER(SEARCH({"棚板","棚","アングル","ｱﾝｸﾞﾙ","使用不可","ケーブル","ｹｰﾌﾞﾙ","PatchPnael","パッチ","引き出し","引出","ブランク","ﾌﾞﾗﾝｸ","マネージ","ﾏﾈｰｼﾞ","PDU","ONU"},$F79&amp;"")))&gt;0),NOT(SUMPRODUCT(--ISNUMBER(SEARCH({"電源オフ","未投入","停止","未使用","撤去"},$X79&amp;"")))&gt;0)),"／電力が未記入","")&amp;IF(AND(NOT(ISNUMBER(J79)),NOT(SUMPRODUCT(--ISNUMBER(SEARCH({"棚板","棚","アングル","ｱﾝｸﾞﾙ","使用不可","ケーブル","ｹｰﾌﾞﾙ","PatchPnael","パッチ","引き出し","引出","ブランク","ﾌﾞﾗﾝｸ","マネージ","ﾏﾈｰｼﾞ","PDU","ONU"},$F79&amp;"")))&gt;0)),"／重量が未記入","")&amp;IF(AND(K79&lt;&gt;"",NOT(ISNUMBER(K79))),"／電圧が数値でない","")&amp;IF(AND(N79&lt;&gt;"",NOT(ISNUMBER(N79))),"／電流が数値でない","")&amp;IF(AND(C79&lt;&gt;"",C79&lt;1),"／開始Uが1未満","")&amp;IF(AND(E79&lt;&gt;"",E79&gt;IFERROR(VLOOKUP(A79,ラック定義!$A:$B,2,FALSE),47)),"／総Uをはみ出す","")&amp;IF(AND(A79&lt;&gt;"",COUNTIF(ラック定義!$A:$A,A79)=0),"／ラックが定義にない","")&amp;IF(AND(SUMPRODUCT((機器台帳!$A$2:$A$400=$A79)*((機器台帳!$B$2:$B$400=$B79)+(機器台帳!$B$2:$B$400="両面")+($B79="両面")&gt;0)*(機器台帳!$C$2:$C$400&lt;=$C79+$D79-1)*(機器台帳!$C$2:$C$400+機器台帳!$D$2:$D$400-1&gt;=$C79)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79&amp;"")))&gt;0)),"／同じUに他の機器(横並びなら正常)","")&amp;IF(AND(M79&lt;&gt;"",COUNTIFS(回路定義!$A:$A,A79,回路定義!$B:$B,M79)=0),"／回路1が定義にない","")&amp;IF(AND(P79&lt;&gt;"",COUNTIFS(回路定義!$A:$A,A79,回路定義!$B:$B,P79)=0),"／回路2が定義にない","")&amp;IF(AND(S79&lt;&gt;"",COUNTIFS(回路定義!$A:$A,A79,回路定義!$B:$B,S79)=0),"／回路3が定義にない",""))="","",MID(IF(AND(Y79=0,NOT(SUMPRODUCT(--ISNUMBER(SEARCH({"棚板","棚","アングル","ｱﾝｸﾞﾙ","使用不可","ケーブル","ｹｰﾌﾞﾙ","PatchPnael","パッチ","引き出し","引出","ブランク","ﾌﾞﾗﾝｸ","マネージ","ﾏﾈｰｼﾞ","PDU","ONU"},$F79&amp;"")))&gt;0),NOT(SUMPRODUCT(--ISNUMBER(SEARCH({"電源オフ","未投入","停止","未使用","撤去"},$X79&amp;"")))&gt;0)),"／電力が未記入","")&amp;IF(AND(NOT(ISNUMBER(J79)),NOT(SUMPRODUCT(--ISNUMBER(SEARCH({"棚板","棚","アングル","ｱﾝｸﾞﾙ","使用不可","ケーブル","ｹｰﾌﾞﾙ","PatchPnael","パッチ","引き出し","引出","ブランク","ﾌﾞﾗﾝｸ","マネージ","ﾏﾈｰｼﾞ","PDU","ONU"},$F79&amp;"")))&gt;0)),"／重量が未記入","")&amp;IF(AND(K79&lt;&gt;"",NOT(ISNUMBER(K79))),"／電圧が数値でない","")&amp;IF(AND(N79&lt;&gt;"",NOT(ISNUMBER(N79))),"／電流が数値でない","")&amp;IF(AND(C79&lt;&gt;"",C79&lt;1),"／開始Uが1未満","")&amp;IF(AND(E79&lt;&gt;"",E79&gt;IFERROR(VLOOKUP(A79,ラック定義!$A:$B,2,FALSE),47)),"／総Uをはみ出す","")&amp;IF(AND(A79&lt;&gt;"",COUNTIF(ラック定義!$A:$A,A79)=0),"／ラックが定義にない","")&amp;IF(AND(SUMPRODUCT((機器台帳!$A$2:$A$400=$A79)*((機器台帳!$B$2:$B$400=$B79)+(機器台帳!$B$2:$B$400="両面")+($B79="両面")&gt;0)*(機器台帳!$C$2:$C$400&lt;=$C79+$D79-1)*(機器台帳!$C$2:$C$400+機器台帳!$D$2:$D$400-1&gt;=$C79)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79&amp;"")))&gt;0)),"／同じUに他の機器(横並びなら正常)","")&amp;IF(AND(M79&lt;&gt;"",COUNTIFS(回路定義!$A:$A,A79,回路定義!$B:$B,M79)=0),"／回路1が定義にない","")&amp;IF(AND(P79&lt;&gt;"",COUNTIFS(回路定義!$A:$A,A79,回路定義!$B:$B,P79)=0),"／回路2が定義にない","")&amp;IF(AND(S79&lt;&gt;"",COUNTIFS(回路定義!$A:$A,A79,回路定義!$B:$B,S79)=0),"／回路3が定義にない",""),2,300)))</f>
        <v/>
      </c>
    </row>
    <row r="80">
      <c r="A80" s="5" t="inlineStr">
        <is>
          <t>E24-S8-3</t>
        </is>
      </c>
      <c r="B80" s="5" t="inlineStr">
        <is>
          <t>背面</t>
        </is>
      </c>
      <c r="C80" s="5" t="n">
        <v>40</v>
      </c>
      <c r="D80" s="5" t="n">
        <v>1</v>
      </c>
      <c r="E80" s="6">
        <f>IF(C80="","",C80+D80-1)</f>
        <v/>
      </c>
      <c r="F80" s="5" t="inlineStr">
        <is>
          <t>⑨MR32(1909154)</t>
        </is>
      </c>
      <c r="G80" s="5" t="inlineStr"/>
      <c r="H80" s="5" t="inlineStr">
        <is>
          <t>Meraki</t>
        </is>
      </c>
      <c r="I80" s="5" t="inlineStr">
        <is>
          <t>Switch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inlineStr">
        <is>
          <t>棚</t>
        </is>
      </c>
      <c r="W80" s="5" t="inlineStr">
        <is>
          <t>１本</t>
        </is>
      </c>
      <c r="X80" s="5" t="inlineStr"/>
      <c r="Y80" s="6">
        <f>COUNT(N80,Q80,T80)</f>
        <v/>
      </c>
      <c r="Z80" s="6">
        <f>IF(OR(K80="",NOT(ISNUMBER(K80))),"",K80*SUM(N80,Q80,T80))</f>
        <v/>
      </c>
      <c r="AA80" s="6">
        <f>IF(OR(Y80=0,N80=""),"",N80/Y80)</f>
        <v/>
      </c>
      <c r="AB80" s="6">
        <f>IF(OR(Y80=0,Q80=""),"",Q80/Y80)</f>
        <v/>
      </c>
      <c r="AC80" s="6">
        <f>IF(OR(Y80=0,T80=""),"",T80/Y80)</f>
        <v/>
      </c>
      <c r="AD80" s="6">
        <f>IF(F80="","",IF((IF(AND(Y80=0,NOT(SUMPRODUCT(--ISNUMBER(SEARCH({"棚板","棚","アングル","ｱﾝｸﾞﾙ","使用不可","ケーブル","ｹｰﾌﾞﾙ","PatchPnael","パッチ","引き出し","引出","ブランク","ﾌﾞﾗﾝｸ","マネージ","ﾏﾈｰｼﾞ","PDU","ONU"},$F80&amp;"")))&gt;0),NOT(SUMPRODUCT(--ISNUMBER(SEARCH({"電源オフ","未投入","停止","未使用","撤去"},$X80&amp;"")))&gt;0)),"／電力が未記入","")&amp;IF(AND(NOT(ISNUMBER(J80)),NOT(SUMPRODUCT(--ISNUMBER(SEARCH({"棚板","棚","アングル","ｱﾝｸﾞﾙ","使用不可","ケーブル","ｹｰﾌﾞﾙ","PatchPnael","パッチ","引き出し","引出","ブランク","ﾌﾞﾗﾝｸ","マネージ","ﾏﾈｰｼﾞ","PDU","ONU"},$F80&amp;"")))&gt;0)),"／重量が未記入","")&amp;IF(AND(K80&lt;&gt;"",NOT(ISNUMBER(K80))),"／電圧が数値でない","")&amp;IF(AND(N80&lt;&gt;"",NOT(ISNUMBER(N80))),"／電流が数値でない","")&amp;IF(AND(C80&lt;&gt;"",C80&lt;1),"／開始Uが1未満","")&amp;IF(AND(E80&lt;&gt;"",E80&gt;IFERROR(VLOOKUP(A80,ラック定義!$A:$B,2,FALSE),47)),"／総Uをはみ出す","")&amp;IF(AND(A80&lt;&gt;"",COUNTIF(ラック定義!$A:$A,A80)=0),"／ラックが定義にない","")&amp;IF(AND(SUMPRODUCT((機器台帳!$A$2:$A$400=$A80)*((機器台帳!$B$2:$B$400=$B80)+(機器台帳!$B$2:$B$400="両面")+($B80="両面")&gt;0)*(機器台帳!$C$2:$C$400&lt;=$C80+$D80-1)*(機器台帳!$C$2:$C$400+機器台帳!$D$2:$D$400-1&gt;=$C80)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80&amp;"")))&gt;0)),"／同じUに他の機器(横並びなら正常)","")&amp;IF(AND(M80&lt;&gt;"",COUNTIFS(回路定義!$A:$A,A80,回路定義!$B:$B,M80)=0),"／回路1が定義にない","")&amp;IF(AND(P80&lt;&gt;"",COUNTIFS(回路定義!$A:$A,A80,回路定義!$B:$B,P80)=0),"／回路2が定義にない","")&amp;IF(AND(S80&lt;&gt;"",COUNTIFS(回路定義!$A:$A,A80,回路定義!$B:$B,S80)=0),"／回路3が定義にない",""))="","",MID(IF(AND(Y80=0,NOT(SUMPRODUCT(--ISNUMBER(SEARCH({"棚板","棚","アングル","ｱﾝｸﾞﾙ","使用不可","ケーブル","ｹｰﾌﾞﾙ","PatchPnael","パッチ","引き出し","引出","ブランク","ﾌﾞﾗﾝｸ","マネージ","ﾏﾈｰｼﾞ","PDU","ONU"},$F80&amp;"")))&gt;0),NOT(SUMPRODUCT(--ISNUMBER(SEARCH({"電源オフ","未投入","停止","未使用","撤去"},$X80&amp;"")))&gt;0)),"／電力が未記入","")&amp;IF(AND(NOT(ISNUMBER(J80)),NOT(SUMPRODUCT(--ISNUMBER(SEARCH({"棚板","棚","アングル","ｱﾝｸﾞﾙ","使用不可","ケーブル","ｹｰﾌﾞﾙ","PatchPnael","パッチ","引き出し","引出","ブランク","ﾌﾞﾗﾝｸ","マネージ","ﾏﾈｰｼﾞ","PDU","ONU"},$F80&amp;"")))&gt;0)),"／重量が未記入","")&amp;IF(AND(K80&lt;&gt;"",NOT(ISNUMBER(K80))),"／電圧が数値でない","")&amp;IF(AND(N80&lt;&gt;"",NOT(ISNUMBER(N80))),"／電流が数値でない","")&amp;IF(AND(C80&lt;&gt;"",C80&lt;1),"／開始Uが1未満","")&amp;IF(AND(E80&lt;&gt;"",E80&gt;IFERROR(VLOOKUP(A80,ラック定義!$A:$B,2,FALSE),47)),"／総Uをはみ出す","")&amp;IF(AND(A80&lt;&gt;"",COUNTIF(ラック定義!$A:$A,A80)=0),"／ラックが定義にない","")&amp;IF(AND(SUMPRODUCT((機器台帳!$A$2:$A$400=$A80)*((機器台帳!$B$2:$B$400=$B80)+(機器台帳!$B$2:$B$400="両面")+($B80="両面")&gt;0)*(機器台帳!$C$2:$C$400&lt;=$C80+$D80-1)*(機器台帳!$C$2:$C$400+機器台帳!$D$2:$D$400-1&gt;=$C80)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80&amp;"")))&gt;0)),"／同じUに他の機器(横並びなら正常)","")&amp;IF(AND(M80&lt;&gt;"",COUNTIFS(回路定義!$A:$A,A80,回路定義!$B:$B,M80)=0),"／回路1が定義にない","")&amp;IF(AND(P80&lt;&gt;"",COUNTIFS(回路定義!$A:$A,A80,回路定義!$B:$B,P80)=0),"／回路2が定義にない","")&amp;IF(AND(S80&lt;&gt;"",COUNTIFS(回路定義!$A:$A,A80,回路定義!$B:$B,S80)=0),"／回路3が定義にない",""),2,300)))</f>
        <v/>
      </c>
    </row>
    <row r="81">
      <c r="A81" s="5" t="inlineStr">
        <is>
          <t>E24-S8-3</t>
        </is>
      </c>
      <c r="B81" s="5" t="inlineStr">
        <is>
          <t>前面</t>
        </is>
      </c>
      <c r="C81" s="5" t="n">
        <v>39</v>
      </c>
      <c r="D81" s="5" t="n">
        <v>1</v>
      </c>
      <c r="E81" s="6">
        <f>IF(C81="","",C81+D81-1)</f>
        <v/>
      </c>
      <c r="F81" s="5" t="inlineStr">
        <is>
          <t>④MX64</t>
        </is>
      </c>
      <c r="G81" s="5" t="inlineStr">
        <is>
          <t>H1909169</t>
        </is>
      </c>
      <c r="H81" s="5" t="inlineStr">
        <is>
          <t>Meraki</t>
        </is>
      </c>
      <c r="I81" s="5" t="inlineStr">
        <is>
          <t>Switch</t>
        </is>
      </c>
      <c r="J81" s="5" t="n">
        <v>1.3</v>
      </c>
      <c r="K81" s="5" t="n">
        <v>100</v>
      </c>
      <c r="L81" s="5" t="n">
        <v>1</v>
      </c>
      <c r="M81" s="5" t="inlineStr">
        <is>
          <t>100V 20A （2）</t>
        </is>
      </c>
      <c r="N81" s="5" t="n">
        <v>0.88</v>
      </c>
      <c r="O81" s="5" t="n">
        <v>1</v>
      </c>
      <c r="P81" s="5" t="n"/>
      <c r="Q81" s="5" t="n"/>
      <c r="R81" s="5" t="n"/>
      <c r="S81" s="5" t="n"/>
      <c r="T81" s="5" t="n"/>
      <c r="U81" s="5" t="n"/>
      <c r="V81" s="5" t="inlineStr">
        <is>
          <t>棚</t>
        </is>
      </c>
      <c r="W81" s="5" t="inlineStr">
        <is>
          <t>１本</t>
        </is>
      </c>
      <c r="X81" s="5" t="inlineStr">
        <is>
          <t>※移設元ラックに機器無し</t>
        </is>
      </c>
      <c r="Y81" s="6">
        <f>COUNT(N81,Q81,T81)</f>
        <v/>
      </c>
      <c r="Z81" s="6">
        <f>IF(OR(K81="",NOT(ISNUMBER(K81))),"",K81*SUM(N81,Q81,T81))</f>
        <v/>
      </c>
      <c r="AA81" s="6">
        <f>IF(OR(Y81=0,N81=""),"",N81/Y81)</f>
        <v/>
      </c>
      <c r="AB81" s="6">
        <f>IF(OR(Y81=0,Q81=""),"",Q81/Y81)</f>
        <v/>
      </c>
      <c r="AC81" s="6">
        <f>IF(OR(Y81=0,T81=""),"",T81/Y81)</f>
        <v/>
      </c>
      <c r="AD81" s="6">
        <f>IF(F81="","",IF((IF(AND(Y81=0,NOT(SUMPRODUCT(--ISNUMBER(SEARCH({"棚板","棚","アングル","ｱﾝｸﾞﾙ","使用不可","ケーブル","ｹｰﾌﾞﾙ","PatchPnael","パッチ","引き出し","引出","ブランク","ﾌﾞﾗﾝｸ","マネージ","ﾏﾈｰｼﾞ","PDU","ONU"},$F81&amp;"")))&gt;0),NOT(SUMPRODUCT(--ISNUMBER(SEARCH({"電源オフ","未投入","停止","未使用","撤去"},$X81&amp;"")))&gt;0)),"／電力が未記入","")&amp;IF(AND(NOT(ISNUMBER(J81)),NOT(SUMPRODUCT(--ISNUMBER(SEARCH({"棚板","棚","アングル","ｱﾝｸﾞﾙ","使用不可","ケーブル","ｹｰﾌﾞﾙ","PatchPnael","パッチ","引き出し","引出","ブランク","ﾌﾞﾗﾝｸ","マネージ","ﾏﾈｰｼﾞ","PDU","ONU"},$F81&amp;"")))&gt;0)),"／重量が未記入","")&amp;IF(AND(K81&lt;&gt;"",NOT(ISNUMBER(K81))),"／電圧が数値でない","")&amp;IF(AND(N81&lt;&gt;"",NOT(ISNUMBER(N81))),"／電流が数値でない","")&amp;IF(AND(C81&lt;&gt;"",C81&lt;1),"／開始Uが1未満","")&amp;IF(AND(E81&lt;&gt;"",E81&gt;IFERROR(VLOOKUP(A81,ラック定義!$A:$B,2,FALSE),47)),"／総Uをはみ出す","")&amp;IF(AND(A81&lt;&gt;"",COUNTIF(ラック定義!$A:$A,A81)=0),"／ラックが定義にない","")&amp;IF(AND(SUMPRODUCT((機器台帳!$A$2:$A$400=$A81)*((機器台帳!$B$2:$B$400=$B81)+(機器台帳!$B$2:$B$400="両面")+($B81="両面")&gt;0)*(機器台帳!$C$2:$C$400&lt;=$C81+$D81-1)*(機器台帳!$C$2:$C$400+機器台帳!$D$2:$D$400-1&gt;=$C81)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81&amp;"")))&gt;0)),"／同じUに他の機器(横並びなら正常)","")&amp;IF(AND(M81&lt;&gt;"",COUNTIFS(回路定義!$A:$A,A81,回路定義!$B:$B,M81)=0),"／回路1が定義にない","")&amp;IF(AND(P81&lt;&gt;"",COUNTIFS(回路定義!$A:$A,A81,回路定義!$B:$B,P81)=0),"／回路2が定義にない","")&amp;IF(AND(S81&lt;&gt;"",COUNTIFS(回路定義!$A:$A,A81,回路定義!$B:$B,S81)=0),"／回路3が定義にない",""))="","",MID(IF(AND(Y81=0,NOT(SUMPRODUCT(--ISNUMBER(SEARCH({"棚板","棚","アングル","ｱﾝｸﾞﾙ","使用不可","ケーブル","ｹｰﾌﾞﾙ","PatchPnael","パッチ","引き出し","引出","ブランク","ﾌﾞﾗﾝｸ","マネージ","ﾏﾈｰｼﾞ","PDU","ONU"},$F81&amp;"")))&gt;0),NOT(SUMPRODUCT(--ISNUMBER(SEARCH({"電源オフ","未投入","停止","未使用","撤去"},$X81&amp;"")))&gt;0)),"／電力が未記入","")&amp;IF(AND(NOT(ISNUMBER(J81)),NOT(SUMPRODUCT(--ISNUMBER(SEARCH({"棚板","棚","アングル","ｱﾝｸﾞﾙ","使用不可","ケーブル","ｹｰﾌﾞﾙ","PatchPnael","パッチ","引き出し","引出","ブランク","ﾌﾞﾗﾝｸ","マネージ","ﾏﾈｰｼﾞ","PDU","ONU"},$F81&amp;"")))&gt;0)),"／重量が未記入","")&amp;IF(AND(K81&lt;&gt;"",NOT(ISNUMBER(K81))),"／電圧が数値でない","")&amp;IF(AND(N81&lt;&gt;"",NOT(ISNUMBER(N81))),"／電流が数値でない","")&amp;IF(AND(C81&lt;&gt;"",C81&lt;1),"／開始Uが1未満","")&amp;IF(AND(E81&lt;&gt;"",E81&gt;IFERROR(VLOOKUP(A81,ラック定義!$A:$B,2,FALSE),47)),"／総Uをはみ出す","")&amp;IF(AND(A81&lt;&gt;"",COUNTIF(ラック定義!$A:$A,A81)=0),"／ラックが定義にない","")&amp;IF(AND(SUMPRODUCT((機器台帳!$A$2:$A$400=$A81)*((機器台帳!$B$2:$B$400=$B81)+(機器台帳!$B$2:$B$400="両面")+($B81="両面")&gt;0)*(機器台帳!$C$2:$C$400&lt;=$C81+$D81-1)*(機器台帳!$C$2:$C$400+機器台帳!$D$2:$D$400-1&gt;=$C81)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81&amp;"")))&gt;0)),"／同じUに他の機器(横並びなら正常)","")&amp;IF(AND(M81&lt;&gt;"",COUNTIFS(回路定義!$A:$A,A81,回路定義!$B:$B,M81)=0),"／回路1が定義にない","")&amp;IF(AND(P81&lt;&gt;"",COUNTIFS(回路定義!$A:$A,A81,回路定義!$B:$B,P81)=0),"／回路2が定義にない","")&amp;IF(AND(S81&lt;&gt;"",COUNTIFS(回路定義!$A:$A,A81,回路定義!$B:$B,S81)=0),"／回路3が定義にない",""),2,300)))</f>
        <v/>
      </c>
    </row>
    <row r="82">
      <c r="A82" s="5" t="inlineStr">
        <is>
          <t>E24-S8-3</t>
        </is>
      </c>
      <c r="B82" s="5" t="inlineStr">
        <is>
          <t>前面</t>
        </is>
      </c>
      <c r="C82" s="5" t="n">
        <v>39</v>
      </c>
      <c r="D82" s="5" t="n">
        <v>1</v>
      </c>
      <c r="E82" s="6">
        <f>IF(C82="","",C82+D82-1)</f>
        <v/>
      </c>
      <c r="F82" s="5" t="inlineStr">
        <is>
          <t>⑧MS120</t>
        </is>
      </c>
      <c r="G82" s="5" t="inlineStr">
        <is>
          <t>H1909172</t>
        </is>
      </c>
      <c r="H82" s="5" t="inlineStr">
        <is>
          <t>Meraki</t>
        </is>
      </c>
      <c r="I82" s="5" t="inlineStr">
        <is>
          <t>Switch</t>
        </is>
      </c>
      <c r="J82" s="5" t="n">
        <v>1.3</v>
      </c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inlineStr">
        <is>
          <t>棚</t>
        </is>
      </c>
      <c r="W82" s="5" t="inlineStr">
        <is>
          <t>１本</t>
        </is>
      </c>
      <c r="X82" s="5" t="inlineStr">
        <is>
          <t>※移設元ラックに機器無し</t>
        </is>
      </c>
      <c r="Y82" s="6">
        <f>COUNT(N82,Q82,T82)</f>
        <v/>
      </c>
      <c r="Z82" s="6">
        <f>IF(OR(K82="",NOT(ISNUMBER(K82))),"",K82*SUM(N82,Q82,T82))</f>
        <v/>
      </c>
      <c r="AA82" s="6">
        <f>IF(OR(Y82=0,N82=""),"",N82/Y82)</f>
        <v/>
      </c>
      <c r="AB82" s="6">
        <f>IF(OR(Y82=0,Q82=""),"",Q82/Y82)</f>
        <v/>
      </c>
      <c r="AC82" s="6">
        <f>IF(OR(Y82=0,T82=""),"",T82/Y82)</f>
        <v/>
      </c>
      <c r="AD82" s="6">
        <f>IF(F82="","",IF((IF(AND(Y82=0,NOT(SUMPRODUCT(--ISNUMBER(SEARCH({"棚板","棚","アングル","ｱﾝｸﾞﾙ","使用不可","ケーブル","ｹｰﾌﾞﾙ","PatchPnael","パッチ","引き出し","引出","ブランク","ﾌﾞﾗﾝｸ","マネージ","ﾏﾈｰｼﾞ","PDU","ONU"},$F82&amp;"")))&gt;0),NOT(SUMPRODUCT(--ISNUMBER(SEARCH({"電源オフ","未投入","停止","未使用","撤去"},$X82&amp;"")))&gt;0)),"／電力が未記入","")&amp;IF(AND(NOT(ISNUMBER(J82)),NOT(SUMPRODUCT(--ISNUMBER(SEARCH({"棚板","棚","アングル","ｱﾝｸﾞﾙ","使用不可","ケーブル","ｹｰﾌﾞﾙ","PatchPnael","パッチ","引き出し","引出","ブランク","ﾌﾞﾗﾝｸ","マネージ","ﾏﾈｰｼﾞ","PDU","ONU"},$F82&amp;"")))&gt;0)),"／重量が未記入","")&amp;IF(AND(K82&lt;&gt;"",NOT(ISNUMBER(K82))),"／電圧が数値でない","")&amp;IF(AND(N82&lt;&gt;"",NOT(ISNUMBER(N82))),"／電流が数値でない","")&amp;IF(AND(C82&lt;&gt;"",C82&lt;1),"／開始Uが1未満","")&amp;IF(AND(E82&lt;&gt;"",E82&gt;IFERROR(VLOOKUP(A82,ラック定義!$A:$B,2,FALSE),47)),"／総Uをはみ出す","")&amp;IF(AND(A82&lt;&gt;"",COUNTIF(ラック定義!$A:$A,A82)=0),"／ラックが定義にない","")&amp;IF(AND(SUMPRODUCT((機器台帳!$A$2:$A$400=$A82)*((機器台帳!$B$2:$B$400=$B82)+(機器台帳!$B$2:$B$400="両面")+($B82="両面")&gt;0)*(機器台帳!$C$2:$C$400&lt;=$C82+$D82-1)*(機器台帳!$C$2:$C$400+機器台帳!$D$2:$D$400-1&gt;=$C82)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82&amp;"")))&gt;0)),"／同じUに他の機器(横並びなら正常)","")&amp;IF(AND(M82&lt;&gt;"",COUNTIFS(回路定義!$A:$A,A82,回路定義!$B:$B,M82)=0),"／回路1が定義にない","")&amp;IF(AND(P82&lt;&gt;"",COUNTIFS(回路定義!$A:$A,A82,回路定義!$B:$B,P82)=0),"／回路2が定義にない","")&amp;IF(AND(S82&lt;&gt;"",COUNTIFS(回路定義!$A:$A,A82,回路定義!$B:$B,S82)=0),"／回路3が定義にない",""))="","",MID(IF(AND(Y82=0,NOT(SUMPRODUCT(--ISNUMBER(SEARCH({"棚板","棚","アングル","ｱﾝｸﾞﾙ","使用不可","ケーブル","ｹｰﾌﾞﾙ","PatchPnael","パッチ","引き出し","引出","ブランク","ﾌﾞﾗﾝｸ","マネージ","ﾏﾈｰｼﾞ","PDU","ONU"},$F82&amp;"")))&gt;0),NOT(SUMPRODUCT(--ISNUMBER(SEARCH({"電源オフ","未投入","停止","未使用","撤去"},$X82&amp;"")))&gt;0)),"／電力が未記入","")&amp;IF(AND(NOT(ISNUMBER(J82)),NOT(SUMPRODUCT(--ISNUMBER(SEARCH({"棚板","棚","アングル","ｱﾝｸﾞﾙ","使用不可","ケーブル","ｹｰﾌﾞﾙ","PatchPnael","パッチ","引き出し","引出","ブランク","ﾌﾞﾗﾝｸ","マネージ","ﾏﾈｰｼﾞ","PDU","ONU"},$F82&amp;"")))&gt;0)),"／重量が未記入","")&amp;IF(AND(K82&lt;&gt;"",NOT(ISNUMBER(K82))),"／電圧が数値でない","")&amp;IF(AND(N82&lt;&gt;"",NOT(ISNUMBER(N82))),"／電流が数値でない","")&amp;IF(AND(C82&lt;&gt;"",C82&lt;1),"／開始Uが1未満","")&amp;IF(AND(E82&lt;&gt;"",E82&gt;IFERROR(VLOOKUP(A82,ラック定義!$A:$B,2,FALSE),47)),"／総Uをはみ出す","")&amp;IF(AND(A82&lt;&gt;"",COUNTIF(ラック定義!$A:$A,A82)=0),"／ラックが定義にない","")&amp;IF(AND(SUMPRODUCT((機器台帳!$A$2:$A$400=$A82)*((機器台帳!$B$2:$B$400=$B82)+(機器台帳!$B$2:$B$400="両面")+($B82="両面")&gt;0)*(機器台帳!$C$2:$C$400&lt;=$C82+$D82-1)*(機器台帳!$C$2:$C$400+機器台帳!$D$2:$D$400-1&gt;=$C82)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82&amp;"")))&gt;0)),"／同じUに他の機器(横並びなら正常)","")&amp;IF(AND(M82&lt;&gt;"",COUNTIFS(回路定義!$A:$A,A82,回路定義!$B:$B,M82)=0),"／回路1が定義にない","")&amp;IF(AND(P82&lt;&gt;"",COUNTIFS(回路定義!$A:$A,A82,回路定義!$B:$B,P82)=0),"／回路2が定義にない","")&amp;IF(AND(S82&lt;&gt;"",COUNTIFS(回路定義!$A:$A,A82,回路定義!$B:$B,S82)=0),"／回路3が定義にない",""),2,300)))</f>
        <v/>
      </c>
    </row>
    <row r="83">
      <c r="A83" s="5" t="inlineStr">
        <is>
          <t>E24-S8-3</t>
        </is>
      </c>
      <c r="B83" s="5" t="inlineStr">
        <is>
          <t>背面</t>
        </is>
      </c>
      <c r="C83" s="5" t="n">
        <v>39</v>
      </c>
      <c r="D83" s="5" t="n">
        <v>1</v>
      </c>
      <c r="E83" s="6">
        <f>IF(C83="","",C83+D83-1)</f>
        <v/>
      </c>
      <c r="F83" s="5" t="inlineStr">
        <is>
          <t>MS120 S/N:Q2BX-FCGJ-F9GF</t>
        </is>
      </c>
      <c r="G83" s="5" t="inlineStr"/>
      <c r="H83" s="5" t="inlineStr">
        <is>
          <t>Meraki</t>
        </is>
      </c>
      <c r="I83" s="5" t="inlineStr">
        <is>
          <t>Switch</t>
        </is>
      </c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inlineStr">
        <is>
          <t>棚</t>
        </is>
      </c>
      <c r="W83" s="5" t="inlineStr">
        <is>
          <t>１本</t>
        </is>
      </c>
      <c r="X83" s="5" t="inlineStr">
        <is>
          <t>※移設元ラックに機器無し</t>
        </is>
      </c>
      <c r="Y83" s="6">
        <f>COUNT(N83,Q83,T83)</f>
        <v/>
      </c>
      <c r="Z83" s="6">
        <f>IF(OR(K83="",NOT(ISNUMBER(K83))),"",K83*SUM(N83,Q83,T83))</f>
        <v/>
      </c>
      <c r="AA83" s="6">
        <f>IF(OR(Y83=0,N83=""),"",N83/Y83)</f>
        <v/>
      </c>
      <c r="AB83" s="6">
        <f>IF(OR(Y83=0,Q83=""),"",Q83/Y83)</f>
        <v/>
      </c>
      <c r="AC83" s="6">
        <f>IF(OR(Y83=0,T83=""),"",T83/Y83)</f>
        <v/>
      </c>
      <c r="AD83" s="6">
        <f>IF(F83="","",IF((IF(AND(Y83=0,NOT(SUMPRODUCT(--ISNUMBER(SEARCH({"棚板","棚","アングル","ｱﾝｸﾞﾙ","使用不可","ケーブル","ｹｰﾌﾞﾙ","PatchPnael","パッチ","引き出し","引出","ブランク","ﾌﾞﾗﾝｸ","マネージ","ﾏﾈｰｼﾞ","PDU","ONU"},$F83&amp;"")))&gt;0),NOT(SUMPRODUCT(--ISNUMBER(SEARCH({"電源オフ","未投入","停止","未使用","撤去"},$X83&amp;"")))&gt;0)),"／電力が未記入","")&amp;IF(AND(NOT(ISNUMBER(J83)),NOT(SUMPRODUCT(--ISNUMBER(SEARCH({"棚板","棚","アングル","ｱﾝｸﾞﾙ","使用不可","ケーブル","ｹｰﾌﾞﾙ","PatchPnael","パッチ","引き出し","引出","ブランク","ﾌﾞﾗﾝｸ","マネージ","ﾏﾈｰｼﾞ","PDU","ONU"},$F83&amp;"")))&gt;0)),"／重量が未記入","")&amp;IF(AND(K83&lt;&gt;"",NOT(ISNUMBER(K83))),"／電圧が数値でない","")&amp;IF(AND(N83&lt;&gt;"",NOT(ISNUMBER(N83))),"／電流が数値でない","")&amp;IF(AND(C83&lt;&gt;"",C83&lt;1),"／開始Uが1未満","")&amp;IF(AND(E83&lt;&gt;"",E83&gt;IFERROR(VLOOKUP(A83,ラック定義!$A:$B,2,FALSE),47)),"／総Uをはみ出す","")&amp;IF(AND(A83&lt;&gt;"",COUNTIF(ラック定義!$A:$A,A83)=0),"／ラックが定義にない","")&amp;IF(AND(SUMPRODUCT((機器台帳!$A$2:$A$400=$A83)*((機器台帳!$B$2:$B$400=$B83)+(機器台帳!$B$2:$B$400="両面")+($B83="両面")&gt;0)*(機器台帳!$C$2:$C$400&lt;=$C83+$D83-1)*(機器台帳!$C$2:$C$400+機器台帳!$D$2:$D$400-1&gt;=$C83)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83&amp;"")))&gt;0)),"／同じUに他の機器(横並びなら正常)","")&amp;IF(AND(M83&lt;&gt;"",COUNTIFS(回路定義!$A:$A,A83,回路定義!$B:$B,M83)=0),"／回路1が定義にない","")&amp;IF(AND(P83&lt;&gt;"",COUNTIFS(回路定義!$A:$A,A83,回路定義!$B:$B,P83)=0),"／回路2が定義にない","")&amp;IF(AND(S83&lt;&gt;"",COUNTIFS(回路定義!$A:$A,A83,回路定義!$B:$B,S83)=0),"／回路3が定義にない",""))="","",MID(IF(AND(Y83=0,NOT(SUMPRODUCT(--ISNUMBER(SEARCH({"棚板","棚","アングル","ｱﾝｸﾞﾙ","使用不可","ケーブル","ｹｰﾌﾞﾙ","PatchPnael","パッチ","引き出し","引出","ブランク","ﾌﾞﾗﾝｸ","マネージ","ﾏﾈｰｼﾞ","PDU","ONU"},$F83&amp;"")))&gt;0),NOT(SUMPRODUCT(--ISNUMBER(SEARCH({"電源オフ","未投入","停止","未使用","撤去"},$X83&amp;"")))&gt;0)),"／電力が未記入","")&amp;IF(AND(NOT(ISNUMBER(J83)),NOT(SUMPRODUCT(--ISNUMBER(SEARCH({"棚板","棚","アングル","ｱﾝｸﾞﾙ","使用不可","ケーブル","ｹｰﾌﾞﾙ","PatchPnael","パッチ","引き出し","引出","ブランク","ﾌﾞﾗﾝｸ","マネージ","ﾏﾈｰｼﾞ","PDU","ONU"},$F83&amp;"")))&gt;0)),"／重量が未記入","")&amp;IF(AND(K83&lt;&gt;"",NOT(ISNUMBER(K83))),"／電圧が数値でない","")&amp;IF(AND(N83&lt;&gt;"",NOT(ISNUMBER(N83))),"／電流が数値でない","")&amp;IF(AND(C83&lt;&gt;"",C83&lt;1),"／開始Uが1未満","")&amp;IF(AND(E83&lt;&gt;"",E83&gt;IFERROR(VLOOKUP(A83,ラック定義!$A:$B,2,FALSE),47)),"／総Uをはみ出す","")&amp;IF(AND(A83&lt;&gt;"",COUNTIF(ラック定義!$A:$A,A83)=0),"／ラックが定義にない","")&amp;IF(AND(SUMPRODUCT((機器台帳!$A$2:$A$400=$A83)*((機器台帳!$B$2:$B$400=$B83)+(機器台帳!$B$2:$B$400="両面")+($B83="両面")&gt;0)*(機器台帳!$C$2:$C$400&lt;=$C83+$D83-1)*(機器台帳!$C$2:$C$400+機器台帳!$D$2:$D$400-1&gt;=$C83)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83&amp;"")))&gt;0)),"／同じUに他の機器(横並びなら正常)","")&amp;IF(AND(M83&lt;&gt;"",COUNTIFS(回路定義!$A:$A,A83,回路定義!$B:$B,M83)=0),"／回路1が定義にない","")&amp;IF(AND(P83&lt;&gt;"",COUNTIFS(回路定義!$A:$A,A83,回路定義!$B:$B,P83)=0),"／回路2が定義にない","")&amp;IF(AND(S83&lt;&gt;"",COUNTIFS(回路定義!$A:$A,A83,回路定義!$B:$B,S83)=0),"／回路3が定義にない",""),2,300)))</f>
        <v/>
      </c>
    </row>
    <row r="84">
      <c r="A84" s="5" t="inlineStr">
        <is>
          <t>E24-S8-3</t>
        </is>
      </c>
      <c r="B84" s="5" t="inlineStr">
        <is>
          <t>前面</t>
        </is>
      </c>
      <c r="C84" s="5" t="n">
        <v>38</v>
      </c>
      <c r="D84" s="5" t="n">
        <v>1</v>
      </c>
      <c r="E84" s="6">
        <f>IF(C84="","",C84+D84-1)</f>
        <v/>
      </c>
      <c r="F84" s="5" t="inlineStr">
        <is>
          <t>⑤MX64</t>
        </is>
      </c>
      <c r="G84" s="5" t="inlineStr">
        <is>
          <t>H1909168</t>
        </is>
      </c>
      <c r="H84" s="5" t="inlineStr">
        <is>
          <t>Meraki</t>
        </is>
      </c>
      <c r="I84" s="5" t="inlineStr">
        <is>
          <t>Switch</t>
        </is>
      </c>
      <c r="J84" s="5" t="n">
        <v>1.3</v>
      </c>
      <c r="K84" s="5" t="n">
        <v>100</v>
      </c>
      <c r="L84" s="5" t="n">
        <v>1</v>
      </c>
      <c r="M84" s="5" t="inlineStr">
        <is>
          <t>100V 20A （2）</t>
        </is>
      </c>
      <c r="N84" s="5" t="n">
        <v>0.88</v>
      </c>
      <c r="O84" s="5" t="n">
        <v>1</v>
      </c>
      <c r="P84" s="5" t="n"/>
      <c r="Q84" s="5" t="n"/>
      <c r="R84" s="5" t="n"/>
      <c r="S84" s="5" t="n"/>
      <c r="T84" s="5" t="n"/>
      <c r="U84" s="5" t="n"/>
      <c r="V84" s="5" t="inlineStr">
        <is>
          <t>棚</t>
        </is>
      </c>
      <c r="W84" s="5" t="inlineStr">
        <is>
          <t>１本</t>
        </is>
      </c>
      <c r="X84" s="5" t="inlineStr">
        <is>
          <t>※移設元ラックに機器無し</t>
        </is>
      </c>
      <c r="Y84" s="6">
        <f>COUNT(N84,Q84,T84)</f>
        <v/>
      </c>
      <c r="Z84" s="6">
        <f>IF(OR(K84="",NOT(ISNUMBER(K84))),"",K84*SUM(N84,Q84,T84))</f>
        <v/>
      </c>
      <c r="AA84" s="6">
        <f>IF(OR(Y84=0,N84=""),"",N84/Y84)</f>
        <v/>
      </c>
      <c r="AB84" s="6">
        <f>IF(OR(Y84=0,Q84=""),"",Q84/Y84)</f>
        <v/>
      </c>
      <c r="AC84" s="6">
        <f>IF(OR(Y84=0,T84=""),"",T84/Y84)</f>
        <v/>
      </c>
      <c r="AD84" s="6">
        <f>IF(F84="","",IF((IF(AND(Y84=0,NOT(SUMPRODUCT(--ISNUMBER(SEARCH({"棚板","棚","アングル","ｱﾝｸﾞﾙ","使用不可","ケーブル","ｹｰﾌﾞﾙ","PatchPnael","パッチ","引き出し","引出","ブランク","ﾌﾞﾗﾝｸ","マネージ","ﾏﾈｰｼﾞ","PDU","ONU"},$F84&amp;"")))&gt;0),NOT(SUMPRODUCT(--ISNUMBER(SEARCH({"電源オフ","未投入","停止","未使用","撤去"},$X84&amp;"")))&gt;0)),"／電力が未記入","")&amp;IF(AND(NOT(ISNUMBER(J84)),NOT(SUMPRODUCT(--ISNUMBER(SEARCH({"棚板","棚","アングル","ｱﾝｸﾞﾙ","使用不可","ケーブル","ｹｰﾌﾞﾙ","PatchPnael","パッチ","引き出し","引出","ブランク","ﾌﾞﾗﾝｸ","マネージ","ﾏﾈｰｼﾞ","PDU","ONU"},$F84&amp;"")))&gt;0)),"／重量が未記入","")&amp;IF(AND(K84&lt;&gt;"",NOT(ISNUMBER(K84))),"／電圧が数値でない","")&amp;IF(AND(N84&lt;&gt;"",NOT(ISNUMBER(N84))),"／電流が数値でない","")&amp;IF(AND(C84&lt;&gt;"",C84&lt;1),"／開始Uが1未満","")&amp;IF(AND(E84&lt;&gt;"",E84&gt;IFERROR(VLOOKUP(A84,ラック定義!$A:$B,2,FALSE),47)),"／総Uをはみ出す","")&amp;IF(AND(A84&lt;&gt;"",COUNTIF(ラック定義!$A:$A,A84)=0),"／ラックが定義にない","")&amp;IF(AND(SUMPRODUCT((機器台帳!$A$2:$A$400=$A84)*((機器台帳!$B$2:$B$400=$B84)+(機器台帳!$B$2:$B$400="両面")+($B84="両面")&gt;0)*(機器台帳!$C$2:$C$400&lt;=$C84+$D84-1)*(機器台帳!$C$2:$C$400+機器台帳!$D$2:$D$400-1&gt;=$C84)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84&amp;"")))&gt;0)),"／同じUに他の機器(横並びなら正常)","")&amp;IF(AND(M84&lt;&gt;"",COUNTIFS(回路定義!$A:$A,A84,回路定義!$B:$B,M84)=0),"／回路1が定義にない","")&amp;IF(AND(P84&lt;&gt;"",COUNTIFS(回路定義!$A:$A,A84,回路定義!$B:$B,P84)=0),"／回路2が定義にない","")&amp;IF(AND(S84&lt;&gt;"",COUNTIFS(回路定義!$A:$A,A84,回路定義!$B:$B,S84)=0),"／回路3が定義にない",""))="","",MID(IF(AND(Y84=0,NOT(SUMPRODUCT(--ISNUMBER(SEARCH({"棚板","棚","アングル","ｱﾝｸﾞﾙ","使用不可","ケーブル","ｹｰﾌﾞﾙ","PatchPnael","パッチ","引き出し","引出","ブランク","ﾌﾞﾗﾝｸ","マネージ","ﾏﾈｰｼﾞ","PDU","ONU"},$F84&amp;"")))&gt;0),NOT(SUMPRODUCT(--ISNUMBER(SEARCH({"電源オフ","未投入","停止","未使用","撤去"},$X84&amp;"")))&gt;0)),"／電力が未記入","")&amp;IF(AND(NOT(ISNUMBER(J84)),NOT(SUMPRODUCT(--ISNUMBER(SEARCH({"棚板","棚","アングル","ｱﾝｸﾞﾙ","使用不可","ケーブル","ｹｰﾌﾞﾙ","PatchPnael","パッチ","引き出し","引出","ブランク","ﾌﾞﾗﾝｸ","マネージ","ﾏﾈｰｼﾞ","PDU","ONU"},$F84&amp;"")))&gt;0)),"／重量が未記入","")&amp;IF(AND(K84&lt;&gt;"",NOT(ISNUMBER(K84))),"／電圧が数値でない","")&amp;IF(AND(N84&lt;&gt;"",NOT(ISNUMBER(N84))),"／電流が数値でない","")&amp;IF(AND(C84&lt;&gt;"",C84&lt;1),"／開始Uが1未満","")&amp;IF(AND(E84&lt;&gt;"",E84&gt;IFERROR(VLOOKUP(A84,ラック定義!$A:$B,2,FALSE),47)),"／総Uをはみ出す","")&amp;IF(AND(A84&lt;&gt;"",COUNTIF(ラック定義!$A:$A,A84)=0),"／ラックが定義にない","")&amp;IF(AND(SUMPRODUCT((機器台帳!$A$2:$A$400=$A84)*((機器台帳!$B$2:$B$400=$B84)+(機器台帳!$B$2:$B$400="両面")+($B84="両面")&gt;0)*(機器台帳!$C$2:$C$400&lt;=$C84+$D84-1)*(機器台帳!$C$2:$C$400+機器台帳!$D$2:$D$400-1&gt;=$C84)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84&amp;"")))&gt;0)),"／同じUに他の機器(横並びなら正常)","")&amp;IF(AND(M84&lt;&gt;"",COUNTIFS(回路定義!$A:$A,A84,回路定義!$B:$B,M84)=0),"／回路1が定義にない","")&amp;IF(AND(P84&lt;&gt;"",COUNTIFS(回路定義!$A:$A,A84,回路定義!$B:$B,P84)=0),"／回路2が定義にない","")&amp;IF(AND(S84&lt;&gt;"",COUNTIFS(回路定義!$A:$A,A84,回路定義!$B:$B,S84)=0),"／回路3が定義にない",""),2,300)))</f>
        <v/>
      </c>
    </row>
    <row r="85">
      <c r="A85" s="5" t="inlineStr">
        <is>
          <t>E24-S8-3</t>
        </is>
      </c>
      <c r="B85" s="5" t="inlineStr">
        <is>
          <t>前面</t>
        </is>
      </c>
      <c r="C85" s="5" t="n">
        <v>38</v>
      </c>
      <c r="D85" s="5" t="n">
        <v>1</v>
      </c>
      <c r="E85" s="6">
        <f>IF(C85="","",C85+D85-1)</f>
        <v/>
      </c>
      <c r="F85" s="5" t="inlineStr">
        <is>
          <t>⑨MS120</t>
        </is>
      </c>
      <c r="G85" s="5" t="inlineStr">
        <is>
          <t>H1909171</t>
        </is>
      </c>
      <c r="H85" s="5" t="inlineStr">
        <is>
          <t>Meraki</t>
        </is>
      </c>
      <c r="I85" s="5" t="inlineStr">
        <is>
          <t>Switch</t>
        </is>
      </c>
      <c r="J85" s="5" t="n">
        <v>1.3</v>
      </c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inlineStr">
        <is>
          <t>棚</t>
        </is>
      </c>
      <c r="W85" s="5" t="inlineStr">
        <is>
          <t>１本</t>
        </is>
      </c>
      <c r="X85" s="5" t="inlineStr">
        <is>
          <t>※移設元ラックに機器無し</t>
        </is>
      </c>
      <c r="Y85" s="6">
        <f>COUNT(N85,Q85,T85)</f>
        <v/>
      </c>
      <c r="Z85" s="6">
        <f>IF(OR(K85="",NOT(ISNUMBER(K85))),"",K85*SUM(N85,Q85,T85))</f>
        <v/>
      </c>
      <c r="AA85" s="6">
        <f>IF(OR(Y85=0,N85=""),"",N85/Y85)</f>
        <v/>
      </c>
      <c r="AB85" s="6">
        <f>IF(OR(Y85=0,Q85=""),"",Q85/Y85)</f>
        <v/>
      </c>
      <c r="AC85" s="6">
        <f>IF(OR(Y85=0,T85=""),"",T85/Y85)</f>
        <v/>
      </c>
      <c r="AD85" s="6">
        <f>IF(F85="","",IF((IF(AND(Y85=0,NOT(SUMPRODUCT(--ISNUMBER(SEARCH({"棚板","棚","アングル","ｱﾝｸﾞﾙ","使用不可","ケーブル","ｹｰﾌﾞﾙ","PatchPnael","パッチ","引き出し","引出","ブランク","ﾌﾞﾗﾝｸ","マネージ","ﾏﾈｰｼﾞ","PDU","ONU"},$F85&amp;"")))&gt;0),NOT(SUMPRODUCT(--ISNUMBER(SEARCH({"電源オフ","未投入","停止","未使用","撤去"},$X85&amp;"")))&gt;0)),"／電力が未記入","")&amp;IF(AND(NOT(ISNUMBER(J85)),NOT(SUMPRODUCT(--ISNUMBER(SEARCH({"棚板","棚","アングル","ｱﾝｸﾞﾙ","使用不可","ケーブル","ｹｰﾌﾞﾙ","PatchPnael","パッチ","引き出し","引出","ブランク","ﾌﾞﾗﾝｸ","マネージ","ﾏﾈｰｼﾞ","PDU","ONU"},$F85&amp;"")))&gt;0)),"／重量が未記入","")&amp;IF(AND(K85&lt;&gt;"",NOT(ISNUMBER(K85))),"／電圧が数値でない","")&amp;IF(AND(N85&lt;&gt;"",NOT(ISNUMBER(N85))),"／電流が数値でない","")&amp;IF(AND(C85&lt;&gt;"",C85&lt;1),"／開始Uが1未満","")&amp;IF(AND(E85&lt;&gt;"",E85&gt;IFERROR(VLOOKUP(A85,ラック定義!$A:$B,2,FALSE),47)),"／総Uをはみ出す","")&amp;IF(AND(A85&lt;&gt;"",COUNTIF(ラック定義!$A:$A,A85)=0),"／ラックが定義にない","")&amp;IF(AND(SUMPRODUCT((機器台帳!$A$2:$A$400=$A85)*((機器台帳!$B$2:$B$400=$B85)+(機器台帳!$B$2:$B$400="両面")+($B85="両面")&gt;0)*(機器台帳!$C$2:$C$400&lt;=$C85+$D85-1)*(機器台帳!$C$2:$C$400+機器台帳!$D$2:$D$400-1&gt;=$C85)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85&amp;"")))&gt;0)),"／同じUに他の機器(横並びなら正常)","")&amp;IF(AND(M85&lt;&gt;"",COUNTIFS(回路定義!$A:$A,A85,回路定義!$B:$B,M85)=0),"／回路1が定義にない","")&amp;IF(AND(P85&lt;&gt;"",COUNTIFS(回路定義!$A:$A,A85,回路定義!$B:$B,P85)=0),"／回路2が定義にない","")&amp;IF(AND(S85&lt;&gt;"",COUNTIFS(回路定義!$A:$A,A85,回路定義!$B:$B,S85)=0),"／回路3が定義にない",""))="","",MID(IF(AND(Y85=0,NOT(SUMPRODUCT(--ISNUMBER(SEARCH({"棚板","棚","アングル","ｱﾝｸﾞﾙ","使用不可","ケーブル","ｹｰﾌﾞﾙ","PatchPnael","パッチ","引き出し","引出","ブランク","ﾌﾞﾗﾝｸ","マネージ","ﾏﾈｰｼﾞ","PDU","ONU"},$F85&amp;"")))&gt;0),NOT(SUMPRODUCT(--ISNUMBER(SEARCH({"電源オフ","未投入","停止","未使用","撤去"},$X85&amp;"")))&gt;0)),"／電力が未記入","")&amp;IF(AND(NOT(ISNUMBER(J85)),NOT(SUMPRODUCT(--ISNUMBER(SEARCH({"棚板","棚","アングル","ｱﾝｸﾞﾙ","使用不可","ケーブル","ｹｰﾌﾞﾙ","PatchPnael","パッチ","引き出し","引出","ブランク","ﾌﾞﾗﾝｸ","マネージ","ﾏﾈｰｼﾞ","PDU","ONU"},$F85&amp;"")))&gt;0)),"／重量が未記入","")&amp;IF(AND(K85&lt;&gt;"",NOT(ISNUMBER(K85))),"／電圧が数値でない","")&amp;IF(AND(N85&lt;&gt;"",NOT(ISNUMBER(N85))),"／電流が数値でない","")&amp;IF(AND(C85&lt;&gt;"",C85&lt;1),"／開始Uが1未満","")&amp;IF(AND(E85&lt;&gt;"",E85&gt;IFERROR(VLOOKUP(A85,ラック定義!$A:$B,2,FALSE),47)),"／総Uをはみ出す","")&amp;IF(AND(A85&lt;&gt;"",COUNTIF(ラック定義!$A:$A,A85)=0),"／ラックが定義にない","")&amp;IF(AND(SUMPRODUCT((機器台帳!$A$2:$A$400=$A85)*((機器台帳!$B$2:$B$400=$B85)+(機器台帳!$B$2:$B$400="両面")+($B85="両面")&gt;0)*(機器台帳!$C$2:$C$400&lt;=$C85+$D85-1)*(機器台帳!$C$2:$C$400+機器台帳!$D$2:$D$400-1&gt;=$C85)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85&amp;"")))&gt;0)),"／同じUに他の機器(横並びなら正常)","")&amp;IF(AND(M85&lt;&gt;"",COUNTIFS(回路定義!$A:$A,A85,回路定義!$B:$B,M85)=0),"／回路1が定義にない","")&amp;IF(AND(P85&lt;&gt;"",COUNTIFS(回路定義!$A:$A,A85,回路定義!$B:$B,P85)=0),"／回路2が定義にない","")&amp;IF(AND(S85&lt;&gt;"",COUNTIFS(回路定義!$A:$A,A85,回路定義!$B:$B,S85)=0),"／回路3が定義にない",""),2,300)))</f>
        <v/>
      </c>
    </row>
    <row r="86">
      <c r="A86" s="5" t="inlineStr">
        <is>
          <t>E24-S8-3</t>
        </is>
      </c>
      <c r="B86" s="5" t="inlineStr">
        <is>
          <t>背面</t>
        </is>
      </c>
      <c r="C86" s="5" t="n">
        <v>38</v>
      </c>
      <c r="D86" s="5" t="n">
        <v>1</v>
      </c>
      <c r="E86" s="6">
        <f>IF(C86="","",C86+D86-1)</f>
        <v/>
      </c>
      <c r="F86" s="5" t="inlineStr">
        <is>
          <t>⑦MS2203</t>
        </is>
      </c>
      <c r="G86" s="5" t="inlineStr">
        <is>
          <t>H1909161</t>
        </is>
      </c>
      <c r="H86" s="5" t="inlineStr">
        <is>
          <t>Meraki</t>
        </is>
      </c>
      <c r="I86" s="5" t="inlineStr">
        <is>
          <t>Switch</t>
        </is>
      </c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inlineStr">
        <is>
          <t>棚</t>
        </is>
      </c>
      <c r="W86" s="5" t="inlineStr">
        <is>
          <t>１本</t>
        </is>
      </c>
      <c r="X86" s="5" t="inlineStr">
        <is>
          <t>※移設元ラックに機器無し</t>
        </is>
      </c>
      <c r="Y86" s="6">
        <f>COUNT(N86,Q86,T86)</f>
        <v/>
      </c>
      <c r="Z86" s="6">
        <f>IF(OR(K86="",NOT(ISNUMBER(K86))),"",K86*SUM(N86,Q86,T86))</f>
        <v/>
      </c>
      <c r="AA86" s="6">
        <f>IF(OR(Y86=0,N86=""),"",N86/Y86)</f>
        <v/>
      </c>
      <c r="AB86" s="6">
        <f>IF(OR(Y86=0,Q86=""),"",Q86/Y86)</f>
        <v/>
      </c>
      <c r="AC86" s="6">
        <f>IF(OR(Y86=0,T86=""),"",T86/Y86)</f>
        <v/>
      </c>
      <c r="AD86" s="6">
        <f>IF(F86="","",IF((IF(AND(Y86=0,NOT(SUMPRODUCT(--ISNUMBER(SEARCH({"棚板","棚","アングル","ｱﾝｸﾞﾙ","使用不可","ケーブル","ｹｰﾌﾞﾙ","PatchPnael","パッチ","引き出し","引出","ブランク","ﾌﾞﾗﾝｸ","マネージ","ﾏﾈｰｼﾞ","PDU","ONU"},$F86&amp;"")))&gt;0),NOT(SUMPRODUCT(--ISNUMBER(SEARCH({"電源オフ","未投入","停止","未使用","撤去"},$X86&amp;"")))&gt;0)),"／電力が未記入","")&amp;IF(AND(NOT(ISNUMBER(J86)),NOT(SUMPRODUCT(--ISNUMBER(SEARCH({"棚板","棚","アングル","ｱﾝｸﾞﾙ","使用不可","ケーブル","ｹｰﾌﾞﾙ","PatchPnael","パッチ","引き出し","引出","ブランク","ﾌﾞﾗﾝｸ","マネージ","ﾏﾈｰｼﾞ","PDU","ONU"},$F86&amp;"")))&gt;0)),"／重量が未記入","")&amp;IF(AND(K86&lt;&gt;"",NOT(ISNUMBER(K86))),"／電圧が数値でない","")&amp;IF(AND(N86&lt;&gt;"",NOT(ISNUMBER(N86))),"／電流が数値でない","")&amp;IF(AND(C86&lt;&gt;"",C86&lt;1),"／開始Uが1未満","")&amp;IF(AND(E86&lt;&gt;"",E86&gt;IFERROR(VLOOKUP(A86,ラック定義!$A:$B,2,FALSE),47)),"／総Uをはみ出す","")&amp;IF(AND(A86&lt;&gt;"",COUNTIF(ラック定義!$A:$A,A86)=0),"／ラックが定義にない","")&amp;IF(AND(SUMPRODUCT((機器台帳!$A$2:$A$400=$A86)*((機器台帳!$B$2:$B$400=$B86)+(機器台帳!$B$2:$B$400="両面")+($B86="両面")&gt;0)*(機器台帳!$C$2:$C$400&lt;=$C86+$D86-1)*(機器台帳!$C$2:$C$400+機器台帳!$D$2:$D$400-1&gt;=$C86)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86&amp;"")))&gt;0)),"／同じUに他の機器(横並びなら正常)","")&amp;IF(AND(M86&lt;&gt;"",COUNTIFS(回路定義!$A:$A,A86,回路定義!$B:$B,M86)=0),"／回路1が定義にない","")&amp;IF(AND(P86&lt;&gt;"",COUNTIFS(回路定義!$A:$A,A86,回路定義!$B:$B,P86)=0),"／回路2が定義にない","")&amp;IF(AND(S86&lt;&gt;"",COUNTIFS(回路定義!$A:$A,A86,回路定義!$B:$B,S86)=0),"／回路3が定義にない",""))="","",MID(IF(AND(Y86=0,NOT(SUMPRODUCT(--ISNUMBER(SEARCH({"棚板","棚","アングル","ｱﾝｸﾞﾙ","使用不可","ケーブル","ｹｰﾌﾞﾙ","PatchPnael","パッチ","引き出し","引出","ブランク","ﾌﾞﾗﾝｸ","マネージ","ﾏﾈｰｼﾞ","PDU","ONU"},$F86&amp;"")))&gt;0),NOT(SUMPRODUCT(--ISNUMBER(SEARCH({"電源オフ","未投入","停止","未使用","撤去"},$X86&amp;"")))&gt;0)),"／電力が未記入","")&amp;IF(AND(NOT(ISNUMBER(J86)),NOT(SUMPRODUCT(--ISNUMBER(SEARCH({"棚板","棚","アングル","ｱﾝｸﾞﾙ","使用不可","ケーブル","ｹｰﾌﾞﾙ","PatchPnael","パッチ","引き出し","引出","ブランク","ﾌﾞﾗﾝｸ","マネージ","ﾏﾈｰｼﾞ","PDU","ONU"},$F86&amp;"")))&gt;0)),"／重量が未記入","")&amp;IF(AND(K86&lt;&gt;"",NOT(ISNUMBER(K86))),"／電圧が数値でない","")&amp;IF(AND(N86&lt;&gt;"",NOT(ISNUMBER(N86))),"／電流が数値でない","")&amp;IF(AND(C86&lt;&gt;"",C86&lt;1),"／開始Uが1未満","")&amp;IF(AND(E86&lt;&gt;"",E86&gt;IFERROR(VLOOKUP(A86,ラック定義!$A:$B,2,FALSE),47)),"／総Uをはみ出す","")&amp;IF(AND(A86&lt;&gt;"",COUNTIF(ラック定義!$A:$A,A86)=0),"／ラックが定義にない","")&amp;IF(AND(SUMPRODUCT((機器台帳!$A$2:$A$400=$A86)*((機器台帳!$B$2:$B$400=$B86)+(機器台帳!$B$2:$B$400="両面")+($B86="両面")&gt;0)*(機器台帳!$C$2:$C$400&lt;=$C86+$D86-1)*(機器台帳!$C$2:$C$400+機器台帳!$D$2:$D$400-1&gt;=$C86)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86&amp;"")))&gt;0)),"／同じUに他の機器(横並びなら正常)","")&amp;IF(AND(M86&lt;&gt;"",COUNTIFS(回路定義!$A:$A,A86,回路定義!$B:$B,M86)=0),"／回路1が定義にない","")&amp;IF(AND(P86&lt;&gt;"",COUNTIFS(回路定義!$A:$A,A86,回路定義!$B:$B,P86)=0),"／回路2が定義にない","")&amp;IF(AND(S86&lt;&gt;"",COUNTIFS(回路定義!$A:$A,A86,回路定義!$B:$B,S86)=0),"／回路3が定義にない",""),2,300)))</f>
        <v/>
      </c>
    </row>
    <row r="87">
      <c r="A87" s="5" t="inlineStr">
        <is>
          <t>E24-S8-3</t>
        </is>
      </c>
      <c r="B87" s="5" t="inlineStr">
        <is>
          <t>背面</t>
        </is>
      </c>
      <c r="C87" s="5" t="n">
        <v>38</v>
      </c>
      <c r="D87" s="5" t="n">
        <v>1</v>
      </c>
      <c r="E87" s="6">
        <f>IF(C87="","",C87+D87-1)</f>
        <v/>
      </c>
      <c r="F87" s="5" t="inlineStr">
        <is>
          <t>⑧MS2203</t>
        </is>
      </c>
      <c r="G87" s="5" t="inlineStr">
        <is>
          <t>H1909162</t>
        </is>
      </c>
      <c r="H87" s="5" t="inlineStr">
        <is>
          <t>Meraki</t>
        </is>
      </c>
      <c r="I87" s="5" t="inlineStr">
        <is>
          <t>Switch</t>
        </is>
      </c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inlineStr">
        <is>
          <t>棚</t>
        </is>
      </c>
      <c r="W87" s="5" t="inlineStr">
        <is>
          <t>１本</t>
        </is>
      </c>
      <c r="X87" s="5" t="inlineStr">
        <is>
          <t>※移設元ラックに機器無し</t>
        </is>
      </c>
      <c r="Y87" s="6">
        <f>COUNT(N87,Q87,T87)</f>
        <v/>
      </c>
      <c r="Z87" s="6">
        <f>IF(OR(K87="",NOT(ISNUMBER(K87))),"",K87*SUM(N87,Q87,T87))</f>
        <v/>
      </c>
      <c r="AA87" s="6">
        <f>IF(OR(Y87=0,N87=""),"",N87/Y87)</f>
        <v/>
      </c>
      <c r="AB87" s="6">
        <f>IF(OR(Y87=0,Q87=""),"",Q87/Y87)</f>
        <v/>
      </c>
      <c r="AC87" s="6">
        <f>IF(OR(Y87=0,T87=""),"",T87/Y87)</f>
        <v/>
      </c>
      <c r="AD87" s="6">
        <f>IF(F87="","",IF((IF(AND(Y87=0,NOT(SUMPRODUCT(--ISNUMBER(SEARCH({"棚板","棚","アングル","ｱﾝｸﾞﾙ","使用不可","ケーブル","ｹｰﾌﾞﾙ","PatchPnael","パッチ","引き出し","引出","ブランク","ﾌﾞﾗﾝｸ","マネージ","ﾏﾈｰｼﾞ","PDU","ONU"},$F87&amp;"")))&gt;0),NOT(SUMPRODUCT(--ISNUMBER(SEARCH({"電源オフ","未投入","停止","未使用","撤去"},$X87&amp;"")))&gt;0)),"／電力が未記入","")&amp;IF(AND(NOT(ISNUMBER(J87)),NOT(SUMPRODUCT(--ISNUMBER(SEARCH({"棚板","棚","アングル","ｱﾝｸﾞﾙ","使用不可","ケーブル","ｹｰﾌﾞﾙ","PatchPnael","パッチ","引き出し","引出","ブランク","ﾌﾞﾗﾝｸ","マネージ","ﾏﾈｰｼﾞ","PDU","ONU"},$F87&amp;"")))&gt;0)),"／重量が未記入","")&amp;IF(AND(K87&lt;&gt;"",NOT(ISNUMBER(K87))),"／電圧が数値でない","")&amp;IF(AND(N87&lt;&gt;"",NOT(ISNUMBER(N87))),"／電流が数値でない","")&amp;IF(AND(C87&lt;&gt;"",C87&lt;1),"／開始Uが1未満","")&amp;IF(AND(E87&lt;&gt;"",E87&gt;IFERROR(VLOOKUP(A87,ラック定義!$A:$B,2,FALSE),47)),"／総Uをはみ出す","")&amp;IF(AND(A87&lt;&gt;"",COUNTIF(ラック定義!$A:$A,A87)=0),"／ラックが定義にない","")&amp;IF(AND(SUMPRODUCT((機器台帳!$A$2:$A$400=$A87)*((機器台帳!$B$2:$B$400=$B87)+(機器台帳!$B$2:$B$400="両面")+($B87="両面")&gt;0)*(機器台帳!$C$2:$C$400&lt;=$C87+$D87-1)*(機器台帳!$C$2:$C$400+機器台帳!$D$2:$D$400-1&gt;=$C87)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87&amp;"")))&gt;0)),"／同じUに他の機器(横並びなら正常)","")&amp;IF(AND(M87&lt;&gt;"",COUNTIFS(回路定義!$A:$A,A87,回路定義!$B:$B,M87)=0),"／回路1が定義にない","")&amp;IF(AND(P87&lt;&gt;"",COUNTIFS(回路定義!$A:$A,A87,回路定義!$B:$B,P87)=0),"／回路2が定義にない","")&amp;IF(AND(S87&lt;&gt;"",COUNTIFS(回路定義!$A:$A,A87,回路定義!$B:$B,S87)=0),"／回路3が定義にない",""))="","",MID(IF(AND(Y87=0,NOT(SUMPRODUCT(--ISNUMBER(SEARCH({"棚板","棚","アングル","ｱﾝｸﾞﾙ","使用不可","ケーブル","ｹｰﾌﾞﾙ","PatchPnael","パッチ","引き出し","引出","ブランク","ﾌﾞﾗﾝｸ","マネージ","ﾏﾈｰｼﾞ","PDU","ONU"},$F87&amp;"")))&gt;0),NOT(SUMPRODUCT(--ISNUMBER(SEARCH({"電源オフ","未投入","停止","未使用","撤去"},$X87&amp;"")))&gt;0)),"／電力が未記入","")&amp;IF(AND(NOT(ISNUMBER(J87)),NOT(SUMPRODUCT(--ISNUMBER(SEARCH({"棚板","棚","アングル","ｱﾝｸﾞﾙ","使用不可","ケーブル","ｹｰﾌﾞﾙ","PatchPnael","パッチ","引き出し","引出","ブランク","ﾌﾞﾗﾝｸ","マネージ","ﾏﾈｰｼﾞ","PDU","ONU"},$F87&amp;"")))&gt;0)),"／重量が未記入","")&amp;IF(AND(K87&lt;&gt;"",NOT(ISNUMBER(K87))),"／電圧が数値でない","")&amp;IF(AND(N87&lt;&gt;"",NOT(ISNUMBER(N87))),"／電流が数値でない","")&amp;IF(AND(C87&lt;&gt;"",C87&lt;1),"／開始Uが1未満","")&amp;IF(AND(E87&lt;&gt;"",E87&gt;IFERROR(VLOOKUP(A87,ラック定義!$A:$B,2,FALSE),47)),"／総Uをはみ出す","")&amp;IF(AND(A87&lt;&gt;"",COUNTIF(ラック定義!$A:$A,A87)=0),"／ラックが定義にない","")&amp;IF(AND(SUMPRODUCT((機器台帳!$A$2:$A$400=$A87)*((機器台帳!$B$2:$B$400=$B87)+(機器台帳!$B$2:$B$400="両面")+($B87="両面")&gt;0)*(機器台帳!$C$2:$C$400&lt;=$C87+$D87-1)*(機器台帳!$C$2:$C$400+機器台帳!$D$2:$D$400-1&gt;=$C87)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87&amp;"")))&gt;0)),"／同じUに他の機器(横並びなら正常)","")&amp;IF(AND(M87&lt;&gt;"",COUNTIFS(回路定義!$A:$A,A87,回路定義!$B:$B,M87)=0),"／回路1が定義にない","")&amp;IF(AND(P87&lt;&gt;"",COUNTIFS(回路定義!$A:$A,A87,回路定義!$B:$B,P87)=0),"／回路2が定義にない","")&amp;IF(AND(S87&lt;&gt;"",COUNTIFS(回路定義!$A:$A,A87,回路定義!$B:$B,S87)=0),"／回路3が定義にない",""),2,300)))</f>
        <v/>
      </c>
    </row>
    <row r="88">
      <c r="A88" s="5" t="inlineStr">
        <is>
          <t>E24-S8-3</t>
        </is>
      </c>
      <c r="B88" s="5" t="inlineStr">
        <is>
          <t>背面</t>
        </is>
      </c>
      <c r="C88" s="5" t="n">
        <v>33</v>
      </c>
      <c r="D88" s="5" t="n">
        <v>1</v>
      </c>
      <c r="E88" s="6">
        <f>IF(C88="","",C88+D88-1)</f>
        <v/>
      </c>
      <c r="F88" s="5" t="inlineStr">
        <is>
          <t>要確認: 原本 行78 の電力</t>
        </is>
      </c>
      <c r="G88" s="5" t="inlineStr"/>
      <c r="H88" s="5" t="inlineStr"/>
      <c r="I88" s="5" t="inlineStr">
        <is>
          <t>Server</t>
        </is>
      </c>
      <c r="J88" s="5" t="n">
        <v>5</v>
      </c>
      <c r="K88" s="5" t="n">
        <v>100</v>
      </c>
      <c r="L88" s="5" t="n">
        <v>1</v>
      </c>
      <c r="M88" s="5" t="inlineStr">
        <is>
          <t>100V 20A （2）</t>
        </is>
      </c>
      <c r="N88" s="5" t="n">
        <v>0.5</v>
      </c>
      <c r="O88" s="5" t="n">
        <v>1</v>
      </c>
      <c r="P88" s="5" t="n"/>
      <c r="Q88" s="5" t="n"/>
      <c r="R88" s="5" t="n"/>
      <c r="S88" s="5" t="n"/>
      <c r="T88" s="5" t="n"/>
      <c r="U88" s="5" t="n"/>
      <c r="V88" s="5" t="inlineStr"/>
      <c r="W88" s="5" t="inlineStr"/>
      <c r="X88" s="5" t="inlineStr">
        <is>
          <t>原本に電力の記入はあるが機器が描かれていない行</t>
        </is>
      </c>
      <c r="Y88" s="6">
        <f>COUNT(N88,Q88,T88)</f>
        <v/>
      </c>
      <c r="Z88" s="6">
        <f>IF(OR(K88="",NOT(ISNUMBER(K88))),"",K88*SUM(N88,Q88,T88))</f>
        <v/>
      </c>
      <c r="AA88" s="6">
        <f>IF(OR(Y88=0,N88=""),"",N88/Y88)</f>
        <v/>
      </c>
      <c r="AB88" s="6">
        <f>IF(OR(Y88=0,Q88=""),"",Q88/Y88)</f>
        <v/>
      </c>
      <c r="AC88" s="6">
        <f>IF(OR(Y88=0,T88=""),"",T88/Y88)</f>
        <v/>
      </c>
      <c r="AD88" s="6">
        <f>IF(F88="","",IF((IF(AND(Y88=0,NOT(SUMPRODUCT(--ISNUMBER(SEARCH({"棚板","棚","アングル","ｱﾝｸﾞﾙ","使用不可","ケーブル","ｹｰﾌﾞﾙ","PatchPnael","パッチ","引き出し","引出","ブランク","ﾌﾞﾗﾝｸ","マネージ","ﾏﾈｰｼﾞ","PDU","ONU"},$F88&amp;"")))&gt;0),NOT(SUMPRODUCT(--ISNUMBER(SEARCH({"電源オフ","未投入","停止","未使用","撤去"},$X88&amp;"")))&gt;0)),"／電力が未記入","")&amp;IF(AND(NOT(ISNUMBER(J88)),NOT(SUMPRODUCT(--ISNUMBER(SEARCH({"棚板","棚","アングル","ｱﾝｸﾞﾙ","使用不可","ケーブル","ｹｰﾌﾞﾙ","PatchPnael","パッチ","引き出し","引出","ブランク","ﾌﾞﾗﾝｸ","マネージ","ﾏﾈｰｼﾞ","PDU","ONU"},$F88&amp;"")))&gt;0)),"／重量が未記入","")&amp;IF(AND(K88&lt;&gt;"",NOT(ISNUMBER(K88))),"／電圧が数値でない","")&amp;IF(AND(N88&lt;&gt;"",NOT(ISNUMBER(N88))),"／電流が数値でない","")&amp;IF(AND(C88&lt;&gt;"",C88&lt;1),"／開始Uが1未満","")&amp;IF(AND(E88&lt;&gt;"",E88&gt;IFERROR(VLOOKUP(A88,ラック定義!$A:$B,2,FALSE),47)),"／総Uをはみ出す","")&amp;IF(AND(A88&lt;&gt;"",COUNTIF(ラック定義!$A:$A,A88)=0),"／ラックが定義にない","")&amp;IF(AND(SUMPRODUCT((機器台帳!$A$2:$A$400=$A88)*((機器台帳!$B$2:$B$400=$B88)+(機器台帳!$B$2:$B$400="両面")+($B88="両面")&gt;0)*(機器台帳!$C$2:$C$400&lt;=$C88+$D88-1)*(機器台帳!$C$2:$C$400+機器台帳!$D$2:$D$400-1&gt;=$C88)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88&amp;"")))&gt;0)),"／同じUに他の機器(横並びなら正常)","")&amp;IF(AND(M88&lt;&gt;"",COUNTIFS(回路定義!$A:$A,A88,回路定義!$B:$B,M88)=0),"／回路1が定義にない","")&amp;IF(AND(P88&lt;&gt;"",COUNTIFS(回路定義!$A:$A,A88,回路定義!$B:$B,P88)=0),"／回路2が定義にない","")&amp;IF(AND(S88&lt;&gt;"",COUNTIFS(回路定義!$A:$A,A88,回路定義!$B:$B,S88)=0),"／回路3が定義にない",""))="","",MID(IF(AND(Y88=0,NOT(SUMPRODUCT(--ISNUMBER(SEARCH({"棚板","棚","アングル","ｱﾝｸﾞﾙ","使用不可","ケーブル","ｹｰﾌﾞﾙ","PatchPnael","パッチ","引き出し","引出","ブランク","ﾌﾞﾗﾝｸ","マネージ","ﾏﾈｰｼﾞ","PDU","ONU"},$F88&amp;"")))&gt;0),NOT(SUMPRODUCT(--ISNUMBER(SEARCH({"電源オフ","未投入","停止","未使用","撤去"},$X88&amp;"")))&gt;0)),"／電力が未記入","")&amp;IF(AND(NOT(ISNUMBER(J88)),NOT(SUMPRODUCT(--ISNUMBER(SEARCH({"棚板","棚","アングル","ｱﾝｸﾞﾙ","使用不可","ケーブル","ｹｰﾌﾞﾙ","PatchPnael","パッチ","引き出し","引出","ブランク","ﾌﾞﾗﾝｸ","マネージ","ﾏﾈｰｼﾞ","PDU","ONU"},$F88&amp;"")))&gt;0)),"／重量が未記入","")&amp;IF(AND(K88&lt;&gt;"",NOT(ISNUMBER(K88))),"／電圧が数値でない","")&amp;IF(AND(N88&lt;&gt;"",NOT(ISNUMBER(N88))),"／電流が数値でない","")&amp;IF(AND(C88&lt;&gt;"",C88&lt;1),"／開始Uが1未満","")&amp;IF(AND(E88&lt;&gt;"",E88&gt;IFERROR(VLOOKUP(A88,ラック定義!$A:$B,2,FALSE),47)),"／総Uをはみ出す","")&amp;IF(AND(A88&lt;&gt;"",COUNTIF(ラック定義!$A:$A,A88)=0),"／ラックが定義にない","")&amp;IF(AND(SUMPRODUCT((機器台帳!$A$2:$A$400=$A88)*((機器台帳!$B$2:$B$400=$B88)+(機器台帳!$B$2:$B$400="両面")+($B88="両面")&gt;0)*(機器台帳!$C$2:$C$400&lt;=$C88+$D88-1)*(機器台帳!$C$2:$C$400+機器台帳!$D$2:$D$400-1&gt;=$C88)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88&amp;"")))&gt;0)),"／同じUに他の機器(横並びなら正常)","")&amp;IF(AND(M88&lt;&gt;"",COUNTIFS(回路定義!$A:$A,A88,回路定義!$B:$B,M88)=0),"／回路1が定義にない","")&amp;IF(AND(P88&lt;&gt;"",COUNTIFS(回路定義!$A:$A,A88,回路定義!$B:$B,P88)=0),"／回路2が定義にない","")&amp;IF(AND(S88&lt;&gt;"",COUNTIFS(回路定義!$A:$A,A88,回路定義!$B:$B,S88)=0),"／回路3が定義にない",""),2,300)))</f>
        <v/>
      </c>
    </row>
    <row r="89">
      <c r="A89" s="5" t="inlineStr">
        <is>
          <t>E24-S8-3</t>
        </is>
      </c>
      <c r="B89" s="5" t="inlineStr">
        <is>
          <t>背面</t>
        </is>
      </c>
      <c r="C89" s="5" t="n">
        <v>31</v>
      </c>
      <c r="D89" s="5" t="n">
        <v>1</v>
      </c>
      <c r="E89" s="6">
        <f>IF(C89="","",C89+D89-1)</f>
        <v/>
      </c>
      <c r="F89" s="5" t="inlineStr">
        <is>
          <t>⑭Edge610 LTE</t>
        </is>
      </c>
      <c r="G89" s="5" t="inlineStr">
        <is>
          <t>H2115658</t>
        </is>
      </c>
      <c r="H89" s="5" t="inlineStr">
        <is>
          <t>VMWare</t>
        </is>
      </c>
      <c r="I89" s="5" t="inlineStr">
        <is>
          <t>SDWAN</t>
        </is>
      </c>
      <c r="J89" s="5" t="n">
        <v>1.3</v>
      </c>
      <c r="K89" s="5" t="n">
        <v>100</v>
      </c>
      <c r="L89" s="5" t="n">
        <v>1</v>
      </c>
      <c r="M89" s="5" t="inlineStr">
        <is>
          <t>100V 20A （2）</t>
        </is>
      </c>
      <c r="N89" s="5" t="n">
        <v>0.26</v>
      </c>
      <c r="O89" s="5" t="n">
        <v>1</v>
      </c>
      <c r="P89" s="5" t="n"/>
      <c r="Q89" s="5" t="n"/>
      <c r="R89" s="5" t="n"/>
      <c r="S89" s="5" t="n"/>
      <c r="T89" s="5" t="n"/>
      <c r="U89" s="5" t="n"/>
      <c r="V89" s="5" t="inlineStr">
        <is>
          <t>棚</t>
        </is>
      </c>
      <c r="W89" s="5" t="inlineStr">
        <is>
          <t>１本</t>
        </is>
      </c>
      <c r="X89" s="5" t="inlineStr">
        <is>
          <t>2022/12 取り外し</t>
        </is>
      </c>
      <c r="Y89" s="6">
        <f>COUNT(N89,Q89,T89)</f>
        <v/>
      </c>
      <c r="Z89" s="6">
        <f>IF(OR(K89="",NOT(ISNUMBER(K89))),"",K89*SUM(N89,Q89,T89))</f>
        <v/>
      </c>
      <c r="AA89" s="6">
        <f>IF(OR(Y89=0,N89=""),"",N89/Y89)</f>
        <v/>
      </c>
      <c r="AB89" s="6">
        <f>IF(OR(Y89=0,Q89=""),"",Q89/Y89)</f>
        <v/>
      </c>
      <c r="AC89" s="6">
        <f>IF(OR(Y89=0,T89=""),"",T89/Y89)</f>
        <v/>
      </c>
      <c r="AD89" s="6">
        <f>IF(F89="","",IF((IF(AND(Y89=0,NOT(SUMPRODUCT(--ISNUMBER(SEARCH({"棚板","棚","アングル","ｱﾝｸﾞﾙ","使用不可","ケーブル","ｹｰﾌﾞﾙ","PatchPnael","パッチ","引き出し","引出","ブランク","ﾌﾞﾗﾝｸ","マネージ","ﾏﾈｰｼﾞ","PDU","ONU"},$F89&amp;"")))&gt;0),NOT(SUMPRODUCT(--ISNUMBER(SEARCH({"電源オフ","未投入","停止","未使用","撤去"},$X89&amp;"")))&gt;0)),"／電力が未記入","")&amp;IF(AND(NOT(ISNUMBER(J89)),NOT(SUMPRODUCT(--ISNUMBER(SEARCH({"棚板","棚","アングル","ｱﾝｸﾞﾙ","使用不可","ケーブル","ｹｰﾌﾞﾙ","PatchPnael","パッチ","引き出し","引出","ブランク","ﾌﾞﾗﾝｸ","マネージ","ﾏﾈｰｼﾞ","PDU","ONU"},$F89&amp;"")))&gt;0)),"／重量が未記入","")&amp;IF(AND(K89&lt;&gt;"",NOT(ISNUMBER(K89))),"／電圧が数値でない","")&amp;IF(AND(N89&lt;&gt;"",NOT(ISNUMBER(N89))),"／電流が数値でない","")&amp;IF(AND(C89&lt;&gt;"",C89&lt;1),"／開始Uが1未満","")&amp;IF(AND(E89&lt;&gt;"",E89&gt;IFERROR(VLOOKUP(A89,ラック定義!$A:$B,2,FALSE),47)),"／総Uをはみ出す","")&amp;IF(AND(A89&lt;&gt;"",COUNTIF(ラック定義!$A:$A,A89)=0),"／ラックが定義にない","")&amp;IF(AND(SUMPRODUCT((機器台帳!$A$2:$A$400=$A89)*((機器台帳!$B$2:$B$400=$B89)+(機器台帳!$B$2:$B$400="両面")+($B89="両面")&gt;0)*(機器台帳!$C$2:$C$400&lt;=$C89+$D89-1)*(機器台帳!$C$2:$C$400+機器台帳!$D$2:$D$400-1&gt;=$C89)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89&amp;"")))&gt;0)),"／同じUに他の機器(横並びなら正常)","")&amp;IF(AND(M89&lt;&gt;"",COUNTIFS(回路定義!$A:$A,A89,回路定義!$B:$B,M89)=0),"／回路1が定義にない","")&amp;IF(AND(P89&lt;&gt;"",COUNTIFS(回路定義!$A:$A,A89,回路定義!$B:$B,P89)=0),"／回路2が定義にない","")&amp;IF(AND(S89&lt;&gt;"",COUNTIFS(回路定義!$A:$A,A89,回路定義!$B:$B,S89)=0),"／回路3が定義にない",""))="","",MID(IF(AND(Y89=0,NOT(SUMPRODUCT(--ISNUMBER(SEARCH({"棚板","棚","アングル","ｱﾝｸﾞﾙ","使用不可","ケーブル","ｹｰﾌﾞﾙ","PatchPnael","パッチ","引き出し","引出","ブランク","ﾌﾞﾗﾝｸ","マネージ","ﾏﾈｰｼﾞ","PDU","ONU"},$F89&amp;"")))&gt;0),NOT(SUMPRODUCT(--ISNUMBER(SEARCH({"電源オフ","未投入","停止","未使用","撤去"},$X89&amp;"")))&gt;0)),"／電力が未記入","")&amp;IF(AND(NOT(ISNUMBER(J89)),NOT(SUMPRODUCT(--ISNUMBER(SEARCH({"棚板","棚","アングル","ｱﾝｸﾞﾙ","使用不可","ケーブル","ｹｰﾌﾞﾙ","PatchPnael","パッチ","引き出し","引出","ブランク","ﾌﾞﾗﾝｸ","マネージ","ﾏﾈｰｼﾞ","PDU","ONU"},$F89&amp;"")))&gt;0)),"／重量が未記入","")&amp;IF(AND(K89&lt;&gt;"",NOT(ISNUMBER(K89))),"／電圧が数値でない","")&amp;IF(AND(N89&lt;&gt;"",NOT(ISNUMBER(N89))),"／電流が数値でない","")&amp;IF(AND(C89&lt;&gt;"",C89&lt;1),"／開始Uが1未満","")&amp;IF(AND(E89&lt;&gt;"",E89&gt;IFERROR(VLOOKUP(A89,ラック定義!$A:$B,2,FALSE),47)),"／総Uをはみ出す","")&amp;IF(AND(A89&lt;&gt;"",COUNTIF(ラック定義!$A:$A,A89)=0),"／ラックが定義にない","")&amp;IF(AND(SUMPRODUCT((機器台帳!$A$2:$A$400=$A89)*((機器台帳!$B$2:$B$400=$B89)+(機器台帳!$B$2:$B$400="両面")+($B89="両面")&gt;0)*(機器台帳!$C$2:$C$400&lt;=$C89+$D89-1)*(機器台帳!$C$2:$C$400+機器台帳!$D$2:$D$400-1&gt;=$C89)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89&amp;"")))&gt;0)),"／同じUに他の機器(横並びなら正常)","")&amp;IF(AND(M89&lt;&gt;"",COUNTIFS(回路定義!$A:$A,A89,回路定義!$B:$B,M89)=0),"／回路1が定義にない","")&amp;IF(AND(P89&lt;&gt;"",COUNTIFS(回路定義!$A:$A,A89,回路定義!$B:$B,P89)=0),"／回路2が定義にない","")&amp;IF(AND(S89&lt;&gt;"",COUNTIFS(回路定義!$A:$A,A89,回路定義!$B:$B,S89)=0),"／回路3が定義にない",""),2,300)))</f>
        <v/>
      </c>
    </row>
    <row r="90">
      <c r="A90" s="5" t="inlineStr">
        <is>
          <t>E24-S8-3</t>
        </is>
      </c>
      <c r="B90" s="5" t="inlineStr">
        <is>
          <t>背面</t>
        </is>
      </c>
      <c r="C90" s="5" t="n">
        <v>30</v>
      </c>
      <c r="D90" s="5" t="n">
        <v>1</v>
      </c>
      <c r="E90" s="6">
        <f>IF(C90="","",C90+D90-1)</f>
        <v/>
      </c>
      <c r="F90" s="5" t="inlineStr">
        <is>
          <t>⑮Edge610 LTE</t>
        </is>
      </c>
      <c r="G90" s="5" t="inlineStr">
        <is>
          <t>H2115659</t>
        </is>
      </c>
      <c r="H90" s="5" t="inlineStr">
        <is>
          <t>VMWare</t>
        </is>
      </c>
      <c r="I90" s="5" t="inlineStr">
        <is>
          <t>SDWAN</t>
        </is>
      </c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inlineStr">
        <is>
          <t>棚</t>
        </is>
      </c>
      <c r="W90" s="5" t="inlineStr">
        <is>
          <t>１本</t>
        </is>
      </c>
      <c r="X90" s="5" t="inlineStr">
        <is>
          <t>2022/12 取り外し</t>
        </is>
      </c>
      <c r="Y90" s="6">
        <f>COUNT(N90,Q90,T90)</f>
        <v/>
      </c>
      <c r="Z90" s="6">
        <f>IF(OR(K90="",NOT(ISNUMBER(K90))),"",K90*SUM(N90,Q90,T90))</f>
        <v/>
      </c>
      <c r="AA90" s="6">
        <f>IF(OR(Y90=0,N90=""),"",N90/Y90)</f>
        <v/>
      </c>
      <c r="AB90" s="6">
        <f>IF(OR(Y90=0,Q90=""),"",Q90/Y90)</f>
        <v/>
      </c>
      <c r="AC90" s="6">
        <f>IF(OR(Y90=0,T90=""),"",T90/Y90)</f>
        <v/>
      </c>
      <c r="AD90" s="6">
        <f>IF(F90="","",IF((IF(AND(Y90=0,NOT(SUMPRODUCT(--ISNUMBER(SEARCH({"棚板","棚","アングル","ｱﾝｸﾞﾙ","使用不可","ケーブル","ｹｰﾌﾞﾙ","PatchPnael","パッチ","引き出し","引出","ブランク","ﾌﾞﾗﾝｸ","マネージ","ﾏﾈｰｼﾞ","PDU","ONU"},$F90&amp;"")))&gt;0),NOT(SUMPRODUCT(--ISNUMBER(SEARCH({"電源オフ","未投入","停止","未使用","撤去"},$X90&amp;"")))&gt;0)),"／電力が未記入","")&amp;IF(AND(NOT(ISNUMBER(J90)),NOT(SUMPRODUCT(--ISNUMBER(SEARCH({"棚板","棚","アングル","ｱﾝｸﾞﾙ","使用不可","ケーブル","ｹｰﾌﾞﾙ","PatchPnael","パッチ","引き出し","引出","ブランク","ﾌﾞﾗﾝｸ","マネージ","ﾏﾈｰｼﾞ","PDU","ONU"},$F90&amp;"")))&gt;0)),"／重量が未記入","")&amp;IF(AND(K90&lt;&gt;"",NOT(ISNUMBER(K90))),"／電圧が数値でない","")&amp;IF(AND(N90&lt;&gt;"",NOT(ISNUMBER(N90))),"／電流が数値でない","")&amp;IF(AND(C90&lt;&gt;"",C90&lt;1),"／開始Uが1未満","")&amp;IF(AND(E90&lt;&gt;"",E90&gt;IFERROR(VLOOKUP(A90,ラック定義!$A:$B,2,FALSE),47)),"／総Uをはみ出す","")&amp;IF(AND(A90&lt;&gt;"",COUNTIF(ラック定義!$A:$A,A90)=0),"／ラックが定義にない","")&amp;IF(AND(SUMPRODUCT((機器台帳!$A$2:$A$400=$A90)*((機器台帳!$B$2:$B$400=$B90)+(機器台帳!$B$2:$B$400="両面")+($B90="両面")&gt;0)*(機器台帳!$C$2:$C$400&lt;=$C90+$D90-1)*(機器台帳!$C$2:$C$400+機器台帳!$D$2:$D$400-1&gt;=$C90)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90&amp;"")))&gt;0)),"／同じUに他の機器(横並びなら正常)","")&amp;IF(AND(M90&lt;&gt;"",COUNTIFS(回路定義!$A:$A,A90,回路定義!$B:$B,M90)=0),"／回路1が定義にない","")&amp;IF(AND(P90&lt;&gt;"",COUNTIFS(回路定義!$A:$A,A90,回路定義!$B:$B,P90)=0),"／回路2が定義にない","")&amp;IF(AND(S90&lt;&gt;"",COUNTIFS(回路定義!$A:$A,A90,回路定義!$B:$B,S90)=0),"／回路3が定義にない",""))="","",MID(IF(AND(Y90=0,NOT(SUMPRODUCT(--ISNUMBER(SEARCH({"棚板","棚","アングル","ｱﾝｸﾞﾙ","使用不可","ケーブル","ｹｰﾌﾞﾙ","PatchPnael","パッチ","引き出し","引出","ブランク","ﾌﾞﾗﾝｸ","マネージ","ﾏﾈｰｼﾞ","PDU","ONU"},$F90&amp;"")))&gt;0),NOT(SUMPRODUCT(--ISNUMBER(SEARCH({"電源オフ","未投入","停止","未使用","撤去"},$X90&amp;"")))&gt;0)),"／電力が未記入","")&amp;IF(AND(NOT(ISNUMBER(J90)),NOT(SUMPRODUCT(--ISNUMBER(SEARCH({"棚板","棚","アングル","ｱﾝｸﾞﾙ","使用不可","ケーブル","ｹｰﾌﾞﾙ","PatchPnael","パッチ","引き出し","引出","ブランク","ﾌﾞﾗﾝｸ","マネージ","ﾏﾈｰｼﾞ","PDU","ONU"},$F90&amp;"")))&gt;0)),"／重量が未記入","")&amp;IF(AND(K90&lt;&gt;"",NOT(ISNUMBER(K90))),"／電圧が数値でない","")&amp;IF(AND(N90&lt;&gt;"",NOT(ISNUMBER(N90))),"／電流が数値でない","")&amp;IF(AND(C90&lt;&gt;"",C90&lt;1),"／開始Uが1未満","")&amp;IF(AND(E90&lt;&gt;"",E90&gt;IFERROR(VLOOKUP(A90,ラック定義!$A:$B,2,FALSE),47)),"／総Uをはみ出す","")&amp;IF(AND(A90&lt;&gt;"",COUNTIF(ラック定義!$A:$A,A90)=0),"／ラックが定義にない","")&amp;IF(AND(SUMPRODUCT((機器台帳!$A$2:$A$400=$A90)*((機器台帳!$B$2:$B$400=$B90)+(機器台帳!$B$2:$B$400="両面")+($B90="両面")&gt;0)*(機器台帳!$C$2:$C$400&lt;=$C90+$D90-1)*(機器台帳!$C$2:$C$400+機器台帳!$D$2:$D$400-1&gt;=$C90)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90&amp;"")))&gt;0)),"／同じUに他の機器(横並びなら正常)","")&amp;IF(AND(M90&lt;&gt;"",COUNTIFS(回路定義!$A:$A,A90,回路定義!$B:$B,M90)=0),"／回路1が定義にない","")&amp;IF(AND(P90&lt;&gt;"",COUNTIFS(回路定義!$A:$A,A90,回路定義!$B:$B,P90)=0),"／回路2が定義にない","")&amp;IF(AND(S90&lt;&gt;"",COUNTIFS(回路定義!$A:$A,A90,回路定義!$B:$B,S90)=0),"／回路3が定義にない",""),2,300)))</f>
        <v/>
      </c>
    </row>
    <row r="91">
      <c r="A91" s="5" t="inlineStr">
        <is>
          <t>E24-S8-3</t>
        </is>
      </c>
      <c r="B91" s="5" t="inlineStr">
        <is>
          <t>前面</t>
        </is>
      </c>
      <c r="C91" s="5" t="n">
        <v>8</v>
      </c>
      <c r="D91" s="5" t="n">
        <v>4</v>
      </c>
      <c r="E91" s="6">
        <f>IF(C91="","",C91+D91-1)</f>
        <v/>
      </c>
      <c r="F91" s="5" t="inlineStr">
        <is>
          <t>引き出し①</t>
        </is>
      </c>
      <c r="G91" s="5" t="inlineStr"/>
      <c r="H91" s="5" t="inlineStr"/>
      <c r="I91" s="5" t="inlineStr"/>
      <c r="J91" s="5" t="n">
        <v>5</v>
      </c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inlineStr">
        <is>
          <t>前留</t>
        </is>
      </c>
      <c r="W91" s="5" t="inlineStr"/>
      <c r="X91" s="5" t="inlineStr"/>
      <c r="Y91" s="6">
        <f>COUNT(N91,Q91,T91)</f>
        <v/>
      </c>
      <c r="Z91" s="6">
        <f>IF(OR(K91="",NOT(ISNUMBER(K91))),"",K91*SUM(N91,Q91,T91))</f>
        <v/>
      </c>
      <c r="AA91" s="6">
        <f>IF(OR(Y91=0,N91=""),"",N91/Y91)</f>
        <v/>
      </c>
      <c r="AB91" s="6">
        <f>IF(OR(Y91=0,Q91=""),"",Q91/Y91)</f>
        <v/>
      </c>
      <c r="AC91" s="6">
        <f>IF(OR(Y91=0,T91=""),"",T91/Y91)</f>
        <v/>
      </c>
      <c r="AD91" s="6">
        <f>IF(F91="","",IF((IF(AND(Y91=0,NOT(SUMPRODUCT(--ISNUMBER(SEARCH({"棚板","棚","アングル","ｱﾝｸﾞﾙ","使用不可","ケーブル","ｹｰﾌﾞﾙ","PatchPnael","パッチ","引き出し","引出","ブランク","ﾌﾞﾗﾝｸ","マネージ","ﾏﾈｰｼﾞ","PDU","ONU"},$F91&amp;"")))&gt;0),NOT(SUMPRODUCT(--ISNUMBER(SEARCH({"電源オフ","未投入","停止","未使用","撤去"},$X91&amp;"")))&gt;0)),"／電力が未記入","")&amp;IF(AND(NOT(ISNUMBER(J91)),NOT(SUMPRODUCT(--ISNUMBER(SEARCH({"棚板","棚","アングル","ｱﾝｸﾞﾙ","使用不可","ケーブル","ｹｰﾌﾞﾙ","PatchPnael","パッチ","引き出し","引出","ブランク","ﾌﾞﾗﾝｸ","マネージ","ﾏﾈｰｼﾞ","PDU","ONU"},$F91&amp;"")))&gt;0)),"／重量が未記入","")&amp;IF(AND(K91&lt;&gt;"",NOT(ISNUMBER(K91))),"／電圧が数値でない","")&amp;IF(AND(N91&lt;&gt;"",NOT(ISNUMBER(N91))),"／電流が数値でない","")&amp;IF(AND(C91&lt;&gt;"",C91&lt;1),"／開始Uが1未満","")&amp;IF(AND(E91&lt;&gt;"",E91&gt;IFERROR(VLOOKUP(A91,ラック定義!$A:$B,2,FALSE),47)),"／総Uをはみ出す","")&amp;IF(AND(A91&lt;&gt;"",COUNTIF(ラック定義!$A:$A,A91)=0),"／ラックが定義にない","")&amp;IF(AND(SUMPRODUCT((機器台帳!$A$2:$A$400=$A91)*((機器台帳!$B$2:$B$400=$B91)+(機器台帳!$B$2:$B$400="両面")+($B91="両面")&gt;0)*(機器台帳!$C$2:$C$400&lt;=$C91+$D91-1)*(機器台帳!$C$2:$C$400+機器台帳!$D$2:$D$400-1&gt;=$C91)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91&amp;"")))&gt;0)),"／同じUに他の機器(横並びなら正常)","")&amp;IF(AND(M91&lt;&gt;"",COUNTIFS(回路定義!$A:$A,A91,回路定義!$B:$B,M91)=0),"／回路1が定義にない","")&amp;IF(AND(P91&lt;&gt;"",COUNTIFS(回路定義!$A:$A,A91,回路定義!$B:$B,P91)=0),"／回路2が定義にない","")&amp;IF(AND(S91&lt;&gt;"",COUNTIFS(回路定義!$A:$A,A91,回路定義!$B:$B,S91)=0),"／回路3が定義にない",""))="","",MID(IF(AND(Y91=0,NOT(SUMPRODUCT(--ISNUMBER(SEARCH({"棚板","棚","アングル","ｱﾝｸﾞﾙ","使用不可","ケーブル","ｹｰﾌﾞﾙ","PatchPnael","パッチ","引き出し","引出","ブランク","ﾌﾞﾗﾝｸ","マネージ","ﾏﾈｰｼﾞ","PDU","ONU"},$F91&amp;"")))&gt;0),NOT(SUMPRODUCT(--ISNUMBER(SEARCH({"電源オフ","未投入","停止","未使用","撤去"},$X91&amp;"")))&gt;0)),"／電力が未記入","")&amp;IF(AND(NOT(ISNUMBER(J91)),NOT(SUMPRODUCT(--ISNUMBER(SEARCH({"棚板","棚","アングル","ｱﾝｸﾞﾙ","使用不可","ケーブル","ｹｰﾌﾞﾙ","PatchPnael","パッチ","引き出し","引出","ブランク","ﾌﾞﾗﾝｸ","マネージ","ﾏﾈｰｼﾞ","PDU","ONU"},$F91&amp;"")))&gt;0)),"／重量が未記入","")&amp;IF(AND(K91&lt;&gt;"",NOT(ISNUMBER(K91))),"／電圧が数値でない","")&amp;IF(AND(N91&lt;&gt;"",NOT(ISNUMBER(N91))),"／電流が数値でない","")&amp;IF(AND(C91&lt;&gt;"",C91&lt;1),"／開始Uが1未満","")&amp;IF(AND(E91&lt;&gt;"",E91&gt;IFERROR(VLOOKUP(A91,ラック定義!$A:$B,2,FALSE),47)),"／総Uをはみ出す","")&amp;IF(AND(A91&lt;&gt;"",COUNTIF(ラック定義!$A:$A,A91)=0),"／ラックが定義にない","")&amp;IF(AND(SUMPRODUCT((機器台帳!$A$2:$A$400=$A91)*((機器台帳!$B$2:$B$400=$B91)+(機器台帳!$B$2:$B$400="両面")+($B91="両面")&gt;0)*(機器台帳!$C$2:$C$400&lt;=$C91+$D91-1)*(機器台帳!$C$2:$C$400+機器台帳!$D$2:$D$400-1&gt;=$C91)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91&amp;"")))&gt;0)),"／同じUに他の機器(横並びなら正常)","")&amp;IF(AND(M91&lt;&gt;"",COUNTIFS(回路定義!$A:$A,A91,回路定義!$B:$B,M91)=0),"／回路1が定義にない","")&amp;IF(AND(P91&lt;&gt;"",COUNTIFS(回路定義!$A:$A,A91,回路定義!$B:$B,P91)=0),"／回路2が定義にない","")&amp;IF(AND(S91&lt;&gt;"",COUNTIFS(回路定義!$A:$A,A91,回路定義!$B:$B,S91)=0),"／回路3が定義にない",""),2,300)))</f>
        <v/>
      </c>
    </row>
    <row r="92">
      <c r="A92" s="5" t="inlineStr">
        <is>
          <t>E24-S8-3</t>
        </is>
      </c>
      <c r="B92" s="5" t="inlineStr">
        <is>
          <t>背面</t>
        </is>
      </c>
      <c r="C92" s="5" t="n">
        <v>8</v>
      </c>
      <c r="D92" s="5" t="n">
        <v>4</v>
      </c>
      <c r="E92" s="6">
        <f>IF(C92="","",C92+D92-1)</f>
        <v/>
      </c>
      <c r="F92" s="5" t="inlineStr">
        <is>
          <t>引き出し①　背面</t>
        </is>
      </c>
      <c r="G92" s="5" t="inlineStr"/>
      <c r="H92" s="5" t="inlineStr"/>
      <c r="I92" s="5" t="inlineStr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inlineStr">
        <is>
          <t>前留</t>
        </is>
      </c>
      <c r="W92" s="5" t="inlineStr"/>
      <c r="X92" s="5" t="inlineStr"/>
      <c r="Y92" s="6">
        <f>COUNT(N92,Q92,T92)</f>
        <v/>
      </c>
      <c r="Z92" s="6">
        <f>IF(OR(K92="",NOT(ISNUMBER(K92))),"",K92*SUM(N92,Q92,T92))</f>
        <v/>
      </c>
      <c r="AA92" s="6">
        <f>IF(OR(Y92=0,N92=""),"",N92/Y92)</f>
        <v/>
      </c>
      <c r="AB92" s="6">
        <f>IF(OR(Y92=0,Q92=""),"",Q92/Y92)</f>
        <v/>
      </c>
      <c r="AC92" s="6">
        <f>IF(OR(Y92=0,T92=""),"",T92/Y92)</f>
        <v/>
      </c>
      <c r="AD92" s="6">
        <f>IF(F92="","",IF((IF(AND(Y92=0,NOT(SUMPRODUCT(--ISNUMBER(SEARCH({"棚板","棚","アングル","ｱﾝｸﾞﾙ","使用不可","ケーブル","ｹｰﾌﾞﾙ","PatchPnael","パッチ","引き出し","引出","ブランク","ﾌﾞﾗﾝｸ","マネージ","ﾏﾈｰｼﾞ","PDU","ONU"},$F92&amp;"")))&gt;0),NOT(SUMPRODUCT(--ISNUMBER(SEARCH({"電源オフ","未投入","停止","未使用","撤去"},$X92&amp;"")))&gt;0)),"／電力が未記入","")&amp;IF(AND(NOT(ISNUMBER(J92)),NOT(SUMPRODUCT(--ISNUMBER(SEARCH({"棚板","棚","アングル","ｱﾝｸﾞﾙ","使用不可","ケーブル","ｹｰﾌﾞﾙ","PatchPnael","パッチ","引き出し","引出","ブランク","ﾌﾞﾗﾝｸ","マネージ","ﾏﾈｰｼﾞ","PDU","ONU"},$F92&amp;"")))&gt;0)),"／重量が未記入","")&amp;IF(AND(K92&lt;&gt;"",NOT(ISNUMBER(K92))),"／電圧が数値でない","")&amp;IF(AND(N92&lt;&gt;"",NOT(ISNUMBER(N92))),"／電流が数値でない","")&amp;IF(AND(C92&lt;&gt;"",C92&lt;1),"／開始Uが1未満","")&amp;IF(AND(E92&lt;&gt;"",E92&gt;IFERROR(VLOOKUP(A92,ラック定義!$A:$B,2,FALSE),47)),"／総Uをはみ出す","")&amp;IF(AND(A92&lt;&gt;"",COUNTIF(ラック定義!$A:$A,A92)=0),"／ラックが定義にない","")&amp;IF(AND(SUMPRODUCT((機器台帳!$A$2:$A$400=$A92)*((機器台帳!$B$2:$B$400=$B92)+(機器台帳!$B$2:$B$400="両面")+($B92="両面")&gt;0)*(機器台帳!$C$2:$C$400&lt;=$C92+$D92-1)*(機器台帳!$C$2:$C$400+機器台帳!$D$2:$D$400-1&gt;=$C92)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92&amp;"")))&gt;0)),"／同じUに他の機器(横並びなら正常)","")&amp;IF(AND(M92&lt;&gt;"",COUNTIFS(回路定義!$A:$A,A92,回路定義!$B:$B,M92)=0),"／回路1が定義にない","")&amp;IF(AND(P92&lt;&gt;"",COUNTIFS(回路定義!$A:$A,A92,回路定義!$B:$B,P92)=0),"／回路2が定義にない","")&amp;IF(AND(S92&lt;&gt;"",COUNTIFS(回路定義!$A:$A,A92,回路定義!$B:$B,S92)=0),"／回路3が定義にない",""))="","",MID(IF(AND(Y92=0,NOT(SUMPRODUCT(--ISNUMBER(SEARCH({"棚板","棚","アングル","ｱﾝｸﾞﾙ","使用不可","ケーブル","ｹｰﾌﾞﾙ","PatchPnael","パッチ","引き出し","引出","ブランク","ﾌﾞﾗﾝｸ","マネージ","ﾏﾈｰｼﾞ","PDU","ONU"},$F92&amp;"")))&gt;0),NOT(SUMPRODUCT(--ISNUMBER(SEARCH({"電源オフ","未投入","停止","未使用","撤去"},$X92&amp;"")))&gt;0)),"／電力が未記入","")&amp;IF(AND(NOT(ISNUMBER(J92)),NOT(SUMPRODUCT(--ISNUMBER(SEARCH({"棚板","棚","アングル","ｱﾝｸﾞﾙ","使用不可","ケーブル","ｹｰﾌﾞﾙ","PatchPnael","パッチ","引き出し","引出","ブランク","ﾌﾞﾗﾝｸ","マネージ","ﾏﾈｰｼﾞ","PDU","ONU"},$F92&amp;"")))&gt;0)),"／重量が未記入","")&amp;IF(AND(K92&lt;&gt;"",NOT(ISNUMBER(K92))),"／電圧が数値でない","")&amp;IF(AND(N92&lt;&gt;"",NOT(ISNUMBER(N92))),"／電流が数値でない","")&amp;IF(AND(C92&lt;&gt;"",C92&lt;1),"／開始Uが1未満","")&amp;IF(AND(E92&lt;&gt;"",E92&gt;IFERROR(VLOOKUP(A92,ラック定義!$A:$B,2,FALSE),47)),"／総Uをはみ出す","")&amp;IF(AND(A92&lt;&gt;"",COUNTIF(ラック定義!$A:$A,A92)=0),"／ラックが定義にない","")&amp;IF(AND(SUMPRODUCT((機器台帳!$A$2:$A$400=$A92)*((機器台帳!$B$2:$B$400=$B92)+(機器台帳!$B$2:$B$400="両面")+($B92="両面")&gt;0)*(機器台帳!$C$2:$C$400&lt;=$C92+$D92-1)*(機器台帳!$C$2:$C$400+機器台帳!$D$2:$D$400-1&gt;=$C92)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92&amp;"")))&gt;0)),"／同じUに他の機器(横並びなら正常)","")&amp;IF(AND(M92&lt;&gt;"",COUNTIFS(回路定義!$A:$A,A92,回路定義!$B:$B,M92)=0),"／回路1が定義にない","")&amp;IF(AND(P92&lt;&gt;"",COUNTIFS(回路定義!$A:$A,A92,回路定義!$B:$B,P92)=0),"／回路2が定義にない","")&amp;IF(AND(S92&lt;&gt;"",COUNTIFS(回路定義!$A:$A,A92,回路定義!$B:$B,S92)=0),"／回路3が定義にない",""),2,300)))</f>
        <v/>
      </c>
    </row>
    <row r="93">
      <c r="A93" s="5" t="inlineStr">
        <is>
          <t>E24-S8-3</t>
        </is>
      </c>
      <c r="B93" s="5" t="inlineStr">
        <is>
          <t>前面</t>
        </is>
      </c>
      <c r="C93" s="5" t="n">
        <v>5</v>
      </c>
      <c r="D93" s="5" t="n">
        <v>3</v>
      </c>
      <c r="E93" s="6">
        <f>IF(C93="","",C93+D93-1)</f>
        <v/>
      </c>
      <c r="F93" s="5" t="inlineStr">
        <is>
          <t>引き出し②</t>
        </is>
      </c>
      <c r="G93" s="5" t="inlineStr"/>
      <c r="H93" s="5" t="inlineStr"/>
      <c r="I93" s="5" t="inlineStr"/>
      <c r="J93" s="5" t="n">
        <v>5</v>
      </c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inlineStr">
        <is>
          <t>前留</t>
        </is>
      </c>
      <c r="W93" s="5" t="inlineStr"/>
      <c r="X93" s="5" t="inlineStr"/>
      <c r="Y93" s="6">
        <f>COUNT(N93,Q93,T93)</f>
        <v/>
      </c>
      <c r="Z93" s="6">
        <f>IF(OR(K93="",NOT(ISNUMBER(K93))),"",K93*SUM(N93,Q93,T93))</f>
        <v/>
      </c>
      <c r="AA93" s="6">
        <f>IF(OR(Y93=0,N93=""),"",N93/Y93)</f>
        <v/>
      </c>
      <c r="AB93" s="6">
        <f>IF(OR(Y93=0,Q93=""),"",Q93/Y93)</f>
        <v/>
      </c>
      <c r="AC93" s="6">
        <f>IF(OR(Y93=0,T93=""),"",T93/Y93)</f>
        <v/>
      </c>
      <c r="AD93" s="6">
        <f>IF(F93="","",IF((IF(AND(Y93=0,NOT(SUMPRODUCT(--ISNUMBER(SEARCH({"棚板","棚","アングル","ｱﾝｸﾞﾙ","使用不可","ケーブル","ｹｰﾌﾞﾙ","PatchPnael","パッチ","引き出し","引出","ブランク","ﾌﾞﾗﾝｸ","マネージ","ﾏﾈｰｼﾞ","PDU","ONU"},$F93&amp;"")))&gt;0),NOT(SUMPRODUCT(--ISNUMBER(SEARCH({"電源オフ","未投入","停止","未使用","撤去"},$X93&amp;"")))&gt;0)),"／電力が未記入","")&amp;IF(AND(NOT(ISNUMBER(J93)),NOT(SUMPRODUCT(--ISNUMBER(SEARCH({"棚板","棚","アングル","ｱﾝｸﾞﾙ","使用不可","ケーブル","ｹｰﾌﾞﾙ","PatchPnael","パッチ","引き出し","引出","ブランク","ﾌﾞﾗﾝｸ","マネージ","ﾏﾈｰｼﾞ","PDU","ONU"},$F93&amp;"")))&gt;0)),"／重量が未記入","")&amp;IF(AND(K93&lt;&gt;"",NOT(ISNUMBER(K93))),"／電圧が数値でない","")&amp;IF(AND(N93&lt;&gt;"",NOT(ISNUMBER(N93))),"／電流が数値でない","")&amp;IF(AND(C93&lt;&gt;"",C93&lt;1),"／開始Uが1未満","")&amp;IF(AND(E93&lt;&gt;"",E93&gt;IFERROR(VLOOKUP(A93,ラック定義!$A:$B,2,FALSE),47)),"／総Uをはみ出す","")&amp;IF(AND(A93&lt;&gt;"",COUNTIF(ラック定義!$A:$A,A93)=0),"／ラックが定義にない","")&amp;IF(AND(SUMPRODUCT((機器台帳!$A$2:$A$400=$A93)*((機器台帳!$B$2:$B$400=$B93)+(機器台帳!$B$2:$B$400="両面")+($B93="両面")&gt;0)*(機器台帳!$C$2:$C$400&lt;=$C93+$D93-1)*(機器台帳!$C$2:$C$400+機器台帳!$D$2:$D$400-1&gt;=$C93)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93&amp;"")))&gt;0)),"／同じUに他の機器(横並びなら正常)","")&amp;IF(AND(M93&lt;&gt;"",COUNTIFS(回路定義!$A:$A,A93,回路定義!$B:$B,M93)=0),"／回路1が定義にない","")&amp;IF(AND(P93&lt;&gt;"",COUNTIFS(回路定義!$A:$A,A93,回路定義!$B:$B,P93)=0),"／回路2が定義にない","")&amp;IF(AND(S93&lt;&gt;"",COUNTIFS(回路定義!$A:$A,A93,回路定義!$B:$B,S93)=0),"／回路3が定義にない",""))="","",MID(IF(AND(Y93=0,NOT(SUMPRODUCT(--ISNUMBER(SEARCH({"棚板","棚","アングル","ｱﾝｸﾞﾙ","使用不可","ケーブル","ｹｰﾌﾞﾙ","PatchPnael","パッチ","引き出し","引出","ブランク","ﾌﾞﾗﾝｸ","マネージ","ﾏﾈｰｼﾞ","PDU","ONU"},$F93&amp;"")))&gt;0),NOT(SUMPRODUCT(--ISNUMBER(SEARCH({"電源オフ","未投入","停止","未使用","撤去"},$X93&amp;"")))&gt;0)),"／電力が未記入","")&amp;IF(AND(NOT(ISNUMBER(J93)),NOT(SUMPRODUCT(--ISNUMBER(SEARCH({"棚板","棚","アングル","ｱﾝｸﾞﾙ","使用不可","ケーブル","ｹｰﾌﾞﾙ","PatchPnael","パッチ","引き出し","引出","ブランク","ﾌﾞﾗﾝｸ","マネージ","ﾏﾈｰｼﾞ","PDU","ONU"},$F93&amp;"")))&gt;0)),"／重量が未記入","")&amp;IF(AND(K93&lt;&gt;"",NOT(ISNUMBER(K93))),"／電圧が数値でない","")&amp;IF(AND(N93&lt;&gt;"",NOT(ISNUMBER(N93))),"／電流が数値でない","")&amp;IF(AND(C93&lt;&gt;"",C93&lt;1),"／開始Uが1未満","")&amp;IF(AND(E93&lt;&gt;"",E93&gt;IFERROR(VLOOKUP(A93,ラック定義!$A:$B,2,FALSE),47)),"／総Uをはみ出す","")&amp;IF(AND(A93&lt;&gt;"",COUNTIF(ラック定義!$A:$A,A93)=0),"／ラックが定義にない","")&amp;IF(AND(SUMPRODUCT((機器台帳!$A$2:$A$400=$A93)*((機器台帳!$B$2:$B$400=$B93)+(機器台帳!$B$2:$B$400="両面")+($B93="両面")&gt;0)*(機器台帳!$C$2:$C$400&lt;=$C93+$D93-1)*(機器台帳!$C$2:$C$400+機器台帳!$D$2:$D$400-1&gt;=$C93)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93&amp;"")))&gt;0)),"／同じUに他の機器(横並びなら正常)","")&amp;IF(AND(M93&lt;&gt;"",COUNTIFS(回路定義!$A:$A,A93,回路定義!$B:$B,M93)=0),"／回路1が定義にない","")&amp;IF(AND(P93&lt;&gt;"",COUNTIFS(回路定義!$A:$A,A93,回路定義!$B:$B,P93)=0),"／回路2が定義にない","")&amp;IF(AND(S93&lt;&gt;"",COUNTIFS(回路定義!$A:$A,A93,回路定義!$B:$B,S93)=0),"／回路3が定義にない",""),2,300)))</f>
        <v/>
      </c>
    </row>
    <row r="94">
      <c r="A94" s="5" t="inlineStr">
        <is>
          <t>E24-S8-3</t>
        </is>
      </c>
      <c r="B94" s="5" t="inlineStr">
        <is>
          <t>背面</t>
        </is>
      </c>
      <c r="C94" s="5" t="n">
        <v>6</v>
      </c>
      <c r="D94" s="5" t="n">
        <v>2</v>
      </c>
      <c r="E94" s="6">
        <f>IF(C94="","",C94+D94-1)</f>
        <v/>
      </c>
      <c r="F94" s="5" t="inlineStr">
        <is>
          <t>引き出し②　背面</t>
        </is>
      </c>
      <c r="G94" s="5" t="inlineStr"/>
      <c r="H94" s="5" t="inlineStr"/>
      <c r="I94" s="5" t="inlineStr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inlineStr">
        <is>
          <t>前留</t>
        </is>
      </c>
      <c r="W94" s="5" t="inlineStr"/>
      <c r="X94" s="5" t="inlineStr"/>
      <c r="Y94" s="6">
        <f>COUNT(N94,Q94,T94)</f>
        <v/>
      </c>
      <c r="Z94" s="6">
        <f>IF(OR(K94="",NOT(ISNUMBER(K94))),"",K94*SUM(N94,Q94,T94))</f>
        <v/>
      </c>
      <c r="AA94" s="6">
        <f>IF(OR(Y94=0,N94=""),"",N94/Y94)</f>
        <v/>
      </c>
      <c r="AB94" s="6">
        <f>IF(OR(Y94=0,Q94=""),"",Q94/Y94)</f>
        <v/>
      </c>
      <c r="AC94" s="6">
        <f>IF(OR(Y94=0,T94=""),"",T94/Y94)</f>
        <v/>
      </c>
      <c r="AD94" s="6">
        <f>IF(F94="","",IF((IF(AND(Y94=0,NOT(SUMPRODUCT(--ISNUMBER(SEARCH({"棚板","棚","アングル","ｱﾝｸﾞﾙ","使用不可","ケーブル","ｹｰﾌﾞﾙ","PatchPnael","パッチ","引き出し","引出","ブランク","ﾌﾞﾗﾝｸ","マネージ","ﾏﾈｰｼﾞ","PDU","ONU"},$F94&amp;"")))&gt;0),NOT(SUMPRODUCT(--ISNUMBER(SEARCH({"電源オフ","未投入","停止","未使用","撤去"},$X94&amp;"")))&gt;0)),"／電力が未記入","")&amp;IF(AND(NOT(ISNUMBER(J94)),NOT(SUMPRODUCT(--ISNUMBER(SEARCH({"棚板","棚","アングル","ｱﾝｸﾞﾙ","使用不可","ケーブル","ｹｰﾌﾞﾙ","PatchPnael","パッチ","引き出し","引出","ブランク","ﾌﾞﾗﾝｸ","マネージ","ﾏﾈｰｼﾞ","PDU","ONU"},$F94&amp;"")))&gt;0)),"／重量が未記入","")&amp;IF(AND(K94&lt;&gt;"",NOT(ISNUMBER(K94))),"／電圧が数値でない","")&amp;IF(AND(N94&lt;&gt;"",NOT(ISNUMBER(N94))),"／電流が数値でない","")&amp;IF(AND(C94&lt;&gt;"",C94&lt;1),"／開始Uが1未満","")&amp;IF(AND(E94&lt;&gt;"",E94&gt;IFERROR(VLOOKUP(A94,ラック定義!$A:$B,2,FALSE),47)),"／総Uをはみ出す","")&amp;IF(AND(A94&lt;&gt;"",COUNTIF(ラック定義!$A:$A,A94)=0),"／ラックが定義にない","")&amp;IF(AND(SUMPRODUCT((機器台帳!$A$2:$A$400=$A94)*((機器台帳!$B$2:$B$400=$B94)+(機器台帳!$B$2:$B$400="両面")+($B94="両面")&gt;0)*(機器台帳!$C$2:$C$400&lt;=$C94+$D94-1)*(機器台帳!$C$2:$C$400+機器台帳!$D$2:$D$400-1&gt;=$C94)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94&amp;"")))&gt;0)),"／同じUに他の機器(横並びなら正常)","")&amp;IF(AND(M94&lt;&gt;"",COUNTIFS(回路定義!$A:$A,A94,回路定義!$B:$B,M94)=0),"／回路1が定義にない","")&amp;IF(AND(P94&lt;&gt;"",COUNTIFS(回路定義!$A:$A,A94,回路定義!$B:$B,P94)=0),"／回路2が定義にない","")&amp;IF(AND(S94&lt;&gt;"",COUNTIFS(回路定義!$A:$A,A94,回路定義!$B:$B,S94)=0),"／回路3が定義にない",""))="","",MID(IF(AND(Y94=0,NOT(SUMPRODUCT(--ISNUMBER(SEARCH({"棚板","棚","アングル","ｱﾝｸﾞﾙ","使用不可","ケーブル","ｹｰﾌﾞﾙ","PatchPnael","パッチ","引き出し","引出","ブランク","ﾌﾞﾗﾝｸ","マネージ","ﾏﾈｰｼﾞ","PDU","ONU"},$F94&amp;"")))&gt;0),NOT(SUMPRODUCT(--ISNUMBER(SEARCH({"電源オフ","未投入","停止","未使用","撤去"},$X94&amp;"")))&gt;0)),"／電力が未記入","")&amp;IF(AND(NOT(ISNUMBER(J94)),NOT(SUMPRODUCT(--ISNUMBER(SEARCH({"棚板","棚","アングル","ｱﾝｸﾞﾙ","使用不可","ケーブル","ｹｰﾌﾞﾙ","PatchPnael","パッチ","引き出し","引出","ブランク","ﾌﾞﾗﾝｸ","マネージ","ﾏﾈｰｼﾞ","PDU","ONU"},$F94&amp;"")))&gt;0)),"／重量が未記入","")&amp;IF(AND(K94&lt;&gt;"",NOT(ISNUMBER(K94))),"／電圧が数値でない","")&amp;IF(AND(N94&lt;&gt;"",NOT(ISNUMBER(N94))),"／電流が数値でない","")&amp;IF(AND(C94&lt;&gt;"",C94&lt;1),"／開始Uが1未満","")&amp;IF(AND(E94&lt;&gt;"",E94&gt;IFERROR(VLOOKUP(A94,ラック定義!$A:$B,2,FALSE),47)),"／総Uをはみ出す","")&amp;IF(AND(A94&lt;&gt;"",COUNTIF(ラック定義!$A:$A,A94)=0),"／ラックが定義にない","")&amp;IF(AND(SUMPRODUCT((機器台帳!$A$2:$A$400=$A94)*((機器台帳!$B$2:$B$400=$B94)+(機器台帳!$B$2:$B$400="両面")+($B94="両面")&gt;0)*(機器台帳!$C$2:$C$400&lt;=$C94+$D94-1)*(機器台帳!$C$2:$C$400+機器台帳!$D$2:$D$400-1&gt;=$C94)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94&amp;"")))&gt;0)),"／同じUに他の機器(横並びなら正常)","")&amp;IF(AND(M94&lt;&gt;"",COUNTIFS(回路定義!$A:$A,A94,回路定義!$B:$B,M94)=0),"／回路1が定義にない","")&amp;IF(AND(P94&lt;&gt;"",COUNTIFS(回路定義!$A:$A,A94,回路定義!$B:$B,P94)=0),"／回路2が定義にない","")&amp;IF(AND(S94&lt;&gt;"",COUNTIFS(回路定義!$A:$A,A94,回路定義!$B:$B,S94)=0),"／回路3が定義にない",""),2,300)))</f>
        <v/>
      </c>
    </row>
    <row r="95">
      <c r="A95" s="5" t="inlineStr">
        <is>
          <t>E24-S8-4</t>
        </is>
      </c>
      <c r="B95" s="5" t="inlineStr">
        <is>
          <t>両面</t>
        </is>
      </c>
      <c r="C95" s="5" t="n">
        <v>46</v>
      </c>
      <c r="D95" s="5" t="n">
        <v>1</v>
      </c>
      <c r="E95" s="6">
        <f>IF(C95="","",C95+D95-1)</f>
        <v/>
      </c>
      <c r="F95" s="5" t="inlineStr">
        <is>
          <t>UTP 12port PatchPnael(前面)</t>
        </is>
      </c>
      <c r="G95" s="5" t="inlineStr"/>
      <c r="H95" s="5" t="inlineStr"/>
      <c r="I95" s="5" t="inlineStr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inlineStr"/>
      <c r="W95" s="5" t="inlineStr"/>
      <c r="X95" s="5" t="inlineStr"/>
      <c r="Y95" s="6">
        <f>COUNT(N95,Q95,T95)</f>
        <v/>
      </c>
      <c r="Z95" s="6">
        <f>IF(OR(K95="",NOT(ISNUMBER(K95))),"",K95*SUM(N95,Q95,T95))</f>
        <v/>
      </c>
      <c r="AA95" s="6">
        <f>IF(OR(Y95=0,N95=""),"",N95/Y95)</f>
        <v/>
      </c>
      <c r="AB95" s="6">
        <f>IF(OR(Y95=0,Q95=""),"",Q95/Y95)</f>
        <v/>
      </c>
      <c r="AC95" s="6">
        <f>IF(OR(Y95=0,T95=""),"",T95/Y95)</f>
        <v/>
      </c>
      <c r="AD95" s="6">
        <f>IF(F95="","",IF((IF(AND(Y95=0,NOT(SUMPRODUCT(--ISNUMBER(SEARCH({"棚板","棚","アングル","ｱﾝｸﾞﾙ","使用不可","ケーブル","ｹｰﾌﾞﾙ","PatchPnael","パッチ","引き出し","引出","ブランク","ﾌﾞﾗﾝｸ","マネージ","ﾏﾈｰｼﾞ","PDU","ONU"},$F95&amp;"")))&gt;0),NOT(SUMPRODUCT(--ISNUMBER(SEARCH({"電源オフ","未投入","停止","未使用","撤去"},$X95&amp;"")))&gt;0)),"／電力が未記入","")&amp;IF(AND(NOT(ISNUMBER(J95)),NOT(SUMPRODUCT(--ISNUMBER(SEARCH({"棚板","棚","アングル","ｱﾝｸﾞﾙ","使用不可","ケーブル","ｹｰﾌﾞﾙ","PatchPnael","パッチ","引き出し","引出","ブランク","ﾌﾞﾗﾝｸ","マネージ","ﾏﾈｰｼﾞ","PDU","ONU"},$F95&amp;"")))&gt;0)),"／重量が未記入","")&amp;IF(AND(K95&lt;&gt;"",NOT(ISNUMBER(K95))),"／電圧が数値でない","")&amp;IF(AND(N95&lt;&gt;"",NOT(ISNUMBER(N95))),"／電流が数値でない","")&amp;IF(AND(C95&lt;&gt;"",C95&lt;1),"／開始Uが1未満","")&amp;IF(AND(E95&lt;&gt;"",E95&gt;IFERROR(VLOOKUP(A95,ラック定義!$A:$B,2,FALSE),47)),"／総Uをはみ出す","")&amp;IF(AND(A95&lt;&gt;"",COUNTIF(ラック定義!$A:$A,A95)=0),"／ラックが定義にない","")&amp;IF(AND(SUMPRODUCT((機器台帳!$A$2:$A$400=$A95)*((機器台帳!$B$2:$B$400=$B95)+(機器台帳!$B$2:$B$400="両面")+($B95="両面")&gt;0)*(機器台帳!$C$2:$C$400&lt;=$C95+$D95-1)*(機器台帳!$C$2:$C$400+機器台帳!$D$2:$D$400-1&gt;=$C95)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95&amp;"")))&gt;0)),"／同じUに他の機器(横並びなら正常)","")&amp;IF(AND(M95&lt;&gt;"",COUNTIFS(回路定義!$A:$A,A95,回路定義!$B:$B,M95)=0),"／回路1が定義にない","")&amp;IF(AND(P95&lt;&gt;"",COUNTIFS(回路定義!$A:$A,A95,回路定義!$B:$B,P95)=0),"／回路2が定義にない","")&amp;IF(AND(S95&lt;&gt;"",COUNTIFS(回路定義!$A:$A,A95,回路定義!$B:$B,S95)=0),"／回路3が定義にない",""))="","",MID(IF(AND(Y95=0,NOT(SUMPRODUCT(--ISNUMBER(SEARCH({"棚板","棚","アングル","ｱﾝｸﾞﾙ","使用不可","ケーブル","ｹｰﾌﾞﾙ","PatchPnael","パッチ","引き出し","引出","ブランク","ﾌﾞﾗﾝｸ","マネージ","ﾏﾈｰｼﾞ","PDU","ONU"},$F95&amp;"")))&gt;0),NOT(SUMPRODUCT(--ISNUMBER(SEARCH({"電源オフ","未投入","停止","未使用","撤去"},$X95&amp;"")))&gt;0)),"／電力が未記入","")&amp;IF(AND(NOT(ISNUMBER(J95)),NOT(SUMPRODUCT(--ISNUMBER(SEARCH({"棚板","棚","アングル","ｱﾝｸﾞﾙ","使用不可","ケーブル","ｹｰﾌﾞﾙ","PatchPnael","パッチ","引き出し","引出","ブランク","ﾌﾞﾗﾝｸ","マネージ","ﾏﾈｰｼﾞ","PDU","ONU"},$F95&amp;"")))&gt;0)),"／重量が未記入","")&amp;IF(AND(K95&lt;&gt;"",NOT(ISNUMBER(K95))),"／電圧が数値でない","")&amp;IF(AND(N95&lt;&gt;"",NOT(ISNUMBER(N95))),"／電流が数値でない","")&amp;IF(AND(C95&lt;&gt;"",C95&lt;1),"／開始Uが1未満","")&amp;IF(AND(E95&lt;&gt;"",E95&gt;IFERROR(VLOOKUP(A95,ラック定義!$A:$B,2,FALSE),47)),"／総Uをはみ出す","")&amp;IF(AND(A95&lt;&gt;"",COUNTIF(ラック定義!$A:$A,A95)=0),"／ラックが定義にない","")&amp;IF(AND(SUMPRODUCT((機器台帳!$A$2:$A$400=$A95)*((機器台帳!$B$2:$B$400=$B95)+(機器台帳!$B$2:$B$400="両面")+($B95="両面")&gt;0)*(機器台帳!$C$2:$C$400&lt;=$C95+$D95-1)*(機器台帳!$C$2:$C$400+機器台帳!$D$2:$D$400-1&gt;=$C95)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95&amp;"")))&gt;0)),"／同じUに他の機器(横並びなら正常)","")&amp;IF(AND(M95&lt;&gt;"",COUNTIFS(回路定義!$A:$A,A95,回路定義!$B:$B,M95)=0),"／回路1が定義にない","")&amp;IF(AND(P95&lt;&gt;"",COUNTIFS(回路定義!$A:$A,A95,回路定義!$B:$B,P95)=0),"／回路2が定義にない","")&amp;IF(AND(S95&lt;&gt;"",COUNTIFS(回路定義!$A:$A,A95,回路定義!$B:$B,S95)=0),"／回路3が定義にない",""),2,300)))</f>
        <v/>
      </c>
    </row>
    <row r="96">
      <c r="A96" s="5" t="inlineStr">
        <is>
          <t>E24-S8-4</t>
        </is>
      </c>
      <c r="B96" s="5" t="inlineStr">
        <is>
          <t>両面</t>
        </is>
      </c>
      <c r="C96" s="5" t="n">
        <v>42</v>
      </c>
      <c r="D96" s="5" t="n">
        <v>1</v>
      </c>
      <c r="E96" s="6">
        <f>IF(C96="","",C96+D96-1)</f>
        <v/>
      </c>
      <c r="F96" s="5" t="inlineStr">
        <is>
          <t>Catalyst 2950</t>
        </is>
      </c>
      <c r="G96" s="5" t="inlineStr">
        <is>
          <t>H0700847</t>
        </is>
      </c>
      <c r="H96" s="5" t="inlineStr">
        <is>
          <t>検証System</t>
        </is>
      </c>
      <c r="I96" s="5" t="inlineStr">
        <is>
          <t>スイッチ</t>
        </is>
      </c>
      <c r="J96" s="5" t="n">
        <v>3</v>
      </c>
      <c r="K96" s="5" t="n">
        <v>100</v>
      </c>
      <c r="L96" s="5" t="n">
        <v>1</v>
      </c>
      <c r="M96" s="5" t="inlineStr">
        <is>
          <t>100V 20A （1）</t>
        </is>
      </c>
      <c r="N96" s="5" t="n">
        <v>0.2</v>
      </c>
      <c r="O96" s="5" t="n">
        <v>1</v>
      </c>
      <c r="P96" s="5" t="n"/>
      <c r="Q96" s="5" t="n"/>
      <c r="R96" s="5" t="n"/>
      <c r="S96" s="5" t="n"/>
      <c r="T96" s="5" t="n"/>
      <c r="U96" s="5" t="n"/>
      <c r="V96" s="5" t="inlineStr">
        <is>
          <t>前留</t>
        </is>
      </c>
      <c r="W96" s="5" t="inlineStr"/>
      <c r="X96" s="5" t="inlineStr"/>
      <c r="Y96" s="6">
        <f>COUNT(N96,Q96,T96)</f>
        <v/>
      </c>
      <c r="Z96" s="6">
        <f>IF(OR(K96="",NOT(ISNUMBER(K96))),"",K96*SUM(N96,Q96,T96))</f>
        <v/>
      </c>
      <c r="AA96" s="6">
        <f>IF(OR(Y96=0,N96=""),"",N96/Y96)</f>
        <v/>
      </c>
      <c r="AB96" s="6">
        <f>IF(OR(Y96=0,Q96=""),"",Q96/Y96)</f>
        <v/>
      </c>
      <c r="AC96" s="6">
        <f>IF(OR(Y96=0,T96=""),"",T96/Y96)</f>
        <v/>
      </c>
      <c r="AD96" s="6">
        <f>IF(F96="","",IF((IF(AND(Y96=0,NOT(SUMPRODUCT(--ISNUMBER(SEARCH({"棚板","棚","アングル","ｱﾝｸﾞﾙ","使用不可","ケーブル","ｹｰﾌﾞﾙ","PatchPnael","パッチ","引き出し","引出","ブランク","ﾌﾞﾗﾝｸ","マネージ","ﾏﾈｰｼﾞ","PDU","ONU"},$F96&amp;"")))&gt;0),NOT(SUMPRODUCT(--ISNUMBER(SEARCH({"電源オフ","未投入","停止","未使用","撤去"},$X96&amp;"")))&gt;0)),"／電力が未記入","")&amp;IF(AND(NOT(ISNUMBER(J96)),NOT(SUMPRODUCT(--ISNUMBER(SEARCH({"棚板","棚","アングル","ｱﾝｸﾞﾙ","使用不可","ケーブル","ｹｰﾌﾞﾙ","PatchPnael","パッチ","引き出し","引出","ブランク","ﾌﾞﾗﾝｸ","マネージ","ﾏﾈｰｼﾞ","PDU","ONU"},$F96&amp;"")))&gt;0)),"／重量が未記入","")&amp;IF(AND(K96&lt;&gt;"",NOT(ISNUMBER(K96))),"／電圧が数値でない","")&amp;IF(AND(N96&lt;&gt;"",NOT(ISNUMBER(N96))),"／電流が数値でない","")&amp;IF(AND(C96&lt;&gt;"",C96&lt;1),"／開始Uが1未満","")&amp;IF(AND(E96&lt;&gt;"",E96&gt;IFERROR(VLOOKUP(A96,ラック定義!$A:$B,2,FALSE),47)),"／総Uをはみ出す","")&amp;IF(AND(A96&lt;&gt;"",COUNTIF(ラック定義!$A:$A,A96)=0),"／ラックが定義にない","")&amp;IF(AND(SUMPRODUCT((機器台帳!$A$2:$A$400=$A96)*((機器台帳!$B$2:$B$400=$B96)+(機器台帳!$B$2:$B$400="両面")+($B96="両面")&gt;0)*(機器台帳!$C$2:$C$400&lt;=$C96+$D96-1)*(機器台帳!$C$2:$C$400+機器台帳!$D$2:$D$400-1&gt;=$C96)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96&amp;"")))&gt;0)),"／同じUに他の機器(横並びなら正常)","")&amp;IF(AND(M96&lt;&gt;"",COUNTIFS(回路定義!$A:$A,A96,回路定義!$B:$B,M96)=0),"／回路1が定義にない","")&amp;IF(AND(P96&lt;&gt;"",COUNTIFS(回路定義!$A:$A,A96,回路定義!$B:$B,P96)=0),"／回路2が定義にない","")&amp;IF(AND(S96&lt;&gt;"",COUNTIFS(回路定義!$A:$A,A96,回路定義!$B:$B,S96)=0),"／回路3が定義にない",""))="","",MID(IF(AND(Y96=0,NOT(SUMPRODUCT(--ISNUMBER(SEARCH({"棚板","棚","アングル","ｱﾝｸﾞﾙ","使用不可","ケーブル","ｹｰﾌﾞﾙ","PatchPnael","パッチ","引き出し","引出","ブランク","ﾌﾞﾗﾝｸ","マネージ","ﾏﾈｰｼﾞ","PDU","ONU"},$F96&amp;"")))&gt;0),NOT(SUMPRODUCT(--ISNUMBER(SEARCH({"電源オフ","未投入","停止","未使用","撤去"},$X96&amp;"")))&gt;0)),"／電力が未記入","")&amp;IF(AND(NOT(ISNUMBER(J96)),NOT(SUMPRODUCT(--ISNUMBER(SEARCH({"棚板","棚","アングル","ｱﾝｸﾞﾙ","使用不可","ケーブル","ｹｰﾌﾞﾙ","PatchPnael","パッチ","引き出し","引出","ブランク","ﾌﾞﾗﾝｸ","マネージ","ﾏﾈｰｼﾞ","PDU","ONU"},$F96&amp;"")))&gt;0)),"／重量が未記入","")&amp;IF(AND(K96&lt;&gt;"",NOT(ISNUMBER(K96))),"／電圧が数値でない","")&amp;IF(AND(N96&lt;&gt;"",NOT(ISNUMBER(N96))),"／電流が数値でない","")&amp;IF(AND(C96&lt;&gt;"",C96&lt;1),"／開始Uが1未満","")&amp;IF(AND(E96&lt;&gt;"",E96&gt;IFERROR(VLOOKUP(A96,ラック定義!$A:$B,2,FALSE),47)),"／総Uをはみ出す","")&amp;IF(AND(A96&lt;&gt;"",COUNTIF(ラック定義!$A:$A,A96)=0),"／ラックが定義にない","")&amp;IF(AND(SUMPRODUCT((機器台帳!$A$2:$A$400=$A96)*((機器台帳!$B$2:$B$400=$B96)+(機器台帳!$B$2:$B$400="両面")+($B96="両面")&gt;0)*(機器台帳!$C$2:$C$400&lt;=$C96+$D96-1)*(機器台帳!$C$2:$C$400+機器台帳!$D$2:$D$400-1&gt;=$C96)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96&amp;"")))&gt;0)),"／同じUに他の機器(横並びなら正常)","")&amp;IF(AND(M96&lt;&gt;"",COUNTIFS(回路定義!$A:$A,A96,回路定義!$B:$B,M96)=0),"／回路1が定義にない","")&amp;IF(AND(P96&lt;&gt;"",COUNTIFS(回路定義!$A:$A,A96,回路定義!$B:$B,P96)=0),"／回路2が定義にない","")&amp;IF(AND(S96&lt;&gt;"",COUNTIFS(回路定義!$A:$A,A96,回路定義!$B:$B,S96)=0),"／回路3が定義にない",""),2,300)))</f>
        <v/>
      </c>
    </row>
    <row r="97">
      <c r="A97" s="5" t="inlineStr">
        <is>
          <t>E24-S8-4</t>
        </is>
      </c>
      <c r="B97" s="5" t="inlineStr">
        <is>
          <t>両面</t>
        </is>
      </c>
      <c r="C97" s="5" t="n">
        <v>37</v>
      </c>
      <c r="D97" s="5" t="n">
        <v>1</v>
      </c>
      <c r="E97" s="6">
        <f>IF(C97="","",C97+D97-1)</f>
        <v/>
      </c>
      <c r="F97" s="5" t="inlineStr">
        <is>
          <t>Cisco UCS</t>
        </is>
      </c>
      <c r="G97" s="5" t="inlineStr">
        <is>
          <t>H1608827</t>
        </is>
      </c>
      <c r="H97" s="5" t="inlineStr"/>
      <c r="I97" s="5" t="inlineStr">
        <is>
          <t>Server</t>
        </is>
      </c>
      <c r="J97" s="5" t="n">
        <v>9</v>
      </c>
      <c r="K97" s="5" t="n">
        <v>100</v>
      </c>
      <c r="L97" s="5" t="n">
        <v>2</v>
      </c>
      <c r="M97" s="5" t="inlineStr">
        <is>
          <t>100V 20A （2）</t>
        </is>
      </c>
      <c r="N97" s="5" t="n">
        <v>3</v>
      </c>
      <c r="O97" s="5" t="n">
        <v>2</v>
      </c>
      <c r="P97" s="5" t="n"/>
      <c r="Q97" s="5" t="n"/>
      <c r="R97" s="5" t="n"/>
      <c r="S97" s="5" t="n"/>
      <c r="T97" s="5" t="n"/>
      <c r="U97" s="5" t="n"/>
      <c r="V97" s="5" t="inlineStr">
        <is>
          <t>○</t>
        </is>
      </c>
      <c r="W97" s="5" t="inlineStr"/>
      <c r="X97" s="5" t="inlineStr">
        <is>
          <t>ラックマウント</t>
        </is>
      </c>
      <c r="Y97" s="6">
        <f>COUNT(N97,Q97,T97)</f>
        <v/>
      </c>
      <c r="Z97" s="6">
        <f>IF(OR(K97="",NOT(ISNUMBER(K97))),"",K97*SUM(N97,Q97,T97))</f>
        <v/>
      </c>
      <c r="AA97" s="6">
        <f>IF(OR(Y97=0,N97=""),"",N97/Y97)</f>
        <v/>
      </c>
      <c r="AB97" s="6">
        <f>IF(OR(Y97=0,Q97=""),"",Q97/Y97)</f>
        <v/>
      </c>
      <c r="AC97" s="6">
        <f>IF(OR(Y97=0,T97=""),"",T97/Y97)</f>
        <v/>
      </c>
      <c r="AD97" s="6">
        <f>IF(F97="","",IF((IF(AND(Y97=0,NOT(SUMPRODUCT(--ISNUMBER(SEARCH({"棚板","棚","アングル","ｱﾝｸﾞﾙ","使用不可","ケーブル","ｹｰﾌﾞﾙ","PatchPnael","パッチ","引き出し","引出","ブランク","ﾌﾞﾗﾝｸ","マネージ","ﾏﾈｰｼﾞ","PDU","ONU"},$F97&amp;"")))&gt;0),NOT(SUMPRODUCT(--ISNUMBER(SEARCH({"電源オフ","未投入","停止","未使用","撤去"},$X97&amp;"")))&gt;0)),"／電力が未記入","")&amp;IF(AND(NOT(ISNUMBER(J97)),NOT(SUMPRODUCT(--ISNUMBER(SEARCH({"棚板","棚","アングル","ｱﾝｸﾞﾙ","使用不可","ケーブル","ｹｰﾌﾞﾙ","PatchPnael","パッチ","引き出し","引出","ブランク","ﾌﾞﾗﾝｸ","マネージ","ﾏﾈｰｼﾞ","PDU","ONU"},$F97&amp;"")))&gt;0)),"／重量が未記入","")&amp;IF(AND(K97&lt;&gt;"",NOT(ISNUMBER(K97))),"／電圧が数値でない","")&amp;IF(AND(N97&lt;&gt;"",NOT(ISNUMBER(N97))),"／電流が数値でない","")&amp;IF(AND(C97&lt;&gt;"",C97&lt;1),"／開始Uが1未満","")&amp;IF(AND(E97&lt;&gt;"",E97&gt;IFERROR(VLOOKUP(A97,ラック定義!$A:$B,2,FALSE),47)),"／総Uをはみ出す","")&amp;IF(AND(A97&lt;&gt;"",COUNTIF(ラック定義!$A:$A,A97)=0),"／ラックが定義にない","")&amp;IF(AND(SUMPRODUCT((機器台帳!$A$2:$A$400=$A97)*((機器台帳!$B$2:$B$400=$B97)+(機器台帳!$B$2:$B$400="両面")+($B97="両面")&gt;0)*(機器台帳!$C$2:$C$400&lt;=$C97+$D97-1)*(機器台帳!$C$2:$C$400+機器台帳!$D$2:$D$400-1&gt;=$C97)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97&amp;"")))&gt;0)),"／同じUに他の機器(横並びなら正常)","")&amp;IF(AND(M97&lt;&gt;"",COUNTIFS(回路定義!$A:$A,A97,回路定義!$B:$B,M97)=0),"／回路1が定義にない","")&amp;IF(AND(P97&lt;&gt;"",COUNTIFS(回路定義!$A:$A,A97,回路定義!$B:$B,P97)=0),"／回路2が定義にない","")&amp;IF(AND(S97&lt;&gt;"",COUNTIFS(回路定義!$A:$A,A97,回路定義!$B:$B,S97)=0),"／回路3が定義にない",""))="","",MID(IF(AND(Y97=0,NOT(SUMPRODUCT(--ISNUMBER(SEARCH({"棚板","棚","アングル","ｱﾝｸﾞﾙ","使用不可","ケーブル","ｹｰﾌﾞﾙ","PatchPnael","パッチ","引き出し","引出","ブランク","ﾌﾞﾗﾝｸ","マネージ","ﾏﾈｰｼﾞ","PDU","ONU"},$F97&amp;"")))&gt;0),NOT(SUMPRODUCT(--ISNUMBER(SEARCH({"電源オフ","未投入","停止","未使用","撤去"},$X97&amp;"")))&gt;0)),"／電力が未記入","")&amp;IF(AND(NOT(ISNUMBER(J97)),NOT(SUMPRODUCT(--ISNUMBER(SEARCH({"棚板","棚","アングル","ｱﾝｸﾞﾙ","使用不可","ケーブル","ｹｰﾌﾞﾙ","PatchPnael","パッチ","引き出し","引出","ブランク","ﾌﾞﾗﾝｸ","マネージ","ﾏﾈｰｼﾞ","PDU","ONU"},$F97&amp;"")))&gt;0)),"／重量が未記入","")&amp;IF(AND(K97&lt;&gt;"",NOT(ISNUMBER(K97))),"／電圧が数値でない","")&amp;IF(AND(N97&lt;&gt;"",NOT(ISNUMBER(N97))),"／電流が数値でない","")&amp;IF(AND(C97&lt;&gt;"",C97&lt;1),"／開始Uが1未満","")&amp;IF(AND(E97&lt;&gt;"",E97&gt;IFERROR(VLOOKUP(A97,ラック定義!$A:$B,2,FALSE),47)),"／総Uをはみ出す","")&amp;IF(AND(A97&lt;&gt;"",COUNTIF(ラック定義!$A:$A,A97)=0),"／ラックが定義にない","")&amp;IF(AND(SUMPRODUCT((機器台帳!$A$2:$A$400=$A97)*((機器台帳!$B$2:$B$400=$B97)+(機器台帳!$B$2:$B$400="両面")+($B97="両面")&gt;0)*(機器台帳!$C$2:$C$400&lt;=$C97+$D97-1)*(機器台帳!$C$2:$C$400+機器台帳!$D$2:$D$400-1&gt;=$C97)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97&amp;"")))&gt;0)),"／同じUに他の機器(横並びなら正常)","")&amp;IF(AND(M97&lt;&gt;"",COUNTIFS(回路定義!$A:$A,A97,回路定義!$B:$B,M97)=0),"／回路1が定義にない","")&amp;IF(AND(P97&lt;&gt;"",COUNTIFS(回路定義!$A:$A,A97,回路定義!$B:$B,P97)=0),"／回路2が定義にない","")&amp;IF(AND(S97&lt;&gt;"",COUNTIFS(回路定義!$A:$A,A97,回路定義!$B:$B,S97)=0),"／回路3が定義にない",""),2,300)))</f>
        <v/>
      </c>
    </row>
    <row r="98">
      <c r="A98" s="5" t="inlineStr">
        <is>
          <t>E24-S8-4</t>
        </is>
      </c>
      <c r="B98" s="5" t="inlineStr">
        <is>
          <t>両面</t>
        </is>
      </c>
      <c r="C98" s="5" t="n">
        <v>36</v>
      </c>
      <c r="D98" s="5" t="n">
        <v>1</v>
      </c>
      <c r="E98" s="6">
        <f>IF(C98="","",C98+D98-1)</f>
        <v/>
      </c>
      <c r="F98" s="5" t="inlineStr">
        <is>
          <t>Cisco UCS</t>
        </is>
      </c>
      <c r="G98" s="5" t="inlineStr">
        <is>
          <t>H1608826</t>
        </is>
      </c>
      <c r="H98" s="5" t="inlineStr"/>
      <c r="I98" s="5" t="inlineStr">
        <is>
          <t>Server</t>
        </is>
      </c>
      <c r="J98" s="5" t="n">
        <v>9</v>
      </c>
      <c r="K98" s="5" t="n">
        <v>100</v>
      </c>
      <c r="L98" s="5" t="n">
        <v>2</v>
      </c>
      <c r="M98" s="5" t="inlineStr">
        <is>
          <t>100V 20A （1）</t>
        </is>
      </c>
      <c r="N98" s="5" t="n">
        <v>3</v>
      </c>
      <c r="O98" s="5" t="n">
        <v>2</v>
      </c>
      <c r="P98" s="5" t="n"/>
      <c r="Q98" s="5" t="n"/>
      <c r="R98" s="5" t="n"/>
      <c r="S98" s="5" t="n"/>
      <c r="T98" s="5" t="n"/>
      <c r="U98" s="5" t="n"/>
      <c r="V98" s="5" t="inlineStr">
        <is>
          <t>○</t>
        </is>
      </c>
      <c r="W98" s="5" t="inlineStr"/>
      <c r="X98" s="5" t="inlineStr">
        <is>
          <t>ラックマウント</t>
        </is>
      </c>
      <c r="Y98" s="6">
        <f>COUNT(N98,Q98,T98)</f>
        <v/>
      </c>
      <c r="Z98" s="6">
        <f>IF(OR(K98="",NOT(ISNUMBER(K98))),"",K98*SUM(N98,Q98,T98))</f>
        <v/>
      </c>
      <c r="AA98" s="6">
        <f>IF(OR(Y98=0,N98=""),"",N98/Y98)</f>
        <v/>
      </c>
      <c r="AB98" s="6">
        <f>IF(OR(Y98=0,Q98=""),"",Q98/Y98)</f>
        <v/>
      </c>
      <c r="AC98" s="6">
        <f>IF(OR(Y98=0,T98=""),"",T98/Y98)</f>
        <v/>
      </c>
      <c r="AD98" s="6">
        <f>IF(F98="","",IF((IF(AND(Y98=0,NOT(SUMPRODUCT(--ISNUMBER(SEARCH({"棚板","棚","アングル","ｱﾝｸﾞﾙ","使用不可","ケーブル","ｹｰﾌﾞﾙ","PatchPnael","パッチ","引き出し","引出","ブランク","ﾌﾞﾗﾝｸ","マネージ","ﾏﾈｰｼﾞ","PDU","ONU"},$F98&amp;"")))&gt;0),NOT(SUMPRODUCT(--ISNUMBER(SEARCH({"電源オフ","未投入","停止","未使用","撤去"},$X98&amp;"")))&gt;0)),"／電力が未記入","")&amp;IF(AND(NOT(ISNUMBER(J98)),NOT(SUMPRODUCT(--ISNUMBER(SEARCH({"棚板","棚","アングル","ｱﾝｸﾞﾙ","使用不可","ケーブル","ｹｰﾌﾞﾙ","PatchPnael","パッチ","引き出し","引出","ブランク","ﾌﾞﾗﾝｸ","マネージ","ﾏﾈｰｼﾞ","PDU","ONU"},$F98&amp;"")))&gt;0)),"／重量が未記入","")&amp;IF(AND(K98&lt;&gt;"",NOT(ISNUMBER(K98))),"／電圧が数値でない","")&amp;IF(AND(N98&lt;&gt;"",NOT(ISNUMBER(N98))),"／電流が数値でない","")&amp;IF(AND(C98&lt;&gt;"",C98&lt;1),"／開始Uが1未満","")&amp;IF(AND(E98&lt;&gt;"",E98&gt;IFERROR(VLOOKUP(A98,ラック定義!$A:$B,2,FALSE),47)),"／総Uをはみ出す","")&amp;IF(AND(A98&lt;&gt;"",COUNTIF(ラック定義!$A:$A,A98)=0),"／ラックが定義にない","")&amp;IF(AND(SUMPRODUCT((機器台帳!$A$2:$A$400=$A98)*((機器台帳!$B$2:$B$400=$B98)+(機器台帳!$B$2:$B$400="両面")+($B98="両面")&gt;0)*(機器台帳!$C$2:$C$400&lt;=$C98+$D98-1)*(機器台帳!$C$2:$C$400+機器台帳!$D$2:$D$400-1&gt;=$C98)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98&amp;"")))&gt;0)),"／同じUに他の機器(横並びなら正常)","")&amp;IF(AND(M98&lt;&gt;"",COUNTIFS(回路定義!$A:$A,A98,回路定義!$B:$B,M98)=0),"／回路1が定義にない","")&amp;IF(AND(P98&lt;&gt;"",COUNTIFS(回路定義!$A:$A,A98,回路定義!$B:$B,P98)=0),"／回路2が定義にない","")&amp;IF(AND(S98&lt;&gt;"",COUNTIFS(回路定義!$A:$A,A98,回路定義!$B:$B,S98)=0),"／回路3が定義にない",""))="","",MID(IF(AND(Y98=0,NOT(SUMPRODUCT(--ISNUMBER(SEARCH({"棚板","棚","アングル","ｱﾝｸﾞﾙ","使用不可","ケーブル","ｹｰﾌﾞﾙ","PatchPnael","パッチ","引き出し","引出","ブランク","ﾌﾞﾗﾝｸ","マネージ","ﾏﾈｰｼﾞ","PDU","ONU"},$F98&amp;"")))&gt;0),NOT(SUMPRODUCT(--ISNUMBER(SEARCH({"電源オフ","未投入","停止","未使用","撤去"},$X98&amp;"")))&gt;0)),"／電力が未記入","")&amp;IF(AND(NOT(ISNUMBER(J98)),NOT(SUMPRODUCT(--ISNUMBER(SEARCH({"棚板","棚","アングル","ｱﾝｸﾞﾙ","使用不可","ケーブル","ｹｰﾌﾞﾙ","PatchPnael","パッチ","引き出し","引出","ブランク","ﾌﾞﾗﾝｸ","マネージ","ﾏﾈｰｼﾞ","PDU","ONU"},$F98&amp;"")))&gt;0)),"／重量が未記入","")&amp;IF(AND(K98&lt;&gt;"",NOT(ISNUMBER(K98))),"／電圧が数値でない","")&amp;IF(AND(N98&lt;&gt;"",NOT(ISNUMBER(N98))),"／電流が数値でない","")&amp;IF(AND(C98&lt;&gt;"",C98&lt;1),"／開始Uが1未満","")&amp;IF(AND(E98&lt;&gt;"",E98&gt;IFERROR(VLOOKUP(A98,ラック定義!$A:$B,2,FALSE),47)),"／総Uをはみ出す","")&amp;IF(AND(A98&lt;&gt;"",COUNTIF(ラック定義!$A:$A,A98)=0),"／ラックが定義にない","")&amp;IF(AND(SUMPRODUCT((機器台帳!$A$2:$A$400=$A98)*((機器台帳!$B$2:$B$400=$B98)+(機器台帳!$B$2:$B$400="両面")+($B98="両面")&gt;0)*(機器台帳!$C$2:$C$400&lt;=$C98+$D98-1)*(機器台帳!$C$2:$C$400+機器台帳!$D$2:$D$400-1&gt;=$C98)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98&amp;"")))&gt;0)),"／同じUに他の機器(横並びなら正常)","")&amp;IF(AND(M98&lt;&gt;"",COUNTIFS(回路定義!$A:$A,A98,回路定義!$B:$B,M98)=0),"／回路1が定義にない","")&amp;IF(AND(P98&lt;&gt;"",COUNTIFS(回路定義!$A:$A,A98,回路定義!$B:$B,P98)=0),"／回路2が定義にない","")&amp;IF(AND(S98&lt;&gt;"",COUNTIFS(回路定義!$A:$A,A98,回路定義!$B:$B,S98)=0),"／回路3が定義にない",""),2,300)))</f>
        <v/>
      </c>
    </row>
    <row r="99">
      <c r="A99" s="5" t="inlineStr">
        <is>
          <t>E24-S8-4</t>
        </is>
      </c>
      <c r="B99" s="5" t="inlineStr">
        <is>
          <t>両面</t>
        </is>
      </c>
      <c r="C99" s="5" t="n">
        <v>35</v>
      </c>
      <c r="D99" s="5" t="n">
        <v>1</v>
      </c>
      <c r="E99" s="6">
        <f>IF(C99="","",C99+D99-1)</f>
        <v/>
      </c>
      <c r="F99" s="5" t="inlineStr">
        <is>
          <t>Cisco UCS</t>
        </is>
      </c>
      <c r="G99" s="5" t="inlineStr">
        <is>
          <t>H1608825</t>
        </is>
      </c>
      <c r="H99" s="5" t="inlineStr"/>
      <c r="I99" s="5" t="inlineStr">
        <is>
          <t>Server</t>
        </is>
      </c>
      <c r="J99" s="5" t="n">
        <v>9</v>
      </c>
      <c r="K99" s="5" t="n">
        <v>100</v>
      </c>
      <c r="L99" s="5" t="n">
        <v>2</v>
      </c>
      <c r="M99" s="5" t="inlineStr">
        <is>
          <t>100V 20A （2）</t>
        </is>
      </c>
      <c r="N99" s="5" t="n">
        <v>3</v>
      </c>
      <c r="O99" s="5" t="n">
        <v>2</v>
      </c>
      <c r="P99" s="5" t="n"/>
      <c r="Q99" s="5" t="n"/>
      <c r="R99" s="5" t="n"/>
      <c r="S99" s="5" t="n"/>
      <c r="T99" s="5" t="n"/>
      <c r="U99" s="5" t="n"/>
      <c r="V99" s="5" t="inlineStr">
        <is>
          <t>○</t>
        </is>
      </c>
      <c r="W99" s="5" t="inlineStr"/>
      <c r="X99" s="5" t="inlineStr">
        <is>
          <t>ラックマウント</t>
        </is>
      </c>
      <c r="Y99" s="6">
        <f>COUNT(N99,Q99,T99)</f>
        <v/>
      </c>
      <c r="Z99" s="6">
        <f>IF(OR(K99="",NOT(ISNUMBER(K99))),"",K99*SUM(N99,Q99,T99))</f>
        <v/>
      </c>
      <c r="AA99" s="6">
        <f>IF(OR(Y99=0,N99=""),"",N99/Y99)</f>
        <v/>
      </c>
      <c r="AB99" s="6">
        <f>IF(OR(Y99=0,Q99=""),"",Q99/Y99)</f>
        <v/>
      </c>
      <c r="AC99" s="6">
        <f>IF(OR(Y99=0,T99=""),"",T99/Y99)</f>
        <v/>
      </c>
      <c r="AD99" s="6">
        <f>IF(F99="","",IF((IF(AND(Y99=0,NOT(SUMPRODUCT(--ISNUMBER(SEARCH({"棚板","棚","アングル","ｱﾝｸﾞﾙ","使用不可","ケーブル","ｹｰﾌﾞﾙ","PatchPnael","パッチ","引き出し","引出","ブランク","ﾌﾞﾗﾝｸ","マネージ","ﾏﾈｰｼﾞ","PDU","ONU"},$F99&amp;"")))&gt;0),NOT(SUMPRODUCT(--ISNUMBER(SEARCH({"電源オフ","未投入","停止","未使用","撤去"},$X99&amp;"")))&gt;0)),"／電力が未記入","")&amp;IF(AND(NOT(ISNUMBER(J99)),NOT(SUMPRODUCT(--ISNUMBER(SEARCH({"棚板","棚","アングル","ｱﾝｸﾞﾙ","使用不可","ケーブル","ｹｰﾌﾞﾙ","PatchPnael","パッチ","引き出し","引出","ブランク","ﾌﾞﾗﾝｸ","マネージ","ﾏﾈｰｼﾞ","PDU","ONU"},$F99&amp;"")))&gt;0)),"／重量が未記入","")&amp;IF(AND(K99&lt;&gt;"",NOT(ISNUMBER(K99))),"／電圧が数値でない","")&amp;IF(AND(N99&lt;&gt;"",NOT(ISNUMBER(N99))),"／電流が数値でない","")&amp;IF(AND(C99&lt;&gt;"",C99&lt;1),"／開始Uが1未満","")&amp;IF(AND(E99&lt;&gt;"",E99&gt;IFERROR(VLOOKUP(A99,ラック定義!$A:$B,2,FALSE),47)),"／総Uをはみ出す","")&amp;IF(AND(A99&lt;&gt;"",COUNTIF(ラック定義!$A:$A,A99)=0),"／ラックが定義にない","")&amp;IF(AND(SUMPRODUCT((機器台帳!$A$2:$A$400=$A99)*((機器台帳!$B$2:$B$400=$B99)+(機器台帳!$B$2:$B$400="両面")+($B99="両面")&gt;0)*(機器台帳!$C$2:$C$400&lt;=$C99+$D99-1)*(機器台帳!$C$2:$C$400+機器台帳!$D$2:$D$400-1&gt;=$C99)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99&amp;"")))&gt;0)),"／同じUに他の機器(横並びなら正常)","")&amp;IF(AND(M99&lt;&gt;"",COUNTIFS(回路定義!$A:$A,A99,回路定義!$B:$B,M99)=0),"／回路1が定義にない","")&amp;IF(AND(P99&lt;&gt;"",COUNTIFS(回路定義!$A:$A,A99,回路定義!$B:$B,P99)=0),"／回路2が定義にない","")&amp;IF(AND(S99&lt;&gt;"",COUNTIFS(回路定義!$A:$A,A99,回路定義!$B:$B,S99)=0),"／回路3が定義にない",""))="","",MID(IF(AND(Y99=0,NOT(SUMPRODUCT(--ISNUMBER(SEARCH({"棚板","棚","アングル","ｱﾝｸﾞﾙ","使用不可","ケーブル","ｹｰﾌﾞﾙ","PatchPnael","パッチ","引き出し","引出","ブランク","ﾌﾞﾗﾝｸ","マネージ","ﾏﾈｰｼﾞ","PDU","ONU"},$F99&amp;"")))&gt;0),NOT(SUMPRODUCT(--ISNUMBER(SEARCH({"電源オフ","未投入","停止","未使用","撤去"},$X99&amp;"")))&gt;0)),"／電力が未記入","")&amp;IF(AND(NOT(ISNUMBER(J99)),NOT(SUMPRODUCT(--ISNUMBER(SEARCH({"棚板","棚","アングル","ｱﾝｸﾞﾙ","使用不可","ケーブル","ｹｰﾌﾞﾙ","PatchPnael","パッチ","引き出し","引出","ブランク","ﾌﾞﾗﾝｸ","マネージ","ﾏﾈｰｼﾞ","PDU","ONU"},$F99&amp;"")))&gt;0)),"／重量が未記入","")&amp;IF(AND(K99&lt;&gt;"",NOT(ISNUMBER(K99))),"／電圧が数値でない","")&amp;IF(AND(N99&lt;&gt;"",NOT(ISNUMBER(N99))),"／電流が数値でない","")&amp;IF(AND(C99&lt;&gt;"",C99&lt;1),"／開始Uが1未満","")&amp;IF(AND(E99&lt;&gt;"",E99&gt;IFERROR(VLOOKUP(A99,ラック定義!$A:$B,2,FALSE),47)),"／総Uをはみ出す","")&amp;IF(AND(A99&lt;&gt;"",COUNTIF(ラック定義!$A:$A,A99)=0),"／ラックが定義にない","")&amp;IF(AND(SUMPRODUCT((機器台帳!$A$2:$A$400=$A99)*((機器台帳!$B$2:$B$400=$B99)+(機器台帳!$B$2:$B$400="両面")+($B99="両面")&gt;0)*(機器台帳!$C$2:$C$400&lt;=$C99+$D99-1)*(機器台帳!$C$2:$C$400+機器台帳!$D$2:$D$400-1&gt;=$C99)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99&amp;"")))&gt;0)),"／同じUに他の機器(横並びなら正常)","")&amp;IF(AND(M99&lt;&gt;"",COUNTIFS(回路定義!$A:$A,A99,回路定義!$B:$B,M99)=0),"／回路1が定義にない","")&amp;IF(AND(P99&lt;&gt;"",COUNTIFS(回路定義!$A:$A,A99,回路定義!$B:$B,P99)=0),"／回路2が定義にない","")&amp;IF(AND(S99&lt;&gt;"",COUNTIFS(回路定義!$A:$A,A99,回路定義!$B:$B,S99)=0),"／回路3が定義にない",""),2,300)))</f>
        <v/>
      </c>
    </row>
    <row r="100">
      <c r="A100" s="5" t="inlineStr">
        <is>
          <t>E24-S8-4</t>
        </is>
      </c>
      <c r="B100" s="5" t="inlineStr">
        <is>
          <t>両面</t>
        </is>
      </c>
      <c r="C100" s="5" t="n">
        <v>29</v>
      </c>
      <c r="D100" s="5" t="n">
        <v>1</v>
      </c>
      <c r="E100" s="6">
        <f>IF(C100="","",C100+D100-1)</f>
        <v/>
      </c>
      <c r="F100" s="5" t="inlineStr">
        <is>
          <t>棚板</t>
        </is>
      </c>
      <c r="G100" s="5" t="inlineStr"/>
      <c r="H100" s="5" t="inlineStr"/>
      <c r="I100" s="5" t="inlineStr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inlineStr"/>
      <c r="W100" s="5" t="inlineStr"/>
      <c r="X100" s="5" t="inlineStr"/>
      <c r="Y100" s="6">
        <f>COUNT(N100,Q100,T100)</f>
        <v/>
      </c>
      <c r="Z100" s="6">
        <f>IF(OR(K100="",NOT(ISNUMBER(K100))),"",K100*SUM(N100,Q100,T100))</f>
        <v/>
      </c>
      <c r="AA100" s="6">
        <f>IF(OR(Y100=0,N100=""),"",N100/Y100)</f>
        <v/>
      </c>
      <c r="AB100" s="6">
        <f>IF(OR(Y100=0,Q100=""),"",Q100/Y100)</f>
        <v/>
      </c>
      <c r="AC100" s="6">
        <f>IF(OR(Y100=0,T100=""),"",T100/Y100)</f>
        <v/>
      </c>
      <c r="AD100" s="6">
        <f>IF(F100="","",IF((IF(AND(Y100=0,NOT(SUMPRODUCT(--ISNUMBER(SEARCH({"棚板","棚","アングル","ｱﾝｸﾞﾙ","使用不可","ケーブル","ｹｰﾌﾞﾙ","PatchPnael","パッチ","引き出し","引出","ブランク","ﾌﾞﾗﾝｸ","マネージ","ﾏﾈｰｼﾞ","PDU","ONU"},$F100&amp;"")))&gt;0),NOT(SUMPRODUCT(--ISNUMBER(SEARCH({"電源オフ","未投入","停止","未使用","撤去"},$X100&amp;"")))&gt;0)),"／電力が未記入","")&amp;IF(AND(NOT(ISNUMBER(J100)),NOT(SUMPRODUCT(--ISNUMBER(SEARCH({"棚板","棚","アングル","ｱﾝｸﾞﾙ","使用不可","ケーブル","ｹｰﾌﾞﾙ","PatchPnael","パッチ","引き出し","引出","ブランク","ﾌﾞﾗﾝｸ","マネージ","ﾏﾈｰｼﾞ","PDU","ONU"},$F100&amp;"")))&gt;0)),"／重量が未記入","")&amp;IF(AND(K100&lt;&gt;"",NOT(ISNUMBER(K100))),"／電圧が数値でない","")&amp;IF(AND(N100&lt;&gt;"",NOT(ISNUMBER(N100))),"／電流が数値でない","")&amp;IF(AND(C100&lt;&gt;"",C100&lt;1),"／開始Uが1未満","")&amp;IF(AND(E100&lt;&gt;"",E100&gt;IFERROR(VLOOKUP(A100,ラック定義!$A:$B,2,FALSE),47)),"／総Uをはみ出す","")&amp;IF(AND(A100&lt;&gt;"",COUNTIF(ラック定義!$A:$A,A100)=0),"／ラックが定義にない","")&amp;IF(AND(SUMPRODUCT((機器台帳!$A$2:$A$400=$A100)*((機器台帳!$B$2:$B$400=$B100)+(機器台帳!$B$2:$B$400="両面")+($B100="両面")&gt;0)*(機器台帳!$C$2:$C$400&lt;=$C100+$D100-1)*(機器台帳!$C$2:$C$400+機器台帳!$D$2:$D$400-1&gt;=$C100)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100&amp;"")))&gt;0)),"／同じUに他の機器(横並びなら正常)","")&amp;IF(AND(M100&lt;&gt;"",COUNTIFS(回路定義!$A:$A,A100,回路定義!$B:$B,M100)=0),"／回路1が定義にない","")&amp;IF(AND(P100&lt;&gt;"",COUNTIFS(回路定義!$A:$A,A100,回路定義!$B:$B,P100)=0),"／回路2が定義にない","")&amp;IF(AND(S100&lt;&gt;"",COUNTIFS(回路定義!$A:$A,A100,回路定義!$B:$B,S100)=0),"／回路3が定義にない",""))="","",MID(IF(AND(Y100=0,NOT(SUMPRODUCT(--ISNUMBER(SEARCH({"棚板","棚","アングル","ｱﾝｸﾞﾙ","使用不可","ケーブル","ｹｰﾌﾞﾙ","PatchPnael","パッチ","引き出し","引出","ブランク","ﾌﾞﾗﾝｸ","マネージ","ﾏﾈｰｼﾞ","PDU","ONU"},$F100&amp;"")))&gt;0),NOT(SUMPRODUCT(--ISNUMBER(SEARCH({"電源オフ","未投入","停止","未使用","撤去"},$X100&amp;"")))&gt;0)),"／電力が未記入","")&amp;IF(AND(NOT(ISNUMBER(J100)),NOT(SUMPRODUCT(--ISNUMBER(SEARCH({"棚板","棚","アングル","ｱﾝｸﾞﾙ","使用不可","ケーブル","ｹｰﾌﾞﾙ","PatchPnael","パッチ","引き出し","引出","ブランク","ﾌﾞﾗﾝｸ","マネージ","ﾏﾈｰｼﾞ","PDU","ONU"},$F100&amp;"")))&gt;0)),"／重量が未記入","")&amp;IF(AND(K100&lt;&gt;"",NOT(ISNUMBER(K100))),"／電圧が数値でない","")&amp;IF(AND(N100&lt;&gt;"",NOT(ISNUMBER(N100))),"／電流が数値でない","")&amp;IF(AND(C100&lt;&gt;"",C100&lt;1),"／開始Uが1未満","")&amp;IF(AND(E100&lt;&gt;"",E100&gt;IFERROR(VLOOKUP(A100,ラック定義!$A:$B,2,FALSE),47)),"／総Uをはみ出す","")&amp;IF(AND(A100&lt;&gt;"",COUNTIF(ラック定義!$A:$A,A100)=0),"／ラックが定義にない","")&amp;IF(AND(SUMPRODUCT((機器台帳!$A$2:$A$400=$A100)*((機器台帳!$B$2:$B$400=$B100)+(機器台帳!$B$2:$B$400="両面")+($B100="両面")&gt;0)*(機器台帳!$C$2:$C$400&lt;=$C100+$D100-1)*(機器台帳!$C$2:$C$400+機器台帳!$D$2:$D$400-1&gt;=$C100)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100&amp;"")))&gt;0)),"／同じUに他の機器(横並びなら正常)","")&amp;IF(AND(M100&lt;&gt;"",COUNTIFS(回路定義!$A:$A,A100,回路定義!$B:$B,M100)=0),"／回路1が定義にない","")&amp;IF(AND(P100&lt;&gt;"",COUNTIFS(回路定義!$A:$A,A100,回路定義!$B:$B,P100)=0),"／回路2が定義にない","")&amp;IF(AND(S100&lt;&gt;"",COUNTIFS(回路定義!$A:$A,A100,回路定義!$B:$B,S100)=0),"／回路3が定義にない",""),2,300)))</f>
        <v/>
      </c>
    </row>
    <row r="101">
      <c r="A101" s="5" t="inlineStr">
        <is>
          <t>E24-S8-4</t>
        </is>
      </c>
      <c r="B101" s="5" t="inlineStr">
        <is>
          <t>両面</t>
        </is>
      </c>
      <c r="C101" s="5" t="n">
        <v>28</v>
      </c>
      <c r="D101" s="5" t="n">
        <v>1</v>
      </c>
      <c r="E101" s="6">
        <f>IF(C101="","",C101+D101-1)</f>
        <v/>
      </c>
      <c r="F101" s="5" t="inlineStr">
        <is>
          <t>DELL EMC S4128T</t>
        </is>
      </c>
      <c r="G101" s="5" t="inlineStr">
        <is>
          <t>H1902246</t>
        </is>
      </c>
      <c r="H101" s="5" t="inlineStr"/>
      <c r="I101" s="5" t="inlineStr">
        <is>
          <t>スイッチ</t>
        </is>
      </c>
      <c r="J101" s="5" t="n">
        <v>9.5</v>
      </c>
      <c r="K101" s="5" t="n">
        <v>100</v>
      </c>
      <c r="L101" s="5" t="n">
        <v>1</v>
      </c>
      <c r="M101" s="5" t="inlineStr">
        <is>
          <t>100V 20A （1）</t>
        </is>
      </c>
      <c r="N101" s="5" t="n">
        <v>2.5</v>
      </c>
      <c r="O101" s="5" t="n">
        <v>1</v>
      </c>
      <c r="P101" s="5" t="n"/>
      <c r="Q101" s="5" t="n"/>
      <c r="R101" s="5" t="n"/>
      <c r="S101" s="5" t="n"/>
      <c r="T101" s="5" t="n"/>
      <c r="U101" s="5" t="n"/>
      <c r="V101" s="5" t="inlineStr">
        <is>
          <t>○</t>
        </is>
      </c>
      <c r="W101" s="5" t="inlineStr"/>
      <c r="X101" s="5" t="inlineStr">
        <is>
          <t>ラックマウント 7/7電源接続変更</t>
        </is>
      </c>
      <c r="Y101" s="6">
        <f>COUNT(N101,Q101,T101)</f>
        <v/>
      </c>
      <c r="Z101" s="6">
        <f>IF(OR(K101="",NOT(ISNUMBER(K101))),"",K101*SUM(N101,Q101,T101))</f>
        <v/>
      </c>
      <c r="AA101" s="6">
        <f>IF(OR(Y101=0,N101=""),"",N101/Y101)</f>
        <v/>
      </c>
      <c r="AB101" s="6">
        <f>IF(OR(Y101=0,Q101=""),"",Q101/Y101)</f>
        <v/>
      </c>
      <c r="AC101" s="6">
        <f>IF(OR(Y101=0,T101=""),"",T101/Y101)</f>
        <v/>
      </c>
      <c r="AD101" s="6">
        <f>IF(F101="","",IF((IF(AND(Y101=0,NOT(SUMPRODUCT(--ISNUMBER(SEARCH({"棚板","棚","アングル","ｱﾝｸﾞﾙ","使用不可","ケーブル","ｹｰﾌﾞﾙ","PatchPnael","パッチ","引き出し","引出","ブランク","ﾌﾞﾗﾝｸ","マネージ","ﾏﾈｰｼﾞ","PDU","ONU"},$F101&amp;"")))&gt;0),NOT(SUMPRODUCT(--ISNUMBER(SEARCH({"電源オフ","未投入","停止","未使用","撤去"},$X101&amp;"")))&gt;0)),"／電力が未記入","")&amp;IF(AND(NOT(ISNUMBER(J101)),NOT(SUMPRODUCT(--ISNUMBER(SEARCH({"棚板","棚","アングル","ｱﾝｸﾞﾙ","使用不可","ケーブル","ｹｰﾌﾞﾙ","PatchPnael","パッチ","引き出し","引出","ブランク","ﾌﾞﾗﾝｸ","マネージ","ﾏﾈｰｼﾞ","PDU","ONU"},$F101&amp;"")))&gt;0)),"／重量が未記入","")&amp;IF(AND(K101&lt;&gt;"",NOT(ISNUMBER(K101))),"／電圧が数値でない","")&amp;IF(AND(N101&lt;&gt;"",NOT(ISNUMBER(N101))),"／電流が数値でない","")&amp;IF(AND(C101&lt;&gt;"",C101&lt;1),"／開始Uが1未満","")&amp;IF(AND(E101&lt;&gt;"",E101&gt;IFERROR(VLOOKUP(A101,ラック定義!$A:$B,2,FALSE),47)),"／総Uをはみ出す","")&amp;IF(AND(A101&lt;&gt;"",COUNTIF(ラック定義!$A:$A,A101)=0),"／ラックが定義にない","")&amp;IF(AND(SUMPRODUCT((機器台帳!$A$2:$A$400=$A101)*((機器台帳!$B$2:$B$400=$B101)+(機器台帳!$B$2:$B$400="両面")+($B101="両面")&gt;0)*(機器台帳!$C$2:$C$400&lt;=$C101+$D101-1)*(機器台帳!$C$2:$C$400+機器台帳!$D$2:$D$400-1&gt;=$C101)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101&amp;"")))&gt;0)),"／同じUに他の機器(横並びなら正常)","")&amp;IF(AND(M101&lt;&gt;"",COUNTIFS(回路定義!$A:$A,A101,回路定義!$B:$B,M101)=0),"／回路1が定義にない","")&amp;IF(AND(P101&lt;&gt;"",COUNTIFS(回路定義!$A:$A,A101,回路定義!$B:$B,P101)=0),"／回路2が定義にない","")&amp;IF(AND(S101&lt;&gt;"",COUNTIFS(回路定義!$A:$A,A101,回路定義!$B:$B,S101)=0),"／回路3が定義にない",""))="","",MID(IF(AND(Y101=0,NOT(SUMPRODUCT(--ISNUMBER(SEARCH({"棚板","棚","アングル","ｱﾝｸﾞﾙ","使用不可","ケーブル","ｹｰﾌﾞﾙ","PatchPnael","パッチ","引き出し","引出","ブランク","ﾌﾞﾗﾝｸ","マネージ","ﾏﾈｰｼﾞ","PDU","ONU"},$F101&amp;"")))&gt;0),NOT(SUMPRODUCT(--ISNUMBER(SEARCH({"電源オフ","未投入","停止","未使用","撤去"},$X101&amp;"")))&gt;0)),"／電力が未記入","")&amp;IF(AND(NOT(ISNUMBER(J101)),NOT(SUMPRODUCT(--ISNUMBER(SEARCH({"棚板","棚","アングル","ｱﾝｸﾞﾙ","使用不可","ケーブル","ｹｰﾌﾞﾙ","PatchPnael","パッチ","引き出し","引出","ブランク","ﾌﾞﾗﾝｸ","マネージ","ﾏﾈｰｼﾞ","PDU","ONU"},$F101&amp;"")))&gt;0)),"／重量が未記入","")&amp;IF(AND(K101&lt;&gt;"",NOT(ISNUMBER(K101))),"／電圧が数値でない","")&amp;IF(AND(N101&lt;&gt;"",NOT(ISNUMBER(N101))),"／電流が数値でない","")&amp;IF(AND(C101&lt;&gt;"",C101&lt;1),"／開始Uが1未満","")&amp;IF(AND(E101&lt;&gt;"",E101&gt;IFERROR(VLOOKUP(A101,ラック定義!$A:$B,2,FALSE),47)),"／総Uをはみ出す","")&amp;IF(AND(A101&lt;&gt;"",COUNTIF(ラック定義!$A:$A,A101)=0),"／ラックが定義にない","")&amp;IF(AND(SUMPRODUCT((機器台帳!$A$2:$A$400=$A101)*((機器台帳!$B$2:$B$400=$B101)+(機器台帳!$B$2:$B$400="両面")+($B101="両面")&gt;0)*(機器台帳!$C$2:$C$400&lt;=$C101+$D101-1)*(機器台帳!$C$2:$C$400+機器台帳!$D$2:$D$400-1&gt;=$C101)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101&amp;"")))&gt;0)),"／同じUに他の機器(横並びなら正常)","")&amp;IF(AND(M101&lt;&gt;"",COUNTIFS(回路定義!$A:$A,A101,回路定義!$B:$B,M101)=0),"／回路1が定義にない","")&amp;IF(AND(P101&lt;&gt;"",COUNTIFS(回路定義!$A:$A,A101,回路定義!$B:$B,P101)=0),"／回路2が定義にない","")&amp;IF(AND(S101&lt;&gt;"",COUNTIFS(回路定義!$A:$A,A101,回路定義!$B:$B,S101)=0),"／回路3が定義にない",""),2,300)))</f>
        <v/>
      </c>
    </row>
    <row r="102">
      <c r="A102" s="5" t="inlineStr">
        <is>
          <t>E24-S8-4</t>
        </is>
      </c>
      <c r="B102" s="5" t="inlineStr">
        <is>
          <t>両面</t>
        </is>
      </c>
      <c r="C102" s="5" t="n">
        <v>25</v>
      </c>
      <c r="D102" s="5" t="n">
        <v>1</v>
      </c>
      <c r="E102" s="6">
        <f>IF(C102="","",C102+D102-1)</f>
        <v/>
      </c>
      <c r="F102" s="5" t="inlineStr">
        <is>
          <t>Cisco 2511</t>
        </is>
      </c>
      <c r="G102" s="5" t="inlineStr">
        <is>
          <t>H1909150</t>
        </is>
      </c>
      <c r="H102" s="5" t="inlineStr">
        <is>
          <t>検証System</t>
        </is>
      </c>
      <c r="I102" s="5" t="inlineStr">
        <is>
          <t>ルータ</t>
        </is>
      </c>
      <c r="J102" s="5" t="n">
        <v>4</v>
      </c>
      <c r="K102" s="5" t="n">
        <v>100</v>
      </c>
      <c r="L102" s="5" t="n">
        <v>1</v>
      </c>
      <c r="M102" s="5" t="inlineStr">
        <is>
          <t>100V 20A （2）</t>
        </is>
      </c>
      <c r="N102" s="5" t="n">
        <v>0.4</v>
      </c>
      <c r="O102" s="5" t="n">
        <v>1</v>
      </c>
      <c r="P102" s="5" t="n"/>
      <c r="Q102" s="5" t="n"/>
      <c r="R102" s="5" t="n"/>
      <c r="S102" s="5" t="n"/>
      <c r="T102" s="5" t="n"/>
      <c r="U102" s="5" t="n"/>
      <c r="V102" s="5" t="inlineStr">
        <is>
          <t>○</t>
        </is>
      </c>
      <c r="W102" s="5" t="inlineStr"/>
      <c r="X102" s="5" t="inlineStr"/>
      <c r="Y102" s="6">
        <f>COUNT(N102,Q102,T102)</f>
        <v/>
      </c>
      <c r="Z102" s="6">
        <f>IF(OR(K102="",NOT(ISNUMBER(K102))),"",K102*SUM(N102,Q102,T102))</f>
        <v/>
      </c>
      <c r="AA102" s="6">
        <f>IF(OR(Y102=0,N102=""),"",N102/Y102)</f>
        <v/>
      </c>
      <c r="AB102" s="6">
        <f>IF(OR(Y102=0,Q102=""),"",Q102/Y102)</f>
        <v/>
      </c>
      <c r="AC102" s="6">
        <f>IF(OR(Y102=0,T102=""),"",T102/Y102)</f>
        <v/>
      </c>
      <c r="AD102" s="6">
        <f>IF(F102="","",IF((IF(AND(Y102=0,NOT(SUMPRODUCT(--ISNUMBER(SEARCH({"棚板","棚","アングル","ｱﾝｸﾞﾙ","使用不可","ケーブル","ｹｰﾌﾞﾙ","PatchPnael","パッチ","引き出し","引出","ブランク","ﾌﾞﾗﾝｸ","マネージ","ﾏﾈｰｼﾞ","PDU","ONU"},$F102&amp;"")))&gt;0),NOT(SUMPRODUCT(--ISNUMBER(SEARCH({"電源オフ","未投入","停止","未使用","撤去"},$X102&amp;"")))&gt;0)),"／電力が未記入","")&amp;IF(AND(NOT(ISNUMBER(J102)),NOT(SUMPRODUCT(--ISNUMBER(SEARCH({"棚板","棚","アングル","ｱﾝｸﾞﾙ","使用不可","ケーブル","ｹｰﾌﾞﾙ","PatchPnael","パッチ","引き出し","引出","ブランク","ﾌﾞﾗﾝｸ","マネージ","ﾏﾈｰｼﾞ","PDU","ONU"},$F102&amp;"")))&gt;0)),"／重量が未記入","")&amp;IF(AND(K102&lt;&gt;"",NOT(ISNUMBER(K102))),"／電圧が数値でない","")&amp;IF(AND(N102&lt;&gt;"",NOT(ISNUMBER(N102))),"／電流が数値でない","")&amp;IF(AND(C102&lt;&gt;"",C102&lt;1),"／開始Uが1未満","")&amp;IF(AND(E102&lt;&gt;"",E102&gt;IFERROR(VLOOKUP(A102,ラック定義!$A:$B,2,FALSE),47)),"／総Uをはみ出す","")&amp;IF(AND(A102&lt;&gt;"",COUNTIF(ラック定義!$A:$A,A102)=0),"／ラックが定義にない","")&amp;IF(AND(SUMPRODUCT((機器台帳!$A$2:$A$400=$A102)*((機器台帳!$B$2:$B$400=$B102)+(機器台帳!$B$2:$B$400="両面")+($B102="両面")&gt;0)*(機器台帳!$C$2:$C$400&lt;=$C102+$D102-1)*(機器台帳!$C$2:$C$400+機器台帳!$D$2:$D$400-1&gt;=$C102)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102&amp;"")))&gt;0)),"／同じUに他の機器(横並びなら正常)","")&amp;IF(AND(M102&lt;&gt;"",COUNTIFS(回路定義!$A:$A,A102,回路定義!$B:$B,M102)=0),"／回路1が定義にない","")&amp;IF(AND(P102&lt;&gt;"",COUNTIFS(回路定義!$A:$A,A102,回路定義!$B:$B,P102)=0),"／回路2が定義にない","")&amp;IF(AND(S102&lt;&gt;"",COUNTIFS(回路定義!$A:$A,A102,回路定義!$B:$B,S102)=0),"／回路3が定義にない",""))="","",MID(IF(AND(Y102=0,NOT(SUMPRODUCT(--ISNUMBER(SEARCH({"棚板","棚","アングル","ｱﾝｸﾞﾙ","使用不可","ケーブル","ｹｰﾌﾞﾙ","PatchPnael","パッチ","引き出し","引出","ブランク","ﾌﾞﾗﾝｸ","マネージ","ﾏﾈｰｼﾞ","PDU","ONU"},$F102&amp;"")))&gt;0),NOT(SUMPRODUCT(--ISNUMBER(SEARCH({"電源オフ","未投入","停止","未使用","撤去"},$X102&amp;"")))&gt;0)),"／電力が未記入","")&amp;IF(AND(NOT(ISNUMBER(J102)),NOT(SUMPRODUCT(--ISNUMBER(SEARCH({"棚板","棚","アングル","ｱﾝｸﾞﾙ","使用不可","ケーブル","ｹｰﾌﾞﾙ","PatchPnael","パッチ","引き出し","引出","ブランク","ﾌﾞﾗﾝｸ","マネージ","ﾏﾈｰｼﾞ","PDU","ONU"},$F102&amp;"")))&gt;0)),"／重量が未記入","")&amp;IF(AND(K102&lt;&gt;"",NOT(ISNUMBER(K102))),"／電圧が数値でない","")&amp;IF(AND(N102&lt;&gt;"",NOT(ISNUMBER(N102))),"／電流が数値でない","")&amp;IF(AND(C102&lt;&gt;"",C102&lt;1),"／開始Uが1未満","")&amp;IF(AND(E102&lt;&gt;"",E102&gt;IFERROR(VLOOKUP(A102,ラック定義!$A:$B,2,FALSE),47)),"／総Uをはみ出す","")&amp;IF(AND(A102&lt;&gt;"",COUNTIF(ラック定義!$A:$A,A102)=0),"／ラックが定義にない","")&amp;IF(AND(SUMPRODUCT((機器台帳!$A$2:$A$400=$A102)*((機器台帳!$B$2:$B$400=$B102)+(機器台帳!$B$2:$B$400="両面")+($B102="両面")&gt;0)*(機器台帳!$C$2:$C$400&lt;=$C102+$D102-1)*(機器台帳!$C$2:$C$400+機器台帳!$D$2:$D$400-1&gt;=$C102)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102&amp;"")))&gt;0)),"／同じUに他の機器(横並びなら正常)","")&amp;IF(AND(M102&lt;&gt;"",COUNTIFS(回路定義!$A:$A,A102,回路定義!$B:$B,M102)=0),"／回路1が定義にない","")&amp;IF(AND(P102&lt;&gt;"",COUNTIFS(回路定義!$A:$A,A102,回路定義!$B:$B,P102)=0),"／回路2が定義にない","")&amp;IF(AND(S102&lt;&gt;"",COUNTIFS(回路定義!$A:$A,A102,回路定義!$B:$B,S102)=0),"／回路3が定義にない",""),2,300)))</f>
        <v/>
      </c>
    </row>
    <row r="103">
      <c r="A103" s="5" t="inlineStr">
        <is>
          <t>E24-S8-4</t>
        </is>
      </c>
      <c r="B103" s="5" t="inlineStr">
        <is>
          <t>両面</t>
        </is>
      </c>
      <c r="C103" s="5" t="n">
        <v>24</v>
      </c>
      <c r="D103" s="5" t="n">
        <v>1</v>
      </c>
      <c r="E103" s="6">
        <f>IF(C103="","",C103+D103-1)</f>
        <v/>
      </c>
      <c r="F103" s="5" t="inlineStr">
        <is>
          <t>Catalyst 2950</t>
        </is>
      </c>
      <c r="G103" s="5" t="inlineStr">
        <is>
          <t>H0700846</t>
        </is>
      </c>
      <c r="H103" s="5" t="inlineStr">
        <is>
          <t>検証System</t>
        </is>
      </c>
      <c r="I103" s="5" t="inlineStr">
        <is>
          <t>スイッチ</t>
        </is>
      </c>
      <c r="J103" s="5" t="n">
        <v>3</v>
      </c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inlineStr">
        <is>
          <t>○</t>
        </is>
      </c>
      <c r="W103" s="5" t="inlineStr"/>
      <c r="X103" s="5" t="inlineStr"/>
      <c r="Y103" s="6">
        <f>COUNT(N103,Q103,T103)</f>
        <v/>
      </c>
      <c r="Z103" s="6">
        <f>IF(OR(K103="",NOT(ISNUMBER(K103))),"",K103*SUM(N103,Q103,T103))</f>
        <v/>
      </c>
      <c r="AA103" s="6">
        <f>IF(OR(Y103=0,N103=""),"",N103/Y103)</f>
        <v/>
      </c>
      <c r="AB103" s="6">
        <f>IF(OR(Y103=0,Q103=""),"",Q103/Y103)</f>
        <v/>
      </c>
      <c r="AC103" s="6">
        <f>IF(OR(Y103=0,T103=""),"",T103/Y103)</f>
        <v/>
      </c>
      <c r="AD103" s="6">
        <f>IF(F103="","",IF((IF(AND(Y103=0,NOT(SUMPRODUCT(--ISNUMBER(SEARCH({"棚板","棚","アングル","ｱﾝｸﾞﾙ","使用不可","ケーブル","ｹｰﾌﾞﾙ","PatchPnael","パッチ","引き出し","引出","ブランク","ﾌﾞﾗﾝｸ","マネージ","ﾏﾈｰｼﾞ","PDU","ONU"},$F103&amp;"")))&gt;0),NOT(SUMPRODUCT(--ISNUMBER(SEARCH({"電源オフ","未投入","停止","未使用","撤去"},$X103&amp;"")))&gt;0)),"／電力が未記入","")&amp;IF(AND(NOT(ISNUMBER(J103)),NOT(SUMPRODUCT(--ISNUMBER(SEARCH({"棚板","棚","アングル","ｱﾝｸﾞﾙ","使用不可","ケーブル","ｹｰﾌﾞﾙ","PatchPnael","パッチ","引き出し","引出","ブランク","ﾌﾞﾗﾝｸ","マネージ","ﾏﾈｰｼﾞ","PDU","ONU"},$F103&amp;"")))&gt;0)),"／重量が未記入","")&amp;IF(AND(K103&lt;&gt;"",NOT(ISNUMBER(K103))),"／電圧が数値でない","")&amp;IF(AND(N103&lt;&gt;"",NOT(ISNUMBER(N103))),"／電流が数値でない","")&amp;IF(AND(C103&lt;&gt;"",C103&lt;1),"／開始Uが1未満","")&amp;IF(AND(E103&lt;&gt;"",E103&gt;IFERROR(VLOOKUP(A103,ラック定義!$A:$B,2,FALSE),47)),"／総Uをはみ出す","")&amp;IF(AND(A103&lt;&gt;"",COUNTIF(ラック定義!$A:$A,A103)=0),"／ラックが定義にない","")&amp;IF(AND(SUMPRODUCT((機器台帳!$A$2:$A$400=$A103)*((機器台帳!$B$2:$B$400=$B103)+(機器台帳!$B$2:$B$400="両面")+($B103="両面")&gt;0)*(機器台帳!$C$2:$C$400&lt;=$C103+$D103-1)*(機器台帳!$C$2:$C$400+機器台帳!$D$2:$D$400-1&gt;=$C103)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103&amp;"")))&gt;0)),"／同じUに他の機器(横並びなら正常)","")&amp;IF(AND(M103&lt;&gt;"",COUNTIFS(回路定義!$A:$A,A103,回路定義!$B:$B,M103)=0),"／回路1が定義にない","")&amp;IF(AND(P103&lt;&gt;"",COUNTIFS(回路定義!$A:$A,A103,回路定義!$B:$B,P103)=0),"／回路2が定義にない","")&amp;IF(AND(S103&lt;&gt;"",COUNTIFS(回路定義!$A:$A,A103,回路定義!$B:$B,S103)=0),"／回路3が定義にない",""))="","",MID(IF(AND(Y103=0,NOT(SUMPRODUCT(--ISNUMBER(SEARCH({"棚板","棚","アングル","ｱﾝｸﾞﾙ","使用不可","ケーブル","ｹｰﾌﾞﾙ","PatchPnael","パッチ","引き出し","引出","ブランク","ﾌﾞﾗﾝｸ","マネージ","ﾏﾈｰｼﾞ","PDU","ONU"},$F103&amp;"")))&gt;0),NOT(SUMPRODUCT(--ISNUMBER(SEARCH({"電源オフ","未投入","停止","未使用","撤去"},$X103&amp;"")))&gt;0)),"／電力が未記入","")&amp;IF(AND(NOT(ISNUMBER(J103)),NOT(SUMPRODUCT(--ISNUMBER(SEARCH({"棚板","棚","アングル","ｱﾝｸﾞﾙ","使用不可","ケーブル","ｹｰﾌﾞﾙ","PatchPnael","パッチ","引き出し","引出","ブランク","ﾌﾞﾗﾝｸ","マネージ","ﾏﾈｰｼﾞ","PDU","ONU"},$F103&amp;"")))&gt;0)),"／重量が未記入","")&amp;IF(AND(K103&lt;&gt;"",NOT(ISNUMBER(K103))),"／電圧が数値でない","")&amp;IF(AND(N103&lt;&gt;"",NOT(ISNUMBER(N103))),"／電流が数値でない","")&amp;IF(AND(C103&lt;&gt;"",C103&lt;1),"／開始Uが1未満","")&amp;IF(AND(E103&lt;&gt;"",E103&gt;IFERROR(VLOOKUP(A103,ラック定義!$A:$B,2,FALSE),47)),"／総Uをはみ出す","")&amp;IF(AND(A103&lt;&gt;"",COUNTIF(ラック定義!$A:$A,A103)=0),"／ラックが定義にない","")&amp;IF(AND(SUMPRODUCT((機器台帳!$A$2:$A$400=$A103)*((機器台帳!$B$2:$B$400=$B103)+(機器台帳!$B$2:$B$400="両面")+($B103="両面")&gt;0)*(機器台帳!$C$2:$C$400&lt;=$C103+$D103-1)*(機器台帳!$C$2:$C$400+機器台帳!$D$2:$D$400-1&gt;=$C103)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103&amp;"")))&gt;0)),"／同じUに他の機器(横並びなら正常)","")&amp;IF(AND(M103&lt;&gt;"",COUNTIFS(回路定義!$A:$A,A103,回路定義!$B:$B,M103)=0),"／回路1が定義にない","")&amp;IF(AND(P103&lt;&gt;"",COUNTIFS(回路定義!$A:$A,A103,回路定義!$B:$B,P103)=0),"／回路2が定義にない","")&amp;IF(AND(S103&lt;&gt;"",COUNTIFS(回路定義!$A:$A,A103,回路定義!$B:$B,S103)=0),"／回路3が定義にない",""),2,300)))</f>
        <v/>
      </c>
    </row>
    <row r="104">
      <c r="A104" s="5" t="inlineStr">
        <is>
          <t>E24-S8-4</t>
        </is>
      </c>
      <c r="B104" s="5" t="inlineStr">
        <is>
          <t>両面</t>
        </is>
      </c>
      <c r="C104" s="5" t="n">
        <v>22</v>
      </c>
      <c r="D104" s="5" t="n">
        <v>1</v>
      </c>
      <c r="E104" s="6">
        <f>IF(C104="","",C104+D104-1)</f>
        <v/>
      </c>
      <c r="F104" s="5" t="inlineStr">
        <is>
          <t>Catalyst Edge C8200-1N-4T</t>
        </is>
      </c>
      <c r="G104" s="5" t="inlineStr">
        <is>
          <t>H2310061</t>
        </is>
      </c>
      <c r="H104" s="5" t="inlineStr"/>
      <c r="I104" s="5" t="inlineStr"/>
      <c r="J104" s="5" t="n">
        <v>4.54</v>
      </c>
      <c r="K104" s="5" t="n">
        <v>100</v>
      </c>
      <c r="L104" s="5" t="n">
        <v>1</v>
      </c>
      <c r="M104" s="5" t="inlineStr">
        <is>
          <t>100V 20A （1）</t>
        </is>
      </c>
      <c r="N104" s="5" t="n">
        <v>1</v>
      </c>
      <c r="O104" s="5" t="n">
        <v>1</v>
      </c>
      <c r="P104" s="5" t="n"/>
      <c r="Q104" s="5" t="n"/>
      <c r="R104" s="5" t="n"/>
      <c r="S104" s="5" t="n"/>
      <c r="T104" s="5" t="n"/>
      <c r="U104" s="5" t="n"/>
      <c r="V104" s="5" t="inlineStr">
        <is>
          <t>○</t>
        </is>
      </c>
      <c r="W104" s="5" t="inlineStr"/>
      <c r="X104" s="5" t="inlineStr"/>
      <c r="Y104" s="6">
        <f>COUNT(N104,Q104,T104)</f>
        <v/>
      </c>
      <c r="Z104" s="6">
        <f>IF(OR(K104="",NOT(ISNUMBER(K104))),"",K104*SUM(N104,Q104,T104))</f>
        <v/>
      </c>
      <c r="AA104" s="6">
        <f>IF(OR(Y104=0,N104=""),"",N104/Y104)</f>
        <v/>
      </c>
      <c r="AB104" s="6">
        <f>IF(OR(Y104=0,Q104=""),"",Q104/Y104)</f>
        <v/>
      </c>
      <c r="AC104" s="6">
        <f>IF(OR(Y104=0,T104=""),"",T104/Y104)</f>
        <v/>
      </c>
      <c r="AD104" s="6">
        <f>IF(F104="","",IF((IF(AND(Y104=0,NOT(SUMPRODUCT(--ISNUMBER(SEARCH({"棚板","棚","アングル","ｱﾝｸﾞﾙ","使用不可","ケーブル","ｹｰﾌﾞﾙ","PatchPnael","パッチ","引き出し","引出","ブランク","ﾌﾞﾗﾝｸ","マネージ","ﾏﾈｰｼﾞ","PDU","ONU"},$F104&amp;"")))&gt;0),NOT(SUMPRODUCT(--ISNUMBER(SEARCH({"電源オフ","未投入","停止","未使用","撤去"},$X104&amp;"")))&gt;0)),"／電力が未記入","")&amp;IF(AND(NOT(ISNUMBER(J104)),NOT(SUMPRODUCT(--ISNUMBER(SEARCH({"棚板","棚","アングル","ｱﾝｸﾞﾙ","使用不可","ケーブル","ｹｰﾌﾞﾙ","PatchPnael","パッチ","引き出し","引出","ブランク","ﾌﾞﾗﾝｸ","マネージ","ﾏﾈｰｼﾞ","PDU","ONU"},$F104&amp;"")))&gt;0)),"／重量が未記入","")&amp;IF(AND(K104&lt;&gt;"",NOT(ISNUMBER(K104))),"／電圧が数値でない","")&amp;IF(AND(N104&lt;&gt;"",NOT(ISNUMBER(N104))),"／電流が数値でない","")&amp;IF(AND(C104&lt;&gt;"",C104&lt;1),"／開始Uが1未満","")&amp;IF(AND(E104&lt;&gt;"",E104&gt;IFERROR(VLOOKUP(A104,ラック定義!$A:$B,2,FALSE),47)),"／総Uをはみ出す","")&amp;IF(AND(A104&lt;&gt;"",COUNTIF(ラック定義!$A:$A,A104)=0),"／ラックが定義にない","")&amp;IF(AND(SUMPRODUCT((機器台帳!$A$2:$A$400=$A104)*((機器台帳!$B$2:$B$400=$B104)+(機器台帳!$B$2:$B$400="両面")+($B104="両面")&gt;0)*(機器台帳!$C$2:$C$400&lt;=$C104+$D104-1)*(機器台帳!$C$2:$C$400+機器台帳!$D$2:$D$400-1&gt;=$C104)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104&amp;"")))&gt;0)),"／同じUに他の機器(横並びなら正常)","")&amp;IF(AND(M104&lt;&gt;"",COUNTIFS(回路定義!$A:$A,A104,回路定義!$B:$B,M104)=0),"／回路1が定義にない","")&amp;IF(AND(P104&lt;&gt;"",COUNTIFS(回路定義!$A:$A,A104,回路定義!$B:$B,P104)=0),"／回路2が定義にない","")&amp;IF(AND(S104&lt;&gt;"",COUNTIFS(回路定義!$A:$A,A104,回路定義!$B:$B,S104)=0),"／回路3が定義にない",""))="","",MID(IF(AND(Y104=0,NOT(SUMPRODUCT(--ISNUMBER(SEARCH({"棚板","棚","アングル","ｱﾝｸﾞﾙ","使用不可","ケーブル","ｹｰﾌﾞﾙ","PatchPnael","パッチ","引き出し","引出","ブランク","ﾌﾞﾗﾝｸ","マネージ","ﾏﾈｰｼﾞ","PDU","ONU"},$F104&amp;"")))&gt;0),NOT(SUMPRODUCT(--ISNUMBER(SEARCH({"電源オフ","未投入","停止","未使用","撤去"},$X104&amp;"")))&gt;0)),"／電力が未記入","")&amp;IF(AND(NOT(ISNUMBER(J104)),NOT(SUMPRODUCT(--ISNUMBER(SEARCH({"棚板","棚","アングル","ｱﾝｸﾞﾙ","使用不可","ケーブル","ｹｰﾌﾞﾙ","PatchPnael","パッチ","引き出し","引出","ブランク","ﾌﾞﾗﾝｸ","マネージ","ﾏﾈｰｼﾞ","PDU","ONU"},$F104&amp;"")))&gt;0)),"／重量が未記入","")&amp;IF(AND(K104&lt;&gt;"",NOT(ISNUMBER(K104))),"／電圧が数値でない","")&amp;IF(AND(N104&lt;&gt;"",NOT(ISNUMBER(N104))),"／電流が数値でない","")&amp;IF(AND(C104&lt;&gt;"",C104&lt;1),"／開始Uが1未満","")&amp;IF(AND(E104&lt;&gt;"",E104&gt;IFERROR(VLOOKUP(A104,ラック定義!$A:$B,2,FALSE),47)),"／総Uをはみ出す","")&amp;IF(AND(A104&lt;&gt;"",COUNTIF(ラック定義!$A:$A,A104)=0),"／ラックが定義にない","")&amp;IF(AND(SUMPRODUCT((機器台帳!$A$2:$A$400=$A104)*((機器台帳!$B$2:$B$400=$B104)+(機器台帳!$B$2:$B$400="両面")+($B104="両面")&gt;0)*(機器台帳!$C$2:$C$400&lt;=$C104+$D104-1)*(機器台帳!$C$2:$C$400+機器台帳!$D$2:$D$400-1&gt;=$C104)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104&amp;"")))&gt;0)),"／同じUに他の機器(横並びなら正常)","")&amp;IF(AND(M104&lt;&gt;"",COUNTIFS(回路定義!$A:$A,A104,回路定義!$B:$B,M104)=0),"／回路1が定義にない","")&amp;IF(AND(P104&lt;&gt;"",COUNTIFS(回路定義!$A:$A,A104,回路定義!$B:$B,P104)=0),"／回路2が定義にない","")&amp;IF(AND(S104&lt;&gt;"",COUNTIFS(回路定義!$A:$A,A104,回路定義!$B:$B,S104)=0),"／回路3が定義にない",""),2,300)))</f>
        <v/>
      </c>
    </row>
    <row r="105">
      <c r="A105" s="5" t="inlineStr">
        <is>
          <t>E24-S8-4</t>
        </is>
      </c>
      <c r="B105" s="5" t="inlineStr">
        <is>
          <t>両面</t>
        </is>
      </c>
      <c r="C105" s="5" t="n">
        <v>21</v>
      </c>
      <c r="D105" s="5" t="n">
        <v>1</v>
      </c>
      <c r="E105" s="6">
        <f>IF(C105="","",C105+D105-1)</f>
        <v/>
      </c>
      <c r="F105" s="5" t="inlineStr">
        <is>
          <t>棚板</t>
        </is>
      </c>
      <c r="G105" s="5" t="inlineStr"/>
      <c r="H105" s="5" t="inlineStr">
        <is>
          <t>検証System</t>
        </is>
      </c>
      <c r="I105" s="5" t="inlineStr">
        <is>
          <t>ルータ</t>
        </is>
      </c>
      <c r="J105" s="5" t="n">
        <v>1.4</v>
      </c>
      <c r="K105" s="5" t="n">
        <v>100</v>
      </c>
      <c r="L105" s="5" t="n">
        <v>1</v>
      </c>
      <c r="M105" s="5" t="inlineStr">
        <is>
          <t>100V 20A （1）</t>
        </is>
      </c>
      <c r="N105" s="5" t="n">
        <v>1</v>
      </c>
      <c r="O105" s="5" t="n">
        <v>1</v>
      </c>
      <c r="P105" s="5" t="n"/>
      <c r="Q105" s="5" t="n"/>
      <c r="R105" s="5" t="n"/>
      <c r="S105" s="5" t="n"/>
      <c r="T105" s="5" t="n"/>
      <c r="U105" s="5" t="n"/>
      <c r="V105" s="5" t="inlineStr">
        <is>
          <t>①</t>
        </is>
      </c>
      <c r="W105" s="5" t="inlineStr"/>
      <c r="X105" s="5" t="inlineStr"/>
      <c r="Y105" s="6">
        <f>COUNT(N105,Q105,T105)</f>
        <v/>
      </c>
      <c r="Z105" s="6">
        <f>IF(OR(K105="",NOT(ISNUMBER(K105))),"",K105*SUM(N105,Q105,T105))</f>
        <v/>
      </c>
      <c r="AA105" s="6">
        <f>IF(OR(Y105=0,N105=""),"",N105/Y105)</f>
        <v/>
      </c>
      <c r="AB105" s="6">
        <f>IF(OR(Y105=0,Q105=""),"",Q105/Y105)</f>
        <v/>
      </c>
      <c r="AC105" s="6">
        <f>IF(OR(Y105=0,T105=""),"",T105/Y105)</f>
        <v/>
      </c>
      <c r="AD105" s="6">
        <f>IF(F105="","",IF((IF(AND(Y105=0,NOT(SUMPRODUCT(--ISNUMBER(SEARCH({"棚板","棚","アングル","ｱﾝｸﾞﾙ","使用不可","ケーブル","ｹｰﾌﾞﾙ","PatchPnael","パッチ","引き出し","引出","ブランク","ﾌﾞﾗﾝｸ","マネージ","ﾏﾈｰｼﾞ","PDU","ONU"},$F105&amp;"")))&gt;0),NOT(SUMPRODUCT(--ISNUMBER(SEARCH({"電源オフ","未投入","停止","未使用","撤去"},$X105&amp;"")))&gt;0)),"／電力が未記入","")&amp;IF(AND(NOT(ISNUMBER(J105)),NOT(SUMPRODUCT(--ISNUMBER(SEARCH({"棚板","棚","アングル","ｱﾝｸﾞﾙ","使用不可","ケーブル","ｹｰﾌﾞﾙ","PatchPnael","パッチ","引き出し","引出","ブランク","ﾌﾞﾗﾝｸ","マネージ","ﾏﾈｰｼﾞ","PDU","ONU"},$F105&amp;"")))&gt;0)),"／重量が未記入","")&amp;IF(AND(K105&lt;&gt;"",NOT(ISNUMBER(K105))),"／電圧が数値でない","")&amp;IF(AND(N105&lt;&gt;"",NOT(ISNUMBER(N105))),"／電流が数値でない","")&amp;IF(AND(C105&lt;&gt;"",C105&lt;1),"／開始Uが1未満","")&amp;IF(AND(E105&lt;&gt;"",E105&gt;IFERROR(VLOOKUP(A105,ラック定義!$A:$B,2,FALSE),47)),"／総Uをはみ出す","")&amp;IF(AND(A105&lt;&gt;"",COUNTIF(ラック定義!$A:$A,A105)=0),"／ラックが定義にない","")&amp;IF(AND(SUMPRODUCT((機器台帳!$A$2:$A$400=$A105)*((機器台帳!$B$2:$B$400=$B105)+(機器台帳!$B$2:$B$400="両面")+($B105="両面")&gt;0)*(機器台帳!$C$2:$C$400&lt;=$C105+$D105-1)*(機器台帳!$C$2:$C$400+機器台帳!$D$2:$D$400-1&gt;=$C105)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105&amp;"")))&gt;0)),"／同じUに他の機器(横並びなら正常)","")&amp;IF(AND(M105&lt;&gt;"",COUNTIFS(回路定義!$A:$A,A105,回路定義!$B:$B,M105)=0),"／回路1が定義にない","")&amp;IF(AND(P105&lt;&gt;"",COUNTIFS(回路定義!$A:$A,A105,回路定義!$B:$B,P105)=0),"／回路2が定義にない","")&amp;IF(AND(S105&lt;&gt;"",COUNTIFS(回路定義!$A:$A,A105,回路定義!$B:$B,S105)=0),"／回路3が定義にない",""))="","",MID(IF(AND(Y105=0,NOT(SUMPRODUCT(--ISNUMBER(SEARCH({"棚板","棚","アングル","ｱﾝｸﾞﾙ","使用不可","ケーブル","ｹｰﾌﾞﾙ","PatchPnael","パッチ","引き出し","引出","ブランク","ﾌﾞﾗﾝｸ","マネージ","ﾏﾈｰｼﾞ","PDU","ONU"},$F105&amp;"")))&gt;0),NOT(SUMPRODUCT(--ISNUMBER(SEARCH({"電源オフ","未投入","停止","未使用","撤去"},$X105&amp;"")))&gt;0)),"／電力が未記入","")&amp;IF(AND(NOT(ISNUMBER(J105)),NOT(SUMPRODUCT(--ISNUMBER(SEARCH({"棚板","棚","アングル","ｱﾝｸﾞﾙ","使用不可","ケーブル","ｹｰﾌﾞﾙ","PatchPnael","パッチ","引き出し","引出","ブランク","ﾌﾞﾗﾝｸ","マネージ","ﾏﾈｰｼﾞ","PDU","ONU"},$F105&amp;"")))&gt;0)),"／重量が未記入","")&amp;IF(AND(K105&lt;&gt;"",NOT(ISNUMBER(K105))),"／電圧が数値でない","")&amp;IF(AND(N105&lt;&gt;"",NOT(ISNUMBER(N105))),"／電流が数値でない","")&amp;IF(AND(C105&lt;&gt;"",C105&lt;1),"／開始Uが1未満","")&amp;IF(AND(E105&lt;&gt;"",E105&gt;IFERROR(VLOOKUP(A105,ラック定義!$A:$B,2,FALSE),47)),"／総Uをはみ出す","")&amp;IF(AND(A105&lt;&gt;"",COUNTIF(ラック定義!$A:$A,A105)=0),"／ラックが定義にない","")&amp;IF(AND(SUMPRODUCT((機器台帳!$A$2:$A$400=$A105)*((機器台帳!$B$2:$B$400=$B105)+(機器台帳!$B$2:$B$400="両面")+($B105="両面")&gt;0)*(機器台帳!$C$2:$C$400&lt;=$C105+$D105-1)*(機器台帳!$C$2:$C$400+機器台帳!$D$2:$D$400-1&gt;=$C105)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105&amp;"")))&gt;0)),"／同じUに他の機器(横並びなら正常)","")&amp;IF(AND(M105&lt;&gt;"",COUNTIFS(回路定義!$A:$A,A105,回路定義!$B:$B,M105)=0),"／回路1が定義にない","")&amp;IF(AND(P105&lt;&gt;"",COUNTIFS(回路定義!$A:$A,A105,回路定義!$B:$B,P105)=0),"／回路2が定義にない","")&amp;IF(AND(S105&lt;&gt;"",COUNTIFS(回路定義!$A:$A,A105,回路定義!$B:$B,S105)=0),"／回路3が定義にない",""),2,300)))</f>
        <v/>
      </c>
    </row>
    <row r="106">
      <c r="A106" s="5" t="inlineStr">
        <is>
          <t>E24-S8-4</t>
        </is>
      </c>
      <c r="B106" s="5" t="inlineStr">
        <is>
          <t>両面</t>
        </is>
      </c>
      <c r="C106" s="5" t="n">
        <v>20</v>
      </c>
      <c r="D106" s="5" t="n">
        <v>1</v>
      </c>
      <c r="E106" s="6">
        <f>IF(C106="","",C106+D106-1)</f>
        <v/>
      </c>
      <c r="F106" s="5" t="inlineStr">
        <is>
          <t>②ASA5506-X</t>
        </is>
      </c>
      <c r="G106" s="5" t="inlineStr">
        <is>
          <t>H2101465</t>
        </is>
      </c>
      <c r="H106" s="5" t="inlineStr">
        <is>
          <t>検証System</t>
        </is>
      </c>
      <c r="I106" s="5" t="inlineStr">
        <is>
          <t>ルータ</t>
        </is>
      </c>
      <c r="J106" s="5" t="n">
        <v>3.18</v>
      </c>
      <c r="K106" s="5" t="n">
        <v>5</v>
      </c>
      <c r="L106" s="5" t="n">
        <v>1</v>
      </c>
      <c r="M106" s="5" t="inlineStr">
        <is>
          <t>100V 20A （2）</t>
        </is>
      </c>
      <c r="N106" s="5" t="n">
        <v>3.6</v>
      </c>
      <c r="O106" s="5" t="n">
        <v>1</v>
      </c>
      <c r="P106" s="5" t="n"/>
      <c r="Q106" s="5" t="n"/>
      <c r="R106" s="5" t="n"/>
      <c r="S106" s="5" t="n"/>
      <c r="T106" s="5" t="n"/>
      <c r="U106" s="5" t="n"/>
      <c r="V106" s="5" t="inlineStr">
        <is>
          <t>②</t>
        </is>
      </c>
      <c r="W106" s="5" t="inlineStr"/>
      <c r="X106" s="5" t="inlineStr"/>
      <c r="Y106" s="6">
        <f>COUNT(N106,Q106,T106)</f>
        <v/>
      </c>
      <c r="Z106" s="6">
        <f>IF(OR(K106="",NOT(ISNUMBER(K106))),"",K106*SUM(N106,Q106,T106))</f>
        <v/>
      </c>
      <c r="AA106" s="6">
        <f>IF(OR(Y106=0,N106=""),"",N106/Y106)</f>
        <v/>
      </c>
      <c r="AB106" s="6">
        <f>IF(OR(Y106=0,Q106=""),"",Q106/Y106)</f>
        <v/>
      </c>
      <c r="AC106" s="6">
        <f>IF(OR(Y106=0,T106=""),"",T106/Y106)</f>
        <v/>
      </c>
      <c r="AD106" s="6">
        <f>IF(F106="","",IF((IF(AND(Y106=0,NOT(SUMPRODUCT(--ISNUMBER(SEARCH({"棚板","棚","アングル","ｱﾝｸﾞﾙ","使用不可","ケーブル","ｹｰﾌﾞﾙ","PatchPnael","パッチ","引き出し","引出","ブランク","ﾌﾞﾗﾝｸ","マネージ","ﾏﾈｰｼﾞ","PDU","ONU"},$F106&amp;"")))&gt;0),NOT(SUMPRODUCT(--ISNUMBER(SEARCH({"電源オフ","未投入","停止","未使用","撤去"},$X106&amp;"")))&gt;0)),"／電力が未記入","")&amp;IF(AND(NOT(ISNUMBER(J106)),NOT(SUMPRODUCT(--ISNUMBER(SEARCH({"棚板","棚","アングル","ｱﾝｸﾞﾙ","使用不可","ケーブル","ｹｰﾌﾞﾙ","PatchPnael","パッチ","引き出し","引出","ブランク","ﾌﾞﾗﾝｸ","マネージ","ﾏﾈｰｼﾞ","PDU","ONU"},$F106&amp;"")))&gt;0)),"／重量が未記入","")&amp;IF(AND(K106&lt;&gt;"",NOT(ISNUMBER(K106))),"／電圧が数値でない","")&amp;IF(AND(N106&lt;&gt;"",NOT(ISNUMBER(N106))),"／電流が数値でない","")&amp;IF(AND(C106&lt;&gt;"",C106&lt;1),"／開始Uが1未満","")&amp;IF(AND(E106&lt;&gt;"",E106&gt;IFERROR(VLOOKUP(A106,ラック定義!$A:$B,2,FALSE),47)),"／総Uをはみ出す","")&amp;IF(AND(A106&lt;&gt;"",COUNTIF(ラック定義!$A:$A,A106)=0),"／ラックが定義にない","")&amp;IF(AND(SUMPRODUCT((機器台帳!$A$2:$A$400=$A106)*((機器台帳!$B$2:$B$400=$B106)+(機器台帳!$B$2:$B$400="両面")+($B106="両面")&gt;0)*(機器台帳!$C$2:$C$400&lt;=$C106+$D106-1)*(機器台帳!$C$2:$C$400+機器台帳!$D$2:$D$400-1&gt;=$C106)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106&amp;"")))&gt;0)),"／同じUに他の機器(横並びなら正常)","")&amp;IF(AND(M106&lt;&gt;"",COUNTIFS(回路定義!$A:$A,A106,回路定義!$B:$B,M106)=0),"／回路1が定義にない","")&amp;IF(AND(P106&lt;&gt;"",COUNTIFS(回路定義!$A:$A,A106,回路定義!$B:$B,P106)=0),"／回路2が定義にない","")&amp;IF(AND(S106&lt;&gt;"",COUNTIFS(回路定義!$A:$A,A106,回路定義!$B:$B,S106)=0),"／回路3が定義にない",""))="","",MID(IF(AND(Y106=0,NOT(SUMPRODUCT(--ISNUMBER(SEARCH({"棚板","棚","アングル","ｱﾝｸﾞﾙ","使用不可","ケーブル","ｹｰﾌﾞﾙ","PatchPnael","パッチ","引き出し","引出","ブランク","ﾌﾞﾗﾝｸ","マネージ","ﾏﾈｰｼﾞ","PDU","ONU"},$F106&amp;"")))&gt;0),NOT(SUMPRODUCT(--ISNUMBER(SEARCH({"電源オフ","未投入","停止","未使用","撤去"},$X106&amp;"")))&gt;0)),"／電力が未記入","")&amp;IF(AND(NOT(ISNUMBER(J106)),NOT(SUMPRODUCT(--ISNUMBER(SEARCH({"棚板","棚","アングル","ｱﾝｸﾞﾙ","使用不可","ケーブル","ｹｰﾌﾞﾙ","PatchPnael","パッチ","引き出し","引出","ブランク","ﾌﾞﾗﾝｸ","マネージ","ﾏﾈｰｼﾞ","PDU","ONU"},$F106&amp;"")))&gt;0)),"／重量が未記入","")&amp;IF(AND(K106&lt;&gt;"",NOT(ISNUMBER(K106))),"／電圧が数値でない","")&amp;IF(AND(N106&lt;&gt;"",NOT(ISNUMBER(N106))),"／電流が数値でない","")&amp;IF(AND(C106&lt;&gt;"",C106&lt;1),"／開始Uが1未満","")&amp;IF(AND(E106&lt;&gt;"",E106&gt;IFERROR(VLOOKUP(A106,ラック定義!$A:$B,2,FALSE),47)),"／総Uをはみ出す","")&amp;IF(AND(A106&lt;&gt;"",COUNTIF(ラック定義!$A:$A,A106)=0),"／ラックが定義にない","")&amp;IF(AND(SUMPRODUCT((機器台帳!$A$2:$A$400=$A106)*((機器台帳!$B$2:$B$400=$B106)+(機器台帳!$B$2:$B$400="両面")+($B106="両面")&gt;0)*(機器台帳!$C$2:$C$400&lt;=$C106+$D106-1)*(機器台帳!$C$2:$C$400+機器台帳!$D$2:$D$400-1&gt;=$C106)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106&amp;"")))&gt;0)),"／同じUに他の機器(横並びなら正常)","")&amp;IF(AND(M106&lt;&gt;"",COUNTIFS(回路定義!$A:$A,A106,回路定義!$B:$B,M106)=0),"／回路1が定義にない","")&amp;IF(AND(P106&lt;&gt;"",COUNTIFS(回路定義!$A:$A,A106,回路定義!$B:$B,P106)=0),"／回路2が定義にない","")&amp;IF(AND(S106&lt;&gt;"",COUNTIFS(回路定義!$A:$A,A106,回路定義!$B:$B,S106)=0),"／回路3が定義にない",""),2,300)))</f>
        <v/>
      </c>
    </row>
    <row r="107">
      <c r="A107" s="5" t="inlineStr">
        <is>
          <t>E24-S8-4</t>
        </is>
      </c>
      <c r="B107" s="5" t="inlineStr">
        <is>
          <t>両面</t>
        </is>
      </c>
      <c r="C107" s="5" t="n">
        <v>20</v>
      </c>
      <c r="D107" s="5" t="n">
        <v>1</v>
      </c>
      <c r="E107" s="6">
        <f>IF(C107="","",C107+D107-1)</f>
        <v/>
      </c>
      <c r="F107" s="5" t="inlineStr">
        <is>
          <t>①FPR-1000 series</t>
        </is>
      </c>
      <c r="G107" s="5" t="inlineStr">
        <is>
          <t>H2105553</t>
        </is>
      </c>
      <c r="H107" s="5" t="inlineStr">
        <is>
          <t>検証System</t>
        </is>
      </c>
      <c r="I107" s="5" t="inlineStr">
        <is>
          <t>ルータ</t>
        </is>
      </c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inlineStr">
        <is>
          <t>②</t>
        </is>
      </c>
      <c r="W107" s="5" t="inlineStr"/>
      <c r="X107" s="5" t="inlineStr"/>
      <c r="Y107" s="6">
        <f>COUNT(N107,Q107,T107)</f>
        <v/>
      </c>
      <c r="Z107" s="6">
        <f>IF(OR(K107="",NOT(ISNUMBER(K107))),"",K107*SUM(N107,Q107,T107))</f>
        <v/>
      </c>
      <c r="AA107" s="6">
        <f>IF(OR(Y107=0,N107=""),"",N107/Y107)</f>
        <v/>
      </c>
      <c r="AB107" s="6">
        <f>IF(OR(Y107=0,Q107=""),"",Q107/Y107)</f>
        <v/>
      </c>
      <c r="AC107" s="6">
        <f>IF(OR(Y107=0,T107=""),"",T107/Y107)</f>
        <v/>
      </c>
      <c r="AD107" s="6">
        <f>IF(F107="","",IF((IF(AND(Y107=0,NOT(SUMPRODUCT(--ISNUMBER(SEARCH({"棚板","棚","アングル","ｱﾝｸﾞﾙ","使用不可","ケーブル","ｹｰﾌﾞﾙ","PatchPnael","パッチ","引き出し","引出","ブランク","ﾌﾞﾗﾝｸ","マネージ","ﾏﾈｰｼﾞ","PDU","ONU"},$F107&amp;"")))&gt;0),NOT(SUMPRODUCT(--ISNUMBER(SEARCH({"電源オフ","未投入","停止","未使用","撤去"},$X107&amp;"")))&gt;0)),"／電力が未記入","")&amp;IF(AND(NOT(ISNUMBER(J107)),NOT(SUMPRODUCT(--ISNUMBER(SEARCH({"棚板","棚","アングル","ｱﾝｸﾞﾙ","使用不可","ケーブル","ｹｰﾌﾞﾙ","PatchPnael","パッチ","引き出し","引出","ブランク","ﾌﾞﾗﾝｸ","マネージ","ﾏﾈｰｼﾞ","PDU","ONU"},$F107&amp;"")))&gt;0)),"／重量が未記入","")&amp;IF(AND(K107&lt;&gt;"",NOT(ISNUMBER(K107))),"／電圧が数値でない","")&amp;IF(AND(N107&lt;&gt;"",NOT(ISNUMBER(N107))),"／電流が数値でない","")&amp;IF(AND(C107&lt;&gt;"",C107&lt;1),"／開始Uが1未満","")&amp;IF(AND(E107&lt;&gt;"",E107&gt;IFERROR(VLOOKUP(A107,ラック定義!$A:$B,2,FALSE),47)),"／総Uをはみ出す","")&amp;IF(AND(A107&lt;&gt;"",COUNTIF(ラック定義!$A:$A,A107)=0),"／ラックが定義にない","")&amp;IF(AND(SUMPRODUCT((機器台帳!$A$2:$A$400=$A107)*((機器台帳!$B$2:$B$400=$B107)+(機器台帳!$B$2:$B$400="両面")+($B107="両面")&gt;0)*(機器台帳!$C$2:$C$400&lt;=$C107+$D107-1)*(機器台帳!$C$2:$C$400+機器台帳!$D$2:$D$400-1&gt;=$C107)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107&amp;"")))&gt;0)),"／同じUに他の機器(横並びなら正常)","")&amp;IF(AND(M107&lt;&gt;"",COUNTIFS(回路定義!$A:$A,A107,回路定義!$B:$B,M107)=0),"／回路1が定義にない","")&amp;IF(AND(P107&lt;&gt;"",COUNTIFS(回路定義!$A:$A,A107,回路定義!$B:$B,P107)=0),"／回路2が定義にない","")&amp;IF(AND(S107&lt;&gt;"",COUNTIFS(回路定義!$A:$A,A107,回路定義!$B:$B,S107)=0),"／回路3が定義にない",""))="","",MID(IF(AND(Y107=0,NOT(SUMPRODUCT(--ISNUMBER(SEARCH({"棚板","棚","アングル","ｱﾝｸﾞﾙ","使用不可","ケーブル","ｹｰﾌﾞﾙ","PatchPnael","パッチ","引き出し","引出","ブランク","ﾌﾞﾗﾝｸ","マネージ","ﾏﾈｰｼﾞ","PDU","ONU"},$F107&amp;"")))&gt;0),NOT(SUMPRODUCT(--ISNUMBER(SEARCH({"電源オフ","未投入","停止","未使用","撤去"},$X107&amp;"")))&gt;0)),"／電力が未記入","")&amp;IF(AND(NOT(ISNUMBER(J107)),NOT(SUMPRODUCT(--ISNUMBER(SEARCH({"棚板","棚","アングル","ｱﾝｸﾞﾙ","使用不可","ケーブル","ｹｰﾌﾞﾙ","PatchPnael","パッチ","引き出し","引出","ブランク","ﾌﾞﾗﾝｸ","マネージ","ﾏﾈｰｼﾞ","PDU","ONU"},$F107&amp;"")))&gt;0)),"／重量が未記入","")&amp;IF(AND(K107&lt;&gt;"",NOT(ISNUMBER(K107))),"／電圧が数値でない","")&amp;IF(AND(N107&lt;&gt;"",NOT(ISNUMBER(N107))),"／電流が数値でない","")&amp;IF(AND(C107&lt;&gt;"",C107&lt;1),"／開始Uが1未満","")&amp;IF(AND(E107&lt;&gt;"",E107&gt;IFERROR(VLOOKUP(A107,ラック定義!$A:$B,2,FALSE),47)),"／総Uをはみ出す","")&amp;IF(AND(A107&lt;&gt;"",COUNTIF(ラック定義!$A:$A,A107)=0),"／ラックが定義にない","")&amp;IF(AND(SUMPRODUCT((機器台帳!$A$2:$A$400=$A107)*((機器台帳!$B$2:$B$400=$B107)+(機器台帳!$B$2:$B$400="両面")+($B107="両面")&gt;0)*(機器台帳!$C$2:$C$400&lt;=$C107+$D107-1)*(機器台帳!$C$2:$C$400+機器台帳!$D$2:$D$400-1&gt;=$C107)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107&amp;"")))&gt;0)),"／同じUに他の機器(横並びなら正常)","")&amp;IF(AND(M107&lt;&gt;"",COUNTIFS(回路定義!$A:$A,A107,回路定義!$B:$B,M107)=0),"／回路1が定義にない","")&amp;IF(AND(P107&lt;&gt;"",COUNTIFS(回路定義!$A:$A,A107,回路定義!$B:$B,P107)=0),"／回路2が定義にない","")&amp;IF(AND(S107&lt;&gt;"",COUNTIFS(回路定義!$A:$A,A107,回路定義!$B:$B,S107)=0),"／回路3が定義にない",""),2,300)))</f>
        <v/>
      </c>
    </row>
    <row r="108">
      <c r="A108" s="5" t="inlineStr">
        <is>
          <t>E24-S8-4</t>
        </is>
      </c>
      <c r="B108" s="5" t="inlineStr">
        <is>
          <t>両面</t>
        </is>
      </c>
      <c r="C108" s="5" t="n">
        <v>19</v>
      </c>
      <c r="D108" s="5" t="n">
        <v>1</v>
      </c>
      <c r="E108" s="6">
        <f>IF(C108="","",C108+D108-1)</f>
        <v/>
      </c>
      <c r="F108" s="5" t="inlineStr">
        <is>
          <t>Catalyst Edge C8300-1N1S-6T</t>
        </is>
      </c>
      <c r="G108" s="5" t="inlineStr">
        <is>
          <t>H2310062</t>
        </is>
      </c>
      <c r="H108" s="5" t="inlineStr"/>
      <c r="I108" s="5" t="inlineStr"/>
      <c r="J108" s="5" t="n">
        <v>9</v>
      </c>
      <c r="K108" s="5" t="n">
        <v>100</v>
      </c>
      <c r="L108" s="5" t="n">
        <v>1</v>
      </c>
      <c r="M108" s="5" t="inlineStr">
        <is>
          <t>100V 20A （2）</t>
        </is>
      </c>
      <c r="N108" s="5" t="n">
        <v>0.82</v>
      </c>
      <c r="O108" s="5" t="n">
        <v>1</v>
      </c>
      <c r="P108" s="5" t="n"/>
      <c r="Q108" s="5" t="n"/>
      <c r="R108" s="5" t="n"/>
      <c r="S108" s="5" t="n"/>
      <c r="T108" s="5" t="n"/>
      <c r="U108" s="5" t="n"/>
      <c r="V108" s="5" t="inlineStr">
        <is>
          <t>○</t>
        </is>
      </c>
      <c r="W108" s="5" t="inlineStr"/>
      <c r="X108" s="5" t="inlineStr"/>
      <c r="Y108" s="6">
        <f>COUNT(N108,Q108,T108)</f>
        <v/>
      </c>
      <c r="Z108" s="6">
        <f>IF(OR(K108="",NOT(ISNUMBER(K108))),"",K108*SUM(N108,Q108,T108))</f>
        <v/>
      </c>
      <c r="AA108" s="6">
        <f>IF(OR(Y108=0,N108=""),"",N108/Y108)</f>
        <v/>
      </c>
      <c r="AB108" s="6">
        <f>IF(OR(Y108=0,Q108=""),"",Q108/Y108)</f>
        <v/>
      </c>
      <c r="AC108" s="6">
        <f>IF(OR(Y108=0,T108=""),"",T108/Y108)</f>
        <v/>
      </c>
      <c r="AD108" s="6">
        <f>IF(F108="","",IF((IF(AND(Y108=0,NOT(SUMPRODUCT(--ISNUMBER(SEARCH({"棚板","棚","アングル","ｱﾝｸﾞﾙ","使用不可","ケーブル","ｹｰﾌﾞﾙ","PatchPnael","パッチ","引き出し","引出","ブランク","ﾌﾞﾗﾝｸ","マネージ","ﾏﾈｰｼﾞ","PDU","ONU"},$F108&amp;"")))&gt;0),NOT(SUMPRODUCT(--ISNUMBER(SEARCH({"電源オフ","未投入","停止","未使用","撤去"},$X108&amp;"")))&gt;0)),"／電力が未記入","")&amp;IF(AND(NOT(ISNUMBER(J108)),NOT(SUMPRODUCT(--ISNUMBER(SEARCH({"棚板","棚","アングル","ｱﾝｸﾞﾙ","使用不可","ケーブル","ｹｰﾌﾞﾙ","PatchPnael","パッチ","引き出し","引出","ブランク","ﾌﾞﾗﾝｸ","マネージ","ﾏﾈｰｼﾞ","PDU","ONU"},$F108&amp;"")))&gt;0)),"／重量が未記入","")&amp;IF(AND(K108&lt;&gt;"",NOT(ISNUMBER(K108))),"／電圧が数値でない","")&amp;IF(AND(N108&lt;&gt;"",NOT(ISNUMBER(N108))),"／電流が数値でない","")&amp;IF(AND(C108&lt;&gt;"",C108&lt;1),"／開始Uが1未満","")&amp;IF(AND(E108&lt;&gt;"",E108&gt;IFERROR(VLOOKUP(A108,ラック定義!$A:$B,2,FALSE),47)),"／総Uをはみ出す","")&amp;IF(AND(A108&lt;&gt;"",COUNTIF(ラック定義!$A:$A,A108)=0),"／ラックが定義にない","")&amp;IF(AND(SUMPRODUCT((機器台帳!$A$2:$A$400=$A108)*((機器台帳!$B$2:$B$400=$B108)+(機器台帳!$B$2:$B$400="両面")+($B108="両面")&gt;0)*(機器台帳!$C$2:$C$400&lt;=$C108+$D108-1)*(機器台帳!$C$2:$C$400+機器台帳!$D$2:$D$400-1&gt;=$C108)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108&amp;"")))&gt;0)),"／同じUに他の機器(横並びなら正常)","")&amp;IF(AND(M108&lt;&gt;"",COUNTIFS(回路定義!$A:$A,A108,回路定義!$B:$B,M108)=0),"／回路1が定義にない","")&amp;IF(AND(P108&lt;&gt;"",COUNTIFS(回路定義!$A:$A,A108,回路定義!$B:$B,P108)=0),"／回路2が定義にない","")&amp;IF(AND(S108&lt;&gt;"",COUNTIFS(回路定義!$A:$A,A108,回路定義!$B:$B,S108)=0),"／回路3が定義にない",""))="","",MID(IF(AND(Y108=0,NOT(SUMPRODUCT(--ISNUMBER(SEARCH({"棚板","棚","アングル","ｱﾝｸﾞﾙ","使用不可","ケーブル","ｹｰﾌﾞﾙ","PatchPnael","パッチ","引き出し","引出","ブランク","ﾌﾞﾗﾝｸ","マネージ","ﾏﾈｰｼﾞ","PDU","ONU"},$F108&amp;"")))&gt;0),NOT(SUMPRODUCT(--ISNUMBER(SEARCH({"電源オフ","未投入","停止","未使用","撤去"},$X108&amp;"")))&gt;0)),"／電力が未記入","")&amp;IF(AND(NOT(ISNUMBER(J108)),NOT(SUMPRODUCT(--ISNUMBER(SEARCH({"棚板","棚","アングル","ｱﾝｸﾞﾙ","使用不可","ケーブル","ｹｰﾌﾞﾙ","PatchPnael","パッチ","引き出し","引出","ブランク","ﾌﾞﾗﾝｸ","マネージ","ﾏﾈｰｼﾞ","PDU","ONU"},$F108&amp;"")))&gt;0)),"／重量が未記入","")&amp;IF(AND(K108&lt;&gt;"",NOT(ISNUMBER(K108))),"／電圧が数値でない","")&amp;IF(AND(N108&lt;&gt;"",NOT(ISNUMBER(N108))),"／電流が数値でない","")&amp;IF(AND(C108&lt;&gt;"",C108&lt;1),"／開始Uが1未満","")&amp;IF(AND(E108&lt;&gt;"",E108&gt;IFERROR(VLOOKUP(A108,ラック定義!$A:$B,2,FALSE),47)),"／総Uをはみ出す","")&amp;IF(AND(A108&lt;&gt;"",COUNTIF(ラック定義!$A:$A,A108)=0),"／ラックが定義にない","")&amp;IF(AND(SUMPRODUCT((機器台帳!$A$2:$A$400=$A108)*((機器台帳!$B$2:$B$400=$B108)+(機器台帳!$B$2:$B$400="両面")+($B108="両面")&gt;0)*(機器台帳!$C$2:$C$400&lt;=$C108+$D108-1)*(機器台帳!$C$2:$C$400+機器台帳!$D$2:$D$400-1&gt;=$C108)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108&amp;"")))&gt;0)),"／同じUに他の機器(横並びなら正常)","")&amp;IF(AND(M108&lt;&gt;"",COUNTIFS(回路定義!$A:$A,A108,回路定義!$B:$B,M108)=0),"／回路1が定義にない","")&amp;IF(AND(P108&lt;&gt;"",COUNTIFS(回路定義!$A:$A,A108,回路定義!$B:$B,P108)=0),"／回路2が定義にない","")&amp;IF(AND(S108&lt;&gt;"",COUNTIFS(回路定義!$A:$A,A108,回路定義!$B:$B,S108)=0),"／回路3が定義にない",""),2,300)))</f>
        <v/>
      </c>
    </row>
    <row r="109">
      <c r="A109" s="5" t="inlineStr">
        <is>
          <t>E24-S8-4</t>
        </is>
      </c>
      <c r="B109" s="5" t="inlineStr">
        <is>
          <t>両面</t>
        </is>
      </c>
      <c r="C109" s="5" t="n">
        <v>18</v>
      </c>
      <c r="D109" s="5" t="n">
        <v>1</v>
      </c>
      <c r="E109" s="6">
        <f>IF(C109="","",C109+D109-1)</f>
        <v/>
      </c>
      <c r="F109" s="5" t="inlineStr">
        <is>
          <t>棚板</t>
        </is>
      </c>
      <c r="G109" s="5" t="inlineStr"/>
      <c r="H109" s="5" t="inlineStr"/>
      <c r="I109" s="5" t="inlineStr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inlineStr"/>
      <c r="W109" s="5" t="inlineStr"/>
      <c r="X109" s="5" t="inlineStr"/>
      <c r="Y109" s="6">
        <f>COUNT(N109,Q109,T109)</f>
        <v/>
      </c>
      <c r="Z109" s="6">
        <f>IF(OR(K109="",NOT(ISNUMBER(K109))),"",K109*SUM(N109,Q109,T109))</f>
        <v/>
      </c>
      <c r="AA109" s="6">
        <f>IF(OR(Y109=0,N109=""),"",N109/Y109)</f>
        <v/>
      </c>
      <c r="AB109" s="6">
        <f>IF(OR(Y109=0,Q109=""),"",Q109/Y109)</f>
        <v/>
      </c>
      <c r="AC109" s="6">
        <f>IF(OR(Y109=0,T109=""),"",T109/Y109)</f>
        <v/>
      </c>
      <c r="AD109" s="6">
        <f>IF(F109="","",IF((IF(AND(Y109=0,NOT(SUMPRODUCT(--ISNUMBER(SEARCH({"棚板","棚","アングル","ｱﾝｸﾞﾙ","使用不可","ケーブル","ｹｰﾌﾞﾙ","PatchPnael","パッチ","引き出し","引出","ブランク","ﾌﾞﾗﾝｸ","マネージ","ﾏﾈｰｼﾞ","PDU","ONU"},$F109&amp;"")))&gt;0),NOT(SUMPRODUCT(--ISNUMBER(SEARCH({"電源オフ","未投入","停止","未使用","撤去"},$X109&amp;"")))&gt;0)),"／電力が未記入","")&amp;IF(AND(NOT(ISNUMBER(J109)),NOT(SUMPRODUCT(--ISNUMBER(SEARCH({"棚板","棚","アングル","ｱﾝｸﾞﾙ","使用不可","ケーブル","ｹｰﾌﾞﾙ","PatchPnael","パッチ","引き出し","引出","ブランク","ﾌﾞﾗﾝｸ","マネージ","ﾏﾈｰｼﾞ","PDU","ONU"},$F109&amp;"")))&gt;0)),"／重量が未記入","")&amp;IF(AND(K109&lt;&gt;"",NOT(ISNUMBER(K109))),"／電圧が数値でない","")&amp;IF(AND(N109&lt;&gt;"",NOT(ISNUMBER(N109))),"／電流が数値でない","")&amp;IF(AND(C109&lt;&gt;"",C109&lt;1),"／開始Uが1未満","")&amp;IF(AND(E109&lt;&gt;"",E109&gt;IFERROR(VLOOKUP(A109,ラック定義!$A:$B,2,FALSE),47)),"／総Uをはみ出す","")&amp;IF(AND(A109&lt;&gt;"",COUNTIF(ラック定義!$A:$A,A109)=0),"／ラックが定義にない","")&amp;IF(AND(SUMPRODUCT((機器台帳!$A$2:$A$400=$A109)*((機器台帳!$B$2:$B$400=$B109)+(機器台帳!$B$2:$B$400="両面")+($B109="両面")&gt;0)*(機器台帳!$C$2:$C$400&lt;=$C109+$D109-1)*(機器台帳!$C$2:$C$400+機器台帳!$D$2:$D$400-1&gt;=$C109)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109&amp;"")))&gt;0)),"／同じUに他の機器(横並びなら正常)","")&amp;IF(AND(M109&lt;&gt;"",COUNTIFS(回路定義!$A:$A,A109,回路定義!$B:$B,M109)=0),"／回路1が定義にない","")&amp;IF(AND(P109&lt;&gt;"",COUNTIFS(回路定義!$A:$A,A109,回路定義!$B:$B,P109)=0),"／回路2が定義にない","")&amp;IF(AND(S109&lt;&gt;"",COUNTIFS(回路定義!$A:$A,A109,回路定義!$B:$B,S109)=0),"／回路3が定義にない",""))="","",MID(IF(AND(Y109=0,NOT(SUMPRODUCT(--ISNUMBER(SEARCH({"棚板","棚","アングル","ｱﾝｸﾞﾙ","使用不可","ケーブル","ｹｰﾌﾞﾙ","PatchPnael","パッチ","引き出し","引出","ブランク","ﾌﾞﾗﾝｸ","マネージ","ﾏﾈｰｼﾞ","PDU","ONU"},$F109&amp;"")))&gt;0),NOT(SUMPRODUCT(--ISNUMBER(SEARCH({"電源オフ","未投入","停止","未使用","撤去"},$X109&amp;"")))&gt;0)),"／電力が未記入","")&amp;IF(AND(NOT(ISNUMBER(J109)),NOT(SUMPRODUCT(--ISNUMBER(SEARCH({"棚板","棚","アングル","ｱﾝｸﾞﾙ","使用不可","ケーブル","ｹｰﾌﾞﾙ","PatchPnael","パッチ","引き出し","引出","ブランク","ﾌﾞﾗﾝｸ","マネージ","ﾏﾈｰｼﾞ","PDU","ONU"},$F109&amp;"")))&gt;0)),"／重量が未記入","")&amp;IF(AND(K109&lt;&gt;"",NOT(ISNUMBER(K109))),"／電圧が数値でない","")&amp;IF(AND(N109&lt;&gt;"",NOT(ISNUMBER(N109))),"／電流が数値でない","")&amp;IF(AND(C109&lt;&gt;"",C109&lt;1),"／開始Uが1未満","")&amp;IF(AND(E109&lt;&gt;"",E109&gt;IFERROR(VLOOKUP(A109,ラック定義!$A:$B,2,FALSE),47)),"／総Uをはみ出す","")&amp;IF(AND(A109&lt;&gt;"",COUNTIF(ラック定義!$A:$A,A109)=0),"／ラックが定義にない","")&amp;IF(AND(SUMPRODUCT((機器台帳!$A$2:$A$400=$A109)*((機器台帳!$B$2:$B$400=$B109)+(機器台帳!$B$2:$B$400="両面")+($B109="両面")&gt;0)*(機器台帳!$C$2:$C$400&lt;=$C109+$D109-1)*(機器台帳!$C$2:$C$400+機器台帳!$D$2:$D$400-1&gt;=$C109)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109&amp;"")))&gt;0)),"／同じUに他の機器(横並びなら正常)","")&amp;IF(AND(M109&lt;&gt;"",COUNTIFS(回路定義!$A:$A,A109,回路定義!$B:$B,M109)=0),"／回路1が定義にない","")&amp;IF(AND(P109&lt;&gt;"",COUNTIFS(回路定義!$A:$A,A109,回路定義!$B:$B,P109)=0),"／回路2が定義にない","")&amp;IF(AND(S109&lt;&gt;"",COUNTIFS(回路定義!$A:$A,A109,回路定義!$B:$B,S109)=0),"／回路3が定義にない",""),2,300)))</f>
        <v/>
      </c>
    </row>
    <row r="110">
      <c r="A110" s="5" t="inlineStr">
        <is>
          <t>E24-S8-4</t>
        </is>
      </c>
      <c r="B110" s="5" t="inlineStr">
        <is>
          <t>両面</t>
        </is>
      </c>
      <c r="C110" s="5" t="n">
        <v>17</v>
      </c>
      <c r="D110" s="5" t="n">
        <v>1</v>
      </c>
      <c r="E110" s="6">
        <f>IF(C110="","",C110+D110-1)</f>
        <v/>
      </c>
      <c r="F110" s="5" t="inlineStr">
        <is>
          <t>UCS C200 M2</t>
        </is>
      </c>
      <c r="G110" s="5" t="inlineStr">
        <is>
          <t>H1208315</t>
        </is>
      </c>
      <c r="H110" s="5" t="inlineStr">
        <is>
          <t>検証System</t>
        </is>
      </c>
      <c r="I110" s="5" t="inlineStr">
        <is>
          <t>サーバ</t>
        </is>
      </c>
      <c r="J110" s="5" t="n">
        <v>17.2</v>
      </c>
      <c r="K110" s="5" t="n">
        <v>100</v>
      </c>
      <c r="L110" s="5" t="n">
        <v>1</v>
      </c>
      <c r="M110" s="5" t="inlineStr">
        <is>
          <t>100V 20A （2）</t>
        </is>
      </c>
      <c r="N110" s="5" t="n">
        <v>4</v>
      </c>
      <c r="O110" s="5" t="n">
        <v>1</v>
      </c>
      <c r="P110" s="5" t="n"/>
      <c r="Q110" s="5" t="n"/>
      <c r="R110" s="5" t="n"/>
      <c r="S110" s="5" t="n"/>
      <c r="T110" s="5" t="n"/>
      <c r="U110" s="5" t="n"/>
      <c r="V110" s="5" t="inlineStr">
        <is>
          <t>棚</t>
        </is>
      </c>
      <c r="W110" s="5" t="n">
        <v>1</v>
      </c>
      <c r="X110" s="5" t="inlineStr"/>
      <c r="Y110" s="6">
        <f>COUNT(N110,Q110,T110)</f>
        <v/>
      </c>
      <c r="Z110" s="6">
        <f>IF(OR(K110="",NOT(ISNUMBER(K110))),"",K110*SUM(N110,Q110,T110))</f>
        <v/>
      </c>
      <c r="AA110" s="6">
        <f>IF(OR(Y110=0,N110=""),"",N110/Y110)</f>
        <v/>
      </c>
      <c r="AB110" s="6">
        <f>IF(OR(Y110=0,Q110=""),"",Q110/Y110)</f>
        <v/>
      </c>
      <c r="AC110" s="6">
        <f>IF(OR(Y110=0,T110=""),"",T110/Y110)</f>
        <v/>
      </c>
      <c r="AD110" s="6">
        <f>IF(F110="","",IF((IF(AND(Y110=0,NOT(SUMPRODUCT(--ISNUMBER(SEARCH({"棚板","棚","アングル","ｱﾝｸﾞﾙ","使用不可","ケーブル","ｹｰﾌﾞﾙ","PatchPnael","パッチ","引き出し","引出","ブランク","ﾌﾞﾗﾝｸ","マネージ","ﾏﾈｰｼﾞ","PDU","ONU"},$F110&amp;"")))&gt;0),NOT(SUMPRODUCT(--ISNUMBER(SEARCH({"電源オフ","未投入","停止","未使用","撤去"},$X110&amp;"")))&gt;0)),"／電力が未記入","")&amp;IF(AND(NOT(ISNUMBER(J110)),NOT(SUMPRODUCT(--ISNUMBER(SEARCH({"棚板","棚","アングル","ｱﾝｸﾞﾙ","使用不可","ケーブル","ｹｰﾌﾞﾙ","PatchPnael","パッチ","引き出し","引出","ブランク","ﾌﾞﾗﾝｸ","マネージ","ﾏﾈｰｼﾞ","PDU","ONU"},$F110&amp;"")))&gt;0)),"／重量が未記入","")&amp;IF(AND(K110&lt;&gt;"",NOT(ISNUMBER(K110))),"／電圧が数値でない","")&amp;IF(AND(N110&lt;&gt;"",NOT(ISNUMBER(N110))),"／電流が数値でない","")&amp;IF(AND(C110&lt;&gt;"",C110&lt;1),"／開始Uが1未満","")&amp;IF(AND(E110&lt;&gt;"",E110&gt;IFERROR(VLOOKUP(A110,ラック定義!$A:$B,2,FALSE),47)),"／総Uをはみ出す","")&amp;IF(AND(A110&lt;&gt;"",COUNTIF(ラック定義!$A:$A,A110)=0),"／ラックが定義にない","")&amp;IF(AND(SUMPRODUCT((機器台帳!$A$2:$A$400=$A110)*((機器台帳!$B$2:$B$400=$B110)+(機器台帳!$B$2:$B$400="両面")+($B110="両面")&gt;0)*(機器台帳!$C$2:$C$400&lt;=$C110+$D110-1)*(機器台帳!$C$2:$C$400+機器台帳!$D$2:$D$400-1&gt;=$C110)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110&amp;"")))&gt;0)),"／同じUに他の機器(横並びなら正常)","")&amp;IF(AND(M110&lt;&gt;"",COUNTIFS(回路定義!$A:$A,A110,回路定義!$B:$B,M110)=0),"／回路1が定義にない","")&amp;IF(AND(P110&lt;&gt;"",COUNTIFS(回路定義!$A:$A,A110,回路定義!$B:$B,P110)=0),"／回路2が定義にない","")&amp;IF(AND(S110&lt;&gt;"",COUNTIFS(回路定義!$A:$A,A110,回路定義!$B:$B,S110)=0),"／回路3が定義にない",""))="","",MID(IF(AND(Y110=0,NOT(SUMPRODUCT(--ISNUMBER(SEARCH({"棚板","棚","アングル","ｱﾝｸﾞﾙ","使用不可","ケーブル","ｹｰﾌﾞﾙ","PatchPnael","パッチ","引き出し","引出","ブランク","ﾌﾞﾗﾝｸ","マネージ","ﾏﾈｰｼﾞ","PDU","ONU"},$F110&amp;"")))&gt;0),NOT(SUMPRODUCT(--ISNUMBER(SEARCH({"電源オフ","未投入","停止","未使用","撤去"},$X110&amp;"")))&gt;0)),"／電力が未記入","")&amp;IF(AND(NOT(ISNUMBER(J110)),NOT(SUMPRODUCT(--ISNUMBER(SEARCH({"棚板","棚","アングル","ｱﾝｸﾞﾙ","使用不可","ケーブル","ｹｰﾌﾞﾙ","PatchPnael","パッチ","引き出し","引出","ブランク","ﾌﾞﾗﾝｸ","マネージ","ﾏﾈｰｼﾞ","PDU","ONU"},$F110&amp;"")))&gt;0)),"／重量が未記入","")&amp;IF(AND(K110&lt;&gt;"",NOT(ISNUMBER(K110))),"／電圧が数値でない","")&amp;IF(AND(N110&lt;&gt;"",NOT(ISNUMBER(N110))),"／電流が数値でない","")&amp;IF(AND(C110&lt;&gt;"",C110&lt;1),"／開始Uが1未満","")&amp;IF(AND(E110&lt;&gt;"",E110&gt;IFERROR(VLOOKUP(A110,ラック定義!$A:$B,2,FALSE),47)),"／総Uをはみ出す","")&amp;IF(AND(A110&lt;&gt;"",COUNTIF(ラック定義!$A:$A,A110)=0),"／ラックが定義にない","")&amp;IF(AND(SUMPRODUCT((機器台帳!$A$2:$A$400=$A110)*((機器台帳!$B$2:$B$400=$B110)+(機器台帳!$B$2:$B$400="両面")+($B110="両面")&gt;0)*(機器台帳!$C$2:$C$400&lt;=$C110+$D110-1)*(機器台帳!$C$2:$C$400+機器台帳!$D$2:$D$400-1&gt;=$C110)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110&amp;"")))&gt;0)),"／同じUに他の機器(横並びなら正常)","")&amp;IF(AND(M110&lt;&gt;"",COUNTIFS(回路定義!$A:$A,A110,回路定義!$B:$B,M110)=0),"／回路1が定義にない","")&amp;IF(AND(P110&lt;&gt;"",COUNTIFS(回路定義!$A:$A,A110,回路定義!$B:$B,P110)=0),"／回路2が定義にない","")&amp;IF(AND(S110&lt;&gt;"",COUNTIFS(回路定義!$A:$A,A110,回路定義!$B:$B,S110)=0),"／回路3が定義にない",""),2,300)))</f>
        <v/>
      </c>
    </row>
    <row r="111">
      <c r="A111" s="5" t="inlineStr">
        <is>
          <t>E24-S8-4</t>
        </is>
      </c>
      <c r="B111" s="5" t="inlineStr">
        <is>
          <t>両面</t>
        </is>
      </c>
      <c r="C111" s="5" t="n">
        <v>16</v>
      </c>
      <c r="D111" s="5" t="n">
        <v>1</v>
      </c>
      <c r="E111" s="6">
        <f>IF(C111="","",C111+D111-1)</f>
        <v/>
      </c>
      <c r="F111" s="5" t="inlineStr">
        <is>
          <t>棚板</t>
        </is>
      </c>
      <c r="G111" s="5" t="inlineStr"/>
      <c r="H111" s="5" t="inlineStr"/>
      <c r="I111" s="5" t="inlineStr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inlineStr"/>
      <c r="W111" s="5" t="inlineStr"/>
      <c r="X111" s="5" t="inlineStr"/>
      <c r="Y111" s="6">
        <f>COUNT(N111,Q111,T111)</f>
        <v/>
      </c>
      <c r="Z111" s="6">
        <f>IF(OR(K111="",NOT(ISNUMBER(K111))),"",K111*SUM(N111,Q111,T111))</f>
        <v/>
      </c>
      <c r="AA111" s="6">
        <f>IF(OR(Y111=0,N111=""),"",N111/Y111)</f>
        <v/>
      </c>
      <c r="AB111" s="6">
        <f>IF(OR(Y111=0,Q111=""),"",Q111/Y111)</f>
        <v/>
      </c>
      <c r="AC111" s="6">
        <f>IF(OR(Y111=0,T111=""),"",T111/Y111)</f>
        <v/>
      </c>
      <c r="AD111" s="6">
        <f>IF(F111="","",IF((IF(AND(Y111=0,NOT(SUMPRODUCT(--ISNUMBER(SEARCH({"棚板","棚","アングル","ｱﾝｸﾞﾙ","使用不可","ケーブル","ｹｰﾌﾞﾙ","PatchPnael","パッチ","引き出し","引出","ブランク","ﾌﾞﾗﾝｸ","マネージ","ﾏﾈｰｼﾞ","PDU","ONU"},$F111&amp;"")))&gt;0),NOT(SUMPRODUCT(--ISNUMBER(SEARCH({"電源オフ","未投入","停止","未使用","撤去"},$X111&amp;"")))&gt;0)),"／電力が未記入","")&amp;IF(AND(NOT(ISNUMBER(J111)),NOT(SUMPRODUCT(--ISNUMBER(SEARCH({"棚板","棚","アングル","ｱﾝｸﾞﾙ","使用不可","ケーブル","ｹｰﾌﾞﾙ","PatchPnael","パッチ","引き出し","引出","ブランク","ﾌﾞﾗﾝｸ","マネージ","ﾏﾈｰｼﾞ","PDU","ONU"},$F111&amp;"")))&gt;0)),"／重量が未記入","")&amp;IF(AND(K111&lt;&gt;"",NOT(ISNUMBER(K111))),"／電圧が数値でない","")&amp;IF(AND(N111&lt;&gt;"",NOT(ISNUMBER(N111))),"／電流が数値でない","")&amp;IF(AND(C111&lt;&gt;"",C111&lt;1),"／開始Uが1未満","")&amp;IF(AND(E111&lt;&gt;"",E111&gt;IFERROR(VLOOKUP(A111,ラック定義!$A:$B,2,FALSE),47)),"／総Uをはみ出す","")&amp;IF(AND(A111&lt;&gt;"",COUNTIF(ラック定義!$A:$A,A111)=0),"／ラックが定義にない","")&amp;IF(AND(SUMPRODUCT((機器台帳!$A$2:$A$400=$A111)*((機器台帳!$B$2:$B$400=$B111)+(機器台帳!$B$2:$B$400="両面")+($B111="両面")&gt;0)*(機器台帳!$C$2:$C$400&lt;=$C111+$D111-1)*(機器台帳!$C$2:$C$400+機器台帳!$D$2:$D$400-1&gt;=$C111)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111&amp;"")))&gt;0)),"／同じUに他の機器(横並びなら正常)","")&amp;IF(AND(M111&lt;&gt;"",COUNTIFS(回路定義!$A:$A,A111,回路定義!$B:$B,M111)=0),"／回路1が定義にない","")&amp;IF(AND(P111&lt;&gt;"",COUNTIFS(回路定義!$A:$A,A111,回路定義!$B:$B,P111)=0),"／回路2が定義にない","")&amp;IF(AND(S111&lt;&gt;"",COUNTIFS(回路定義!$A:$A,A111,回路定義!$B:$B,S111)=0),"／回路3が定義にない",""))="","",MID(IF(AND(Y111=0,NOT(SUMPRODUCT(--ISNUMBER(SEARCH({"棚板","棚","アングル","ｱﾝｸﾞﾙ","使用不可","ケーブル","ｹｰﾌﾞﾙ","PatchPnael","パッチ","引き出し","引出","ブランク","ﾌﾞﾗﾝｸ","マネージ","ﾏﾈｰｼﾞ","PDU","ONU"},$F111&amp;"")))&gt;0),NOT(SUMPRODUCT(--ISNUMBER(SEARCH({"電源オフ","未投入","停止","未使用","撤去"},$X111&amp;"")))&gt;0)),"／電力が未記入","")&amp;IF(AND(NOT(ISNUMBER(J111)),NOT(SUMPRODUCT(--ISNUMBER(SEARCH({"棚板","棚","アングル","ｱﾝｸﾞﾙ","使用不可","ケーブル","ｹｰﾌﾞﾙ","PatchPnael","パッチ","引き出し","引出","ブランク","ﾌﾞﾗﾝｸ","マネージ","ﾏﾈｰｼﾞ","PDU","ONU"},$F111&amp;"")))&gt;0)),"／重量が未記入","")&amp;IF(AND(K111&lt;&gt;"",NOT(ISNUMBER(K111))),"／電圧が数値でない","")&amp;IF(AND(N111&lt;&gt;"",NOT(ISNUMBER(N111))),"／電流が数値でない","")&amp;IF(AND(C111&lt;&gt;"",C111&lt;1),"／開始Uが1未満","")&amp;IF(AND(E111&lt;&gt;"",E111&gt;IFERROR(VLOOKUP(A111,ラック定義!$A:$B,2,FALSE),47)),"／総Uをはみ出す","")&amp;IF(AND(A111&lt;&gt;"",COUNTIF(ラック定義!$A:$A,A111)=0),"／ラックが定義にない","")&amp;IF(AND(SUMPRODUCT((機器台帳!$A$2:$A$400=$A111)*((機器台帳!$B$2:$B$400=$B111)+(機器台帳!$B$2:$B$400="両面")+($B111="両面")&gt;0)*(機器台帳!$C$2:$C$400&lt;=$C111+$D111-1)*(機器台帳!$C$2:$C$400+機器台帳!$D$2:$D$400-1&gt;=$C111)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111&amp;"")))&gt;0)),"／同じUに他の機器(横並びなら正常)","")&amp;IF(AND(M111&lt;&gt;"",COUNTIFS(回路定義!$A:$A,A111,回路定義!$B:$B,M111)=0),"／回路1が定義にない","")&amp;IF(AND(P111&lt;&gt;"",COUNTIFS(回路定義!$A:$A,A111,回路定義!$B:$B,P111)=0),"／回路2が定義にない","")&amp;IF(AND(S111&lt;&gt;"",COUNTIFS(回路定義!$A:$A,A111,回路定義!$B:$B,S111)=0),"／回路3が定義にない",""),2,300)))</f>
        <v/>
      </c>
    </row>
    <row r="112">
      <c r="A112" s="5" t="inlineStr">
        <is>
          <t>E24-S8-4</t>
        </is>
      </c>
      <c r="B112" s="5" t="inlineStr">
        <is>
          <t>両面</t>
        </is>
      </c>
      <c r="C112" s="5" t="n">
        <v>16</v>
      </c>
      <c r="D112" s="5" t="n">
        <v>1</v>
      </c>
      <c r="E112" s="6">
        <f>IF(C112="","",C112+D112-1)</f>
        <v/>
      </c>
      <c r="F112" s="5" t="inlineStr">
        <is>
          <t>UCS C220 M3</t>
        </is>
      </c>
      <c r="G112" s="5" t="inlineStr">
        <is>
          <t>H1505786</t>
        </is>
      </c>
      <c r="H112" s="5" t="inlineStr"/>
      <c r="I112" s="5" t="inlineStr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inlineStr"/>
      <c r="W112" s="5" t="inlineStr"/>
      <c r="X112" s="5" t="inlineStr"/>
      <c r="Y112" s="6">
        <f>COUNT(N112,Q112,T112)</f>
        <v/>
      </c>
      <c r="Z112" s="6">
        <f>IF(OR(K112="",NOT(ISNUMBER(K112))),"",K112*SUM(N112,Q112,T112))</f>
        <v/>
      </c>
      <c r="AA112" s="6">
        <f>IF(OR(Y112=0,N112=""),"",N112/Y112)</f>
        <v/>
      </c>
      <c r="AB112" s="6">
        <f>IF(OR(Y112=0,Q112=""),"",Q112/Y112)</f>
        <v/>
      </c>
      <c r="AC112" s="6">
        <f>IF(OR(Y112=0,T112=""),"",T112/Y112)</f>
        <v/>
      </c>
      <c r="AD112" s="6">
        <f>IF(F112="","",IF((IF(AND(Y112=0,NOT(SUMPRODUCT(--ISNUMBER(SEARCH({"棚板","棚","アングル","ｱﾝｸﾞﾙ","使用不可","ケーブル","ｹｰﾌﾞﾙ","PatchPnael","パッチ","引き出し","引出","ブランク","ﾌﾞﾗﾝｸ","マネージ","ﾏﾈｰｼﾞ","PDU","ONU"},$F112&amp;"")))&gt;0),NOT(SUMPRODUCT(--ISNUMBER(SEARCH({"電源オフ","未投入","停止","未使用","撤去"},$X112&amp;"")))&gt;0)),"／電力が未記入","")&amp;IF(AND(NOT(ISNUMBER(J112)),NOT(SUMPRODUCT(--ISNUMBER(SEARCH({"棚板","棚","アングル","ｱﾝｸﾞﾙ","使用不可","ケーブル","ｹｰﾌﾞﾙ","PatchPnael","パッチ","引き出し","引出","ブランク","ﾌﾞﾗﾝｸ","マネージ","ﾏﾈｰｼﾞ","PDU","ONU"},$F112&amp;"")))&gt;0)),"／重量が未記入","")&amp;IF(AND(K112&lt;&gt;"",NOT(ISNUMBER(K112))),"／電圧が数値でない","")&amp;IF(AND(N112&lt;&gt;"",NOT(ISNUMBER(N112))),"／電流が数値でない","")&amp;IF(AND(C112&lt;&gt;"",C112&lt;1),"／開始Uが1未満","")&amp;IF(AND(E112&lt;&gt;"",E112&gt;IFERROR(VLOOKUP(A112,ラック定義!$A:$B,2,FALSE),47)),"／総Uをはみ出す","")&amp;IF(AND(A112&lt;&gt;"",COUNTIF(ラック定義!$A:$A,A112)=0),"／ラックが定義にない","")&amp;IF(AND(SUMPRODUCT((機器台帳!$A$2:$A$400=$A112)*((機器台帳!$B$2:$B$400=$B112)+(機器台帳!$B$2:$B$400="両面")+($B112="両面")&gt;0)*(機器台帳!$C$2:$C$400&lt;=$C112+$D112-1)*(機器台帳!$C$2:$C$400+機器台帳!$D$2:$D$400-1&gt;=$C112)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112&amp;"")))&gt;0)),"／同じUに他の機器(横並びなら正常)","")&amp;IF(AND(M112&lt;&gt;"",COUNTIFS(回路定義!$A:$A,A112,回路定義!$B:$B,M112)=0),"／回路1が定義にない","")&amp;IF(AND(P112&lt;&gt;"",COUNTIFS(回路定義!$A:$A,A112,回路定義!$B:$B,P112)=0),"／回路2が定義にない","")&amp;IF(AND(S112&lt;&gt;"",COUNTIFS(回路定義!$A:$A,A112,回路定義!$B:$B,S112)=0),"／回路3が定義にない",""))="","",MID(IF(AND(Y112=0,NOT(SUMPRODUCT(--ISNUMBER(SEARCH({"棚板","棚","アングル","ｱﾝｸﾞﾙ","使用不可","ケーブル","ｹｰﾌﾞﾙ","PatchPnael","パッチ","引き出し","引出","ブランク","ﾌﾞﾗﾝｸ","マネージ","ﾏﾈｰｼﾞ","PDU","ONU"},$F112&amp;"")))&gt;0),NOT(SUMPRODUCT(--ISNUMBER(SEARCH({"電源オフ","未投入","停止","未使用","撤去"},$X112&amp;"")))&gt;0)),"／電力が未記入","")&amp;IF(AND(NOT(ISNUMBER(J112)),NOT(SUMPRODUCT(--ISNUMBER(SEARCH({"棚板","棚","アングル","ｱﾝｸﾞﾙ","使用不可","ケーブル","ｹｰﾌﾞﾙ","PatchPnael","パッチ","引き出し","引出","ブランク","ﾌﾞﾗﾝｸ","マネージ","ﾏﾈｰｼﾞ","PDU","ONU"},$F112&amp;"")))&gt;0)),"／重量が未記入","")&amp;IF(AND(K112&lt;&gt;"",NOT(ISNUMBER(K112))),"／電圧が数値でない","")&amp;IF(AND(N112&lt;&gt;"",NOT(ISNUMBER(N112))),"／電流が数値でない","")&amp;IF(AND(C112&lt;&gt;"",C112&lt;1),"／開始Uが1未満","")&amp;IF(AND(E112&lt;&gt;"",E112&gt;IFERROR(VLOOKUP(A112,ラック定義!$A:$B,2,FALSE),47)),"／総Uをはみ出す","")&amp;IF(AND(A112&lt;&gt;"",COUNTIF(ラック定義!$A:$A,A112)=0),"／ラックが定義にない","")&amp;IF(AND(SUMPRODUCT((機器台帳!$A$2:$A$400=$A112)*((機器台帳!$B$2:$B$400=$B112)+(機器台帳!$B$2:$B$400="両面")+($B112="両面")&gt;0)*(機器台帳!$C$2:$C$400&lt;=$C112+$D112-1)*(機器台帳!$C$2:$C$400+機器台帳!$D$2:$D$400-1&gt;=$C112)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112&amp;"")))&gt;0)),"／同じUに他の機器(横並びなら正常)","")&amp;IF(AND(M112&lt;&gt;"",COUNTIFS(回路定義!$A:$A,A112,回路定義!$B:$B,M112)=0),"／回路1が定義にない","")&amp;IF(AND(P112&lt;&gt;"",COUNTIFS(回路定義!$A:$A,A112,回路定義!$B:$B,P112)=0),"／回路2が定義にない","")&amp;IF(AND(S112&lt;&gt;"",COUNTIFS(回路定義!$A:$A,A112,回路定義!$B:$B,S112)=0),"／回路3が定義にない",""),2,300)))</f>
        <v/>
      </c>
    </row>
    <row r="113">
      <c r="A113" s="5" t="inlineStr">
        <is>
          <t>E24-S8-4</t>
        </is>
      </c>
      <c r="B113" s="5" t="inlineStr">
        <is>
          <t>両面</t>
        </is>
      </c>
      <c r="C113" s="5" t="n">
        <v>14</v>
      </c>
      <c r="D113" s="5" t="n">
        <v>1</v>
      </c>
      <c r="E113" s="6">
        <f>IF(C113="","",C113+D113-1)</f>
        <v/>
      </c>
      <c r="F113" s="5" t="inlineStr">
        <is>
          <t>棚板</t>
        </is>
      </c>
      <c r="G113" s="5" t="inlineStr"/>
      <c r="H113" s="5" t="inlineStr"/>
      <c r="I113" s="5" t="inlineStr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inlineStr"/>
      <c r="W113" s="5" t="inlineStr"/>
      <c r="X113" s="5" t="inlineStr"/>
      <c r="Y113" s="6">
        <f>COUNT(N113,Q113,T113)</f>
        <v/>
      </c>
      <c r="Z113" s="6">
        <f>IF(OR(K113="",NOT(ISNUMBER(K113))),"",K113*SUM(N113,Q113,T113))</f>
        <v/>
      </c>
      <c r="AA113" s="6">
        <f>IF(OR(Y113=0,N113=""),"",N113/Y113)</f>
        <v/>
      </c>
      <c r="AB113" s="6">
        <f>IF(OR(Y113=0,Q113=""),"",Q113/Y113)</f>
        <v/>
      </c>
      <c r="AC113" s="6">
        <f>IF(OR(Y113=0,T113=""),"",T113/Y113)</f>
        <v/>
      </c>
      <c r="AD113" s="6">
        <f>IF(F113="","",IF((IF(AND(Y113=0,NOT(SUMPRODUCT(--ISNUMBER(SEARCH({"棚板","棚","アングル","ｱﾝｸﾞﾙ","使用不可","ケーブル","ｹｰﾌﾞﾙ","PatchPnael","パッチ","引き出し","引出","ブランク","ﾌﾞﾗﾝｸ","マネージ","ﾏﾈｰｼﾞ","PDU","ONU"},$F113&amp;"")))&gt;0),NOT(SUMPRODUCT(--ISNUMBER(SEARCH({"電源オフ","未投入","停止","未使用","撤去"},$X113&amp;"")))&gt;0)),"／電力が未記入","")&amp;IF(AND(NOT(ISNUMBER(J113)),NOT(SUMPRODUCT(--ISNUMBER(SEARCH({"棚板","棚","アングル","ｱﾝｸﾞﾙ","使用不可","ケーブル","ｹｰﾌﾞﾙ","PatchPnael","パッチ","引き出し","引出","ブランク","ﾌﾞﾗﾝｸ","マネージ","ﾏﾈｰｼﾞ","PDU","ONU"},$F113&amp;"")))&gt;0)),"／重量が未記入","")&amp;IF(AND(K113&lt;&gt;"",NOT(ISNUMBER(K113))),"／電圧が数値でない","")&amp;IF(AND(N113&lt;&gt;"",NOT(ISNUMBER(N113))),"／電流が数値でない","")&amp;IF(AND(C113&lt;&gt;"",C113&lt;1),"／開始Uが1未満","")&amp;IF(AND(E113&lt;&gt;"",E113&gt;IFERROR(VLOOKUP(A113,ラック定義!$A:$B,2,FALSE),47)),"／総Uをはみ出す","")&amp;IF(AND(A113&lt;&gt;"",COUNTIF(ラック定義!$A:$A,A113)=0),"／ラックが定義にない","")&amp;IF(AND(SUMPRODUCT((機器台帳!$A$2:$A$400=$A113)*((機器台帳!$B$2:$B$400=$B113)+(機器台帳!$B$2:$B$400="両面")+($B113="両面")&gt;0)*(機器台帳!$C$2:$C$400&lt;=$C113+$D113-1)*(機器台帳!$C$2:$C$400+機器台帳!$D$2:$D$400-1&gt;=$C113)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113&amp;"")))&gt;0)),"／同じUに他の機器(横並びなら正常)","")&amp;IF(AND(M113&lt;&gt;"",COUNTIFS(回路定義!$A:$A,A113,回路定義!$B:$B,M113)=0),"／回路1が定義にない","")&amp;IF(AND(P113&lt;&gt;"",COUNTIFS(回路定義!$A:$A,A113,回路定義!$B:$B,P113)=0),"／回路2が定義にない","")&amp;IF(AND(S113&lt;&gt;"",COUNTIFS(回路定義!$A:$A,A113,回路定義!$B:$B,S113)=0),"／回路3が定義にない",""))="","",MID(IF(AND(Y113=0,NOT(SUMPRODUCT(--ISNUMBER(SEARCH({"棚板","棚","アングル","ｱﾝｸﾞﾙ","使用不可","ケーブル","ｹｰﾌﾞﾙ","PatchPnael","パッチ","引き出し","引出","ブランク","ﾌﾞﾗﾝｸ","マネージ","ﾏﾈｰｼﾞ","PDU","ONU"},$F113&amp;"")))&gt;0),NOT(SUMPRODUCT(--ISNUMBER(SEARCH({"電源オフ","未投入","停止","未使用","撤去"},$X113&amp;"")))&gt;0)),"／電力が未記入","")&amp;IF(AND(NOT(ISNUMBER(J113)),NOT(SUMPRODUCT(--ISNUMBER(SEARCH({"棚板","棚","アングル","ｱﾝｸﾞﾙ","使用不可","ケーブル","ｹｰﾌﾞﾙ","PatchPnael","パッチ","引き出し","引出","ブランク","ﾌﾞﾗﾝｸ","マネージ","ﾏﾈｰｼﾞ","PDU","ONU"},$F113&amp;"")))&gt;0)),"／重量が未記入","")&amp;IF(AND(K113&lt;&gt;"",NOT(ISNUMBER(K113))),"／電圧が数値でない","")&amp;IF(AND(N113&lt;&gt;"",NOT(ISNUMBER(N113))),"／電流が数値でない","")&amp;IF(AND(C113&lt;&gt;"",C113&lt;1),"／開始Uが1未満","")&amp;IF(AND(E113&lt;&gt;"",E113&gt;IFERROR(VLOOKUP(A113,ラック定義!$A:$B,2,FALSE),47)),"／総Uをはみ出す","")&amp;IF(AND(A113&lt;&gt;"",COUNTIF(ラック定義!$A:$A,A113)=0),"／ラックが定義にない","")&amp;IF(AND(SUMPRODUCT((機器台帳!$A$2:$A$400=$A113)*((機器台帳!$B$2:$B$400=$B113)+(機器台帳!$B$2:$B$400="両面")+($B113="両面")&gt;0)*(機器台帳!$C$2:$C$400&lt;=$C113+$D113-1)*(機器台帳!$C$2:$C$400+機器台帳!$D$2:$D$400-1&gt;=$C113)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113&amp;"")))&gt;0)),"／同じUに他の機器(横並びなら正常)","")&amp;IF(AND(M113&lt;&gt;"",COUNTIFS(回路定義!$A:$A,A113,回路定義!$B:$B,M113)=0),"／回路1が定義にない","")&amp;IF(AND(P113&lt;&gt;"",COUNTIFS(回路定義!$A:$A,A113,回路定義!$B:$B,P113)=0),"／回路2が定義にない","")&amp;IF(AND(S113&lt;&gt;"",COUNTIFS(回路定義!$A:$A,A113,回路定義!$B:$B,S113)=0),"／回路3が定義にない",""),2,300)))</f>
        <v/>
      </c>
    </row>
    <row r="114">
      <c r="A114" s="5" t="inlineStr">
        <is>
          <t>E24-S8-4</t>
        </is>
      </c>
      <c r="B114" s="5" t="inlineStr">
        <is>
          <t>両面</t>
        </is>
      </c>
      <c r="C114" s="5" t="n">
        <v>13</v>
      </c>
      <c r="D114" s="5" t="n">
        <v>1</v>
      </c>
      <c r="E114" s="6">
        <f>IF(C114="","",C114+D114-1)</f>
        <v/>
      </c>
      <c r="F114" s="5" t="inlineStr">
        <is>
          <t>Catalyst 9300 48</t>
        </is>
      </c>
      <c r="G114" s="5" t="inlineStr">
        <is>
          <t>H1707966</t>
        </is>
      </c>
      <c r="H114" s="5" t="inlineStr"/>
      <c r="I114" s="5" t="inlineStr"/>
      <c r="J114" s="5" t="n">
        <v>7.4</v>
      </c>
      <c r="K114" s="5" t="n">
        <v>100</v>
      </c>
      <c r="L114" s="5" t="n">
        <v>1</v>
      </c>
      <c r="M114" s="5" t="inlineStr">
        <is>
          <t>100V 20A （1）</t>
        </is>
      </c>
      <c r="N114" s="5" t="n">
        <v>4</v>
      </c>
      <c r="O114" s="5" t="n">
        <v>1</v>
      </c>
      <c r="P114" s="5" t="n"/>
      <c r="Q114" s="5" t="n"/>
      <c r="R114" s="5" t="n"/>
      <c r="S114" s="5" t="n"/>
      <c r="T114" s="5" t="n"/>
      <c r="U114" s="5" t="n"/>
      <c r="V114" s="5" t="inlineStr">
        <is>
          <t>棚</t>
        </is>
      </c>
      <c r="W114" s="5" t="inlineStr">
        <is>
          <t>1本</t>
        </is>
      </c>
      <c r="X114" s="5" t="inlineStr"/>
      <c r="Y114" s="6">
        <f>COUNT(N114,Q114,T114)</f>
        <v/>
      </c>
      <c r="Z114" s="6">
        <f>IF(OR(K114="",NOT(ISNUMBER(K114))),"",K114*SUM(N114,Q114,T114))</f>
        <v/>
      </c>
      <c r="AA114" s="6">
        <f>IF(OR(Y114=0,N114=""),"",N114/Y114)</f>
        <v/>
      </c>
      <c r="AB114" s="6">
        <f>IF(OR(Y114=0,Q114=""),"",Q114/Y114)</f>
        <v/>
      </c>
      <c r="AC114" s="6">
        <f>IF(OR(Y114=0,T114=""),"",T114/Y114)</f>
        <v/>
      </c>
      <c r="AD114" s="6">
        <f>IF(F114="","",IF((IF(AND(Y114=0,NOT(SUMPRODUCT(--ISNUMBER(SEARCH({"棚板","棚","アングル","ｱﾝｸﾞﾙ","使用不可","ケーブル","ｹｰﾌﾞﾙ","PatchPnael","パッチ","引き出し","引出","ブランク","ﾌﾞﾗﾝｸ","マネージ","ﾏﾈｰｼﾞ","PDU","ONU"},$F114&amp;"")))&gt;0),NOT(SUMPRODUCT(--ISNUMBER(SEARCH({"電源オフ","未投入","停止","未使用","撤去"},$X114&amp;"")))&gt;0)),"／電力が未記入","")&amp;IF(AND(NOT(ISNUMBER(J114)),NOT(SUMPRODUCT(--ISNUMBER(SEARCH({"棚板","棚","アングル","ｱﾝｸﾞﾙ","使用不可","ケーブル","ｹｰﾌﾞﾙ","PatchPnael","パッチ","引き出し","引出","ブランク","ﾌﾞﾗﾝｸ","マネージ","ﾏﾈｰｼﾞ","PDU","ONU"},$F114&amp;"")))&gt;0)),"／重量が未記入","")&amp;IF(AND(K114&lt;&gt;"",NOT(ISNUMBER(K114))),"／電圧が数値でない","")&amp;IF(AND(N114&lt;&gt;"",NOT(ISNUMBER(N114))),"／電流が数値でない","")&amp;IF(AND(C114&lt;&gt;"",C114&lt;1),"／開始Uが1未満","")&amp;IF(AND(E114&lt;&gt;"",E114&gt;IFERROR(VLOOKUP(A114,ラック定義!$A:$B,2,FALSE),47)),"／総Uをはみ出す","")&amp;IF(AND(A114&lt;&gt;"",COUNTIF(ラック定義!$A:$A,A114)=0),"／ラックが定義にない","")&amp;IF(AND(SUMPRODUCT((機器台帳!$A$2:$A$400=$A114)*((機器台帳!$B$2:$B$400=$B114)+(機器台帳!$B$2:$B$400="両面")+($B114="両面")&gt;0)*(機器台帳!$C$2:$C$400&lt;=$C114+$D114-1)*(機器台帳!$C$2:$C$400+機器台帳!$D$2:$D$400-1&gt;=$C114)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114&amp;"")))&gt;0)),"／同じUに他の機器(横並びなら正常)","")&amp;IF(AND(M114&lt;&gt;"",COUNTIFS(回路定義!$A:$A,A114,回路定義!$B:$B,M114)=0),"／回路1が定義にない","")&amp;IF(AND(P114&lt;&gt;"",COUNTIFS(回路定義!$A:$A,A114,回路定義!$B:$B,P114)=0),"／回路2が定義にない","")&amp;IF(AND(S114&lt;&gt;"",COUNTIFS(回路定義!$A:$A,A114,回路定義!$B:$B,S114)=0),"／回路3が定義にない",""))="","",MID(IF(AND(Y114=0,NOT(SUMPRODUCT(--ISNUMBER(SEARCH({"棚板","棚","アングル","ｱﾝｸﾞﾙ","使用不可","ケーブル","ｹｰﾌﾞﾙ","PatchPnael","パッチ","引き出し","引出","ブランク","ﾌﾞﾗﾝｸ","マネージ","ﾏﾈｰｼﾞ","PDU","ONU"},$F114&amp;"")))&gt;0),NOT(SUMPRODUCT(--ISNUMBER(SEARCH({"電源オフ","未投入","停止","未使用","撤去"},$X114&amp;"")))&gt;0)),"／電力が未記入","")&amp;IF(AND(NOT(ISNUMBER(J114)),NOT(SUMPRODUCT(--ISNUMBER(SEARCH({"棚板","棚","アングル","ｱﾝｸﾞﾙ","使用不可","ケーブル","ｹｰﾌﾞﾙ","PatchPnael","パッチ","引き出し","引出","ブランク","ﾌﾞﾗﾝｸ","マネージ","ﾏﾈｰｼﾞ","PDU","ONU"},$F114&amp;"")))&gt;0)),"／重量が未記入","")&amp;IF(AND(K114&lt;&gt;"",NOT(ISNUMBER(K114))),"／電圧が数値でない","")&amp;IF(AND(N114&lt;&gt;"",NOT(ISNUMBER(N114))),"／電流が数値でない","")&amp;IF(AND(C114&lt;&gt;"",C114&lt;1),"／開始Uが1未満","")&amp;IF(AND(E114&lt;&gt;"",E114&gt;IFERROR(VLOOKUP(A114,ラック定義!$A:$B,2,FALSE),47)),"／総Uをはみ出す","")&amp;IF(AND(A114&lt;&gt;"",COUNTIF(ラック定義!$A:$A,A114)=0),"／ラックが定義にない","")&amp;IF(AND(SUMPRODUCT((機器台帳!$A$2:$A$400=$A114)*((機器台帳!$B$2:$B$400=$B114)+(機器台帳!$B$2:$B$400="両面")+($B114="両面")&gt;0)*(機器台帳!$C$2:$C$400&lt;=$C114+$D114-1)*(機器台帳!$C$2:$C$400+機器台帳!$D$2:$D$400-1&gt;=$C114)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114&amp;"")))&gt;0)),"／同じUに他の機器(横並びなら正常)","")&amp;IF(AND(M114&lt;&gt;"",COUNTIFS(回路定義!$A:$A,A114,回路定義!$B:$B,M114)=0),"／回路1が定義にない","")&amp;IF(AND(P114&lt;&gt;"",COUNTIFS(回路定義!$A:$A,A114,回路定義!$B:$B,P114)=0),"／回路2が定義にない","")&amp;IF(AND(S114&lt;&gt;"",COUNTIFS(回路定義!$A:$A,A114,回路定義!$B:$B,S114)=0),"／回路3が定義にない",""),2,300)))</f>
        <v/>
      </c>
    </row>
    <row r="115">
      <c r="A115" s="5" t="inlineStr">
        <is>
          <t>E24-S8-4</t>
        </is>
      </c>
      <c r="B115" s="5" t="inlineStr">
        <is>
          <t>両面</t>
        </is>
      </c>
      <c r="C115" s="5" t="n">
        <v>12</v>
      </c>
      <c r="D115" s="5" t="n">
        <v>1</v>
      </c>
      <c r="E115" s="6">
        <f>IF(C115="","",C115+D115-1)</f>
        <v/>
      </c>
      <c r="F115" s="5" t="inlineStr">
        <is>
          <t>棚板</t>
        </is>
      </c>
      <c r="G115" s="5" t="inlineStr"/>
      <c r="H115" s="5" t="inlineStr"/>
      <c r="I115" s="5" t="inlineStr"/>
      <c r="J115" s="5" t="n">
        <v>7.4</v>
      </c>
      <c r="K115" s="5" t="n">
        <v>100</v>
      </c>
      <c r="L115" s="5" t="n">
        <v>1</v>
      </c>
      <c r="M115" s="5" t="inlineStr">
        <is>
          <t>100V 20A （2）</t>
        </is>
      </c>
      <c r="N115" s="5" t="n">
        <v>4</v>
      </c>
      <c r="O115" s="5" t="n">
        <v>1</v>
      </c>
      <c r="P115" s="5" t="n"/>
      <c r="Q115" s="5" t="n"/>
      <c r="R115" s="5" t="n"/>
      <c r="S115" s="5" t="n"/>
      <c r="T115" s="5" t="n"/>
      <c r="U115" s="5" t="n"/>
      <c r="V115" s="5" t="inlineStr">
        <is>
          <t>棚</t>
        </is>
      </c>
      <c r="W115" s="5" t="inlineStr">
        <is>
          <t>1本</t>
        </is>
      </c>
      <c r="X115" s="5" t="inlineStr"/>
      <c r="Y115" s="6">
        <f>COUNT(N115,Q115,T115)</f>
        <v/>
      </c>
      <c r="Z115" s="6">
        <f>IF(OR(K115="",NOT(ISNUMBER(K115))),"",K115*SUM(N115,Q115,T115))</f>
        <v/>
      </c>
      <c r="AA115" s="6">
        <f>IF(OR(Y115=0,N115=""),"",N115/Y115)</f>
        <v/>
      </c>
      <c r="AB115" s="6">
        <f>IF(OR(Y115=0,Q115=""),"",Q115/Y115)</f>
        <v/>
      </c>
      <c r="AC115" s="6">
        <f>IF(OR(Y115=0,T115=""),"",T115/Y115)</f>
        <v/>
      </c>
      <c r="AD115" s="6">
        <f>IF(F115="","",IF((IF(AND(Y115=0,NOT(SUMPRODUCT(--ISNUMBER(SEARCH({"棚板","棚","アングル","ｱﾝｸﾞﾙ","使用不可","ケーブル","ｹｰﾌﾞﾙ","PatchPnael","パッチ","引き出し","引出","ブランク","ﾌﾞﾗﾝｸ","マネージ","ﾏﾈｰｼﾞ","PDU","ONU"},$F115&amp;"")))&gt;0),NOT(SUMPRODUCT(--ISNUMBER(SEARCH({"電源オフ","未投入","停止","未使用","撤去"},$X115&amp;"")))&gt;0)),"／電力が未記入","")&amp;IF(AND(NOT(ISNUMBER(J115)),NOT(SUMPRODUCT(--ISNUMBER(SEARCH({"棚板","棚","アングル","ｱﾝｸﾞﾙ","使用不可","ケーブル","ｹｰﾌﾞﾙ","PatchPnael","パッチ","引き出し","引出","ブランク","ﾌﾞﾗﾝｸ","マネージ","ﾏﾈｰｼﾞ","PDU","ONU"},$F115&amp;"")))&gt;0)),"／重量が未記入","")&amp;IF(AND(K115&lt;&gt;"",NOT(ISNUMBER(K115))),"／電圧が数値でない","")&amp;IF(AND(N115&lt;&gt;"",NOT(ISNUMBER(N115))),"／電流が数値でない","")&amp;IF(AND(C115&lt;&gt;"",C115&lt;1),"／開始Uが1未満","")&amp;IF(AND(E115&lt;&gt;"",E115&gt;IFERROR(VLOOKUP(A115,ラック定義!$A:$B,2,FALSE),47)),"／総Uをはみ出す","")&amp;IF(AND(A115&lt;&gt;"",COUNTIF(ラック定義!$A:$A,A115)=0),"／ラックが定義にない","")&amp;IF(AND(SUMPRODUCT((機器台帳!$A$2:$A$400=$A115)*((機器台帳!$B$2:$B$400=$B115)+(機器台帳!$B$2:$B$400="両面")+($B115="両面")&gt;0)*(機器台帳!$C$2:$C$400&lt;=$C115+$D115-1)*(機器台帳!$C$2:$C$400+機器台帳!$D$2:$D$400-1&gt;=$C115)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115&amp;"")))&gt;0)),"／同じUに他の機器(横並びなら正常)","")&amp;IF(AND(M115&lt;&gt;"",COUNTIFS(回路定義!$A:$A,A115,回路定義!$B:$B,M115)=0),"／回路1が定義にない","")&amp;IF(AND(P115&lt;&gt;"",COUNTIFS(回路定義!$A:$A,A115,回路定義!$B:$B,P115)=0),"／回路2が定義にない","")&amp;IF(AND(S115&lt;&gt;"",COUNTIFS(回路定義!$A:$A,A115,回路定義!$B:$B,S115)=0),"／回路3が定義にない",""))="","",MID(IF(AND(Y115=0,NOT(SUMPRODUCT(--ISNUMBER(SEARCH({"棚板","棚","アングル","ｱﾝｸﾞﾙ","使用不可","ケーブル","ｹｰﾌﾞﾙ","PatchPnael","パッチ","引き出し","引出","ブランク","ﾌﾞﾗﾝｸ","マネージ","ﾏﾈｰｼﾞ","PDU","ONU"},$F115&amp;"")))&gt;0),NOT(SUMPRODUCT(--ISNUMBER(SEARCH({"電源オフ","未投入","停止","未使用","撤去"},$X115&amp;"")))&gt;0)),"／電力が未記入","")&amp;IF(AND(NOT(ISNUMBER(J115)),NOT(SUMPRODUCT(--ISNUMBER(SEARCH({"棚板","棚","アングル","ｱﾝｸﾞﾙ","使用不可","ケーブル","ｹｰﾌﾞﾙ","PatchPnael","パッチ","引き出し","引出","ブランク","ﾌﾞﾗﾝｸ","マネージ","ﾏﾈｰｼﾞ","PDU","ONU"},$F115&amp;"")))&gt;0)),"／重量が未記入","")&amp;IF(AND(K115&lt;&gt;"",NOT(ISNUMBER(K115))),"／電圧が数値でない","")&amp;IF(AND(N115&lt;&gt;"",NOT(ISNUMBER(N115))),"／電流が数値でない","")&amp;IF(AND(C115&lt;&gt;"",C115&lt;1),"／開始Uが1未満","")&amp;IF(AND(E115&lt;&gt;"",E115&gt;IFERROR(VLOOKUP(A115,ラック定義!$A:$B,2,FALSE),47)),"／総Uをはみ出す","")&amp;IF(AND(A115&lt;&gt;"",COUNTIF(ラック定義!$A:$A,A115)=0),"／ラックが定義にない","")&amp;IF(AND(SUMPRODUCT((機器台帳!$A$2:$A$400=$A115)*((機器台帳!$B$2:$B$400=$B115)+(機器台帳!$B$2:$B$400="両面")+($B115="両面")&gt;0)*(機器台帳!$C$2:$C$400&lt;=$C115+$D115-1)*(機器台帳!$C$2:$C$400+機器台帳!$D$2:$D$400-1&gt;=$C115)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115&amp;"")))&gt;0)),"／同じUに他の機器(横並びなら正常)","")&amp;IF(AND(M115&lt;&gt;"",COUNTIFS(回路定義!$A:$A,A115,回路定義!$B:$B,M115)=0),"／回路1が定義にない","")&amp;IF(AND(P115&lt;&gt;"",COUNTIFS(回路定義!$A:$A,A115,回路定義!$B:$B,P115)=0),"／回路2が定義にない","")&amp;IF(AND(S115&lt;&gt;"",COUNTIFS(回路定義!$A:$A,A115,回路定義!$B:$B,S115)=0),"／回路3が定義にない",""),2,300)))</f>
        <v/>
      </c>
    </row>
    <row r="116">
      <c r="A116" s="5" t="inlineStr">
        <is>
          <t>E24-S8-4</t>
        </is>
      </c>
      <c r="B116" s="5" t="inlineStr">
        <is>
          <t>両面</t>
        </is>
      </c>
      <c r="C116" s="5" t="n">
        <v>12</v>
      </c>
      <c r="D116" s="5" t="n">
        <v>1</v>
      </c>
      <c r="E116" s="6">
        <f>IF(C116="","",C116+D116-1)</f>
        <v/>
      </c>
      <c r="F116" s="5" t="inlineStr">
        <is>
          <t>Catalyst 9300 48</t>
        </is>
      </c>
      <c r="G116" s="5" t="inlineStr">
        <is>
          <t>H1808658</t>
        </is>
      </c>
      <c r="H116" s="5" t="inlineStr"/>
      <c r="I116" s="5" t="inlineStr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inlineStr">
        <is>
          <t>棚</t>
        </is>
      </c>
      <c r="W116" s="5" t="inlineStr">
        <is>
          <t>1本</t>
        </is>
      </c>
      <c r="X116" s="5" t="inlineStr"/>
      <c r="Y116" s="6">
        <f>COUNT(N116,Q116,T116)</f>
        <v/>
      </c>
      <c r="Z116" s="6">
        <f>IF(OR(K116="",NOT(ISNUMBER(K116))),"",K116*SUM(N116,Q116,T116))</f>
        <v/>
      </c>
      <c r="AA116" s="6">
        <f>IF(OR(Y116=0,N116=""),"",N116/Y116)</f>
        <v/>
      </c>
      <c r="AB116" s="6">
        <f>IF(OR(Y116=0,Q116=""),"",Q116/Y116)</f>
        <v/>
      </c>
      <c r="AC116" s="6">
        <f>IF(OR(Y116=0,T116=""),"",T116/Y116)</f>
        <v/>
      </c>
      <c r="AD116" s="6">
        <f>IF(F116="","",IF((IF(AND(Y116=0,NOT(SUMPRODUCT(--ISNUMBER(SEARCH({"棚板","棚","アングル","ｱﾝｸﾞﾙ","使用不可","ケーブル","ｹｰﾌﾞﾙ","PatchPnael","パッチ","引き出し","引出","ブランク","ﾌﾞﾗﾝｸ","マネージ","ﾏﾈｰｼﾞ","PDU","ONU"},$F116&amp;"")))&gt;0),NOT(SUMPRODUCT(--ISNUMBER(SEARCH({"電源オフ","未投入","停止","未使用","撤去"},$X116&amp;"")))&gt;0)),"／電力が未記入","")&amp;IF(AND(NOT(ISNUMBER(J116)),NOT(SUMPRODUCT(--ISNUMBER(SEARCH({"棚板","棚","アングル","ｱﾝｸﾞﾙ","使用不可","ケーブル","ｹｰﾌﾞﾙ","PatchPnael","パッチ","引き出し","引出","ブランク","ﾌﾞﾗﾝｸ","マネージ","ﾏﾈｰｼﾞ","PDU","ONU"},$F116&amp;"")))&gt;0)),"／重量が未記入","")&amp;IF(AND(K116&lt;&gt;"",NOT(ISNUMBER(K116))),"／電圧が数値でない","")&amp;IF(AND(N116&lt;&gt;"",NOT(ISNUMBER(N116))),"／電流が数値でない","")&amp;IF(AND(C116&lt;&gt;"",C116&lt;1),"／開始Uが1未満","")&amp;IF(AND(E116&lt;&gt;"",E116&gt;IFERROR(VLOOKUP(A116,ラック定義!$A:$B,2,FALSE),47)),"／総Uをはみ出す","")&amp;IF(AND(A116&lt;&gt;"",COUNTIF(ラック定義!$A:$A,A116)=0),"／ラックが定義にない","")&amp;IF(AND(SUMPRODUCT((機器台帳!$A$2:$A$400=$A116)*((機器台帳!$B$2:$B$400=$B116)+(機器台帳!$B$2:$B$400="両面")+($B116="両面")&gt;0)*(機器台帳!$C$2:$C$400&lt;=$C116+$D116-1)*(機器台帳!$C$2:$C$400+機器台帳!$D$2:$D$400-1&gt;=$C116)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116&amp;"")))&gt;0)),"／同じUに他の機器(横並びなら正常)","")&amp;IF(AND(M116&lt;&gt;"",COUNTIFS(回路定義!$A:$A,A116,回路定義!$B:$B,M116)=0),"／回路1が定義にない","")&amp;IF(AND(P116&lt;&gt;"",COUNTIFS(回路定義!$A:$A,A116,回路定義!$B:$B,P116)=0),"／回路2が定義にない","")&amp;IF(AND(S116&lt;&gt;"",COUNTIFS(回路定義!$A:$A,A116,回路定義!$B:$B,S116)=0),"／回路3が定義にない",""))="","",MID(IF(AND(Y116=0,NOT(SUMPRODUCT(--ISNUMBER(SEARCH({"棚板","棚","アングル","ｱﾝｸﾞﾙ","使用不可","ケーブル","ｹｰﾌﾞﾙ","PatchPnael","パッチ","引き出し","引出","ブランク","ﾌﾞﾗﾝｸ","マネージ","ﾏﾈｰｼﾞ","PDU","ONU"},$F116&amp;"")))&gt;0),NOT(SUMPRODUCT(--ISNUMBER(SEARCH({"電源オフ","未投入","停止","未使用","撤去"},$X116&amp;"")))&gt;0)),"／電力が未記入","")&amp;IF(AND(NOT(ISNUMBER(J116)),NOT(SUMPRODUCT(--ISNUMBER(SEARCH({"棚板","棚","アングル","ｱﾝｸﾞﾙ","使用不可","ケーブル","ｹｰﾌﾞﾙ","PatchPnael","パッチ","引き出し","引出","ブランク","ﾌﾞﾗﾝｸ","マネージ","ﾏﾈｰｼﾞ","PDU","ONU"},$F116&amp;"")))&gt;0)),"／重量が未記入","")&amp;IF(AND(K116&lt;&gt;"",NOT(ISNUMBER(K116))),"／電圧が数値でない","")&amp;IF(AND(N116&lt;&gt;"",NOT(ISNUMBER(N116))),"／電流が数値でない","")&amp;IF(AND(C116&lt;&gt;"",C116&lt;1),"／開始Uが1未満","")&amp;IF(AND(E116&lt;&gt;"",E116&gt;IFERROR(VLOOKUP(A116,ラック定義!$A:$B,2,FALSE),47)),"／総Uをはみ出す","")&amp;IF(AND(A116&lt;&gt;"",COUNTIF(ラック定義!$A:$A,A116)=0),"／ラックが定義にない","")&amp;IF(AND(SUMPRODUCT((機器台帳!$A$2:$A$400=$A116)*((機器台帳!$B$2:$B$400=$B116)+(機器台帳!$B$2:$B$400="両面")+($B116="両面")&gt;0)*(機器台帳!$C$2:$C$400&lt;=$C116+$D116-1)*(機器台帳!$C$2:$C$400+機器台帳!$D$2:$D$400-1&gt;=$C116)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116&amp;"")))&gt;0)),"／同じUに他の機器(横並びなら正常)","")&amp;IF(AND(M116&lt;&gt;"",COUNTIFS(回路定義!$A:$A,A116,回路定義!$B:$B,M116)=0),"／回路1が定義にない","")&amp;IF(AND(P116&lt;&gt;"",COUNTIFS(回路定義!$A:$A,A116,回路定義!$B:$B,P116)=0),"／回路2が定義にない","")&amp;IF(AND(S116&lt;&gt;"",COUNTIFS(回路定義!$A:$A,A116,回路定義!$B:$B,S116)=0),"／回路3が定義にない",""),2,300)))</f>
        <v/>
      </c>
    </row>
    <row r="117">
      <c r="A117" s="5" t="inlineStr">
        <is>
          <t>E24-S8-4</t>
        </is>
      </c>
      <c r="B117" s="5" t="inlineStr">
        <is>
          <t>両面</t>
        </is>
      </c>
      <c r="C117" s="5" t="n">
        <v>8</v>
      </c>
      <c r="D117" s="5" t="n">
        <v>1</v>
      </c>
      <c r="E117" s="6">
        <f>IF(C117="","",C117+D117-1)</f>
        <v/>
      </c>
      <c r="F117" s="5" t="inlineStr">
        <is>
          <t>CE6870-48S6CQ-EI</t>
        </is>
      </c>
      <c r="G117" s="5" t="inlineStr">
        <is>
          <t>H1703070</t>
        </is>
      </c>
      <c r="H117" s="5" t="inlineStr"/>
      <c r="I117" s="5" t="inlineStr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inlineStr"/>
      <c r="W117" s="5" t="inlineStr"/>
      <c r="X117" s="5" t="inlineStr"/>
      <c r="Y117" s="6">
        <f>COUNT(N117,Q117,T117)</f>
        <v/>
      </c>
      <c r="Z117" s="6">
        <f>IF(OR(K117="",NOT(ISNUMBER(K117))),"",K117*SUM(N117,Q117,T117))</f>
        <v/>
      </c>
      <c r="AA117" s="6">
        <f>IF(OR(Y117=0,N117=""),"",N117/Y117)</f>
        <v/>
      </c>
      <c r="AB117" s="6">
        <f>IF(OR(Y117=0,Q117=""),"",Q117/Y117)</f>
        <v/>
      </c>
      <c r="AC117" s="6">
        <f>IF(OR(Y117=0,T117=""),"",T117/Y117)</f>
        <v/>
      </c>
      <c r="AD117" s="6">
        <f>IF(F117="","",IF((IF(AND(Y117=0,NOT(SUMPRODUCT(--ISNUMBER(SEARCH({"棚板","棚","アングル","ｱﾝｸﾞﾙ","使用不可","ケーブル","ｹｰﾌﾞﾙ","PatchPnael","パッチ","引き出し","引出","ブランク","ﾌﾞﾗﾝｸ","マネージ","ﾏﾈｰｼﾞ","PDU","ONU"},$F117&amp;"")))&gt;0),NOT(SUMPRODUCT(--ISNUMBER(SEARCH({"電源オフ","未投入","停止","未使用","撤去"},$X117&amp;"")))&gt;0)),"／電力が未記入","")&amp;IF(AND(NOT(ISNUMBER(J117)),NOT(SUMPRODUCT(--ISNUMBER(SEARCH({"棚板","棚","アングル","ｱﾝｸﾞﾙ","使用不可","ケーブル","ｹｰﾌﾞﾙ","PatchPnael","パッチ","引き出し","引出","ブランク","ﾌﾞﾗﾝｸ","マネージ","ﾏﾈｰｼﾞ","PDU","ONU"},$F117&amp;"")))&gt;0)),"／重量が未記入","")&amp;IF(AND(K117&lt;&gt;"",NOT(ISNUMBER(K117))),"／電圧が数値でない","")&amp;IF(AND(N117&lt;&gt;"",NOT(ISNUMBER(N117))),"／電流が数値でない","")&amp;IF(AND(C117&lt;&gt;"",C117&lt;1),"／開始Uが1未満","")&amp;IF(AND(E117&lt;&gt;"",E117&gt;IFERROR(VLOOKUP(A117,ラック定義!$A:$B,2,FALSE),47)),"／総Uをはみ出す","")&amp;IF(AND(A117&lt;&gt;"",COUNTIF(ラック定義!$A:$A,A117)=0),"／ラックが定義にない","")&amp;IF(AND(SUMPRODUCT((機器台帳!$A$2:$A$400=$A117)*((機器台帳!$B$2:$B$400=$B117)+(機器台帳!$B$2:$B$400="両面")+($B117="両面")&gt;0)*(機器台帳!$C$2:$C$400&lt;=$C117+$D117-1)*(機器台帳!$C$2:$C$400+機器台帳!$D$2:$D$400-1&gt;=$C117)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117&amp;"")))&gt;0)),"／同じUに他の機器(横並びなら正常)","")&amp;IF(AND(M117&lt;&gt;"",COUNTIFS(回路定義!$A:$A,A117,回路定義!$B:$B,M117)=0),"／回路1が定義にない","")&amp;IF(AND(P117&lt;&gt;"",COUNTIFS(回路定義!$A:$A,A117,回路定義!$B:$B,P117)=0),"／回路2が定義にない","")&amp;IF(AND(S117&lt;&gt;"",COUNTIFS(回路定義!$A:$A,A117,回路定義!$B:$B,S117)=0),"／回路3が定義にない",""))="","",MID(IF(AND(Y117=0,NOT(SUMPRODUCT(--ISNUMBER(SEARCH({"棚板","棚","アングル","ｱﾝｸﾞﾙ","使用不可","ケーブル","ｹｰﾌﾞﾙ","PatchPnael","パッチ","引き出し","引出","ブランク","ﾌﾞﾗﾝｸ","マネージ","ﾏﾈｰｼﾞ","PDU","ONU"},$F117&amp;"")))&gt;0),NOT(SUMPRODUCT(--ISNUMBER(SEARCH({"電源オフ","未投入","停止","未使用","撤去"},$X117&amp;"")))&gt;0)),"／電力が未記入","")&amp;IF(AND(NOT(ISNUMBER(J117)),NOT(SUMPRODUCT(--ISNUMBER(SEARCH({"棚板","棚","アングル","ｱﾝｸﾞﾙ","使用不可","ケーブル","ｹｰﾌﾞﾙ","PatchPnael","パッチ","引き出し","引出","ブランク","ﾌﾞﾗﾝｸ","マネージ","ﾏﾈｰｼﾞ","PDU","ONU"},$F117&amp;"")))&gt;0)),"／重量が未記入","")&amp;IF(AND(K117&lt;&gt;"",NOT(ISNUMBER(K117))),"／電圧が数値でない","")&amp;IF(AND(N117&lt;&gt;"",NOT(ISNUMBER(N117))),"／電流が数値でない","")&amp;IF(AND(C117&lt;&gt;"",C117&lt;1),"／開始Uが1未満","")&amp;IF(AND(E117&lt;&gt;"",E117&gt;IFERROR(VLOOKUP(A117,ラック定義!$A:$B,2,FALSE),47)),"／総Uをはみ出す","")&amp;IF(AND(A117&lt;&gt;"",COUNTIF(ラック定義!$A:$A,A117)=0),"／ラックが定義にない","")&amp;IF(AND(SUMPRODUCT((機器台帳!$A$2:$A$400=$A117)*((機器台帳!$B$2:$B$400=$B117)+(機器台帳!$B$2:$B$400="両面")+($B117="両面")&gt;0)*(機器台帳!$C$2:$C$400&lt;=$C117+$D117-1)*(機器台帳!$C$2:$C$400+機器台帳!$D$2:$D$400-1&gt;=$C117)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117&amp;"")))&gt;0)),"／同じUに他の機器(横並びなら正常)","")&amp;IF(AND(M117&lt;&gt;"",COUNTIFS(回路定義!$A:$A,A117,回路定義!$B:$B,M117)=0),"／回路1が定義にない","")&amp;IF(AND(P117&lt;&gt;"",COUNTIFS(回路定義!$A:$A,A117,回路定義!$B:$B,P117)=0),"／回路2が定義にない","")&amp;IF(AND(S117&lt;&gt;"",COUNTIFS(回路定義!$A:$A,A117,回路定義!$B:$B,S117)=0),"／回路3が定義にない",""),2,300)))</f>
        <v/>
      </c>
    </row>
    <row r="118">
      <c r="A118" s="5" t="inlineStr">
        <is>
          <t>E24-S8-4</t>
        </is>
      </c>
      <c r="B118" s="5" t="inlineStr">
        <is>
          <t>両面</t>
        </is>
      </c>
      <c r="C118" s="5" t="n">
        <v>1</v>
      </c>
      <c r="D118" s="5" t="n">
        <v>3</v>
      </c>
      <c r="E118" s="6">
        <f>IF(C118="","",C118+D118-1)</f>
        <v/>
      </c>
      <c r="F118" s="5" t="inlineStr">
        <is>
          <t>使用不可</t>
        </is>
      </c>
      <c r="G118" s="5" t="inlineStr"/>
      <c r="H118" s="5" t="inlineStr"/>
      <c r="I118" s="5" t="inlineStr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inlineStr"/>
      <c r="W118" s="5" t="inlineStr"/>
      <c r="X118" s="5" t="inlineStr"/>
      <c r="Y118" s="6">
        <f>COUNT(N118,Q118,T118)</f>
        <v/>
      </c>
      <c r="Z118" s="6">
        <f>IF(OR(K118="",NOT(ISNUMBER(K118))),"",K118*SUM(N118,Q118,T118))</f>
        <v/>
      </c>
      <c r="AA118" s="6">
        <f>IF(OR(Y118=0,N118=""),"",N118/Y118)</f>
        <v/>
      </c>
      <c r="AB118" s="6">
        <f>IF(OR(Y118=0,Q118=""),"",Q118/Y118)</f>
        <v/>
      </c>
      <c r="AC118" s="6">
        <f>IF(OR(Y118=0,T118=""),"",T118/Y118)</f>
        <v/>
      </c>
      <c r="AD118" s="6">
        <f>IF(F118="","",IF((IF(AND(Y118=0,NOT(SUMPRODUCT(--ISNUMBER(SEARCH({"棚板","棚","アングル","ｱﾝｸﾞﾙ","使用不可","ケーブル","ｹｰﾌﾞﾙ","PatchPnael","パッチ","引き出し","引出","ブランク","ﾌﾞﾗﾝｸ","マネージ","ﾏﾈｰｼﾞ","PDU","ONU"},$F118&amp;"")))&gt;0),NOT(SUMPRODUCT(--ISNUMBER(SEARCH({"電源オフ","未投入","停止","未使用","撤去"},$X118&amp;"")))&gt;0)),"／電力が未記入","")&amp;IF(AND(NOT(ISNUMBER(J118)),NOT(SUMPRODUCT(--ISNUMBER(SEARCH({"棚板","棚","アングル","ｱﾝｸﾞﾙ","使用不可","ケーブル","ｹｰﾌﾞﾙ","PatchPnael","パッチ","引き出し","引出","ブランク","ﾌﾞﾗﾝｸ","マネージ","ﾏﾈｰｼﾞ","PDU","ONU"},$F118&amp;"")))&gt;0)),"／重量が未記入","")&amp;IF(AND(K118&lt;&gt;"",NOT(ISNUMBER(K118))),"／電圧が数値でない","")&amp;IF(AND(N118&lt;&gt;"",NOT(ISNUMBER(N118))),"／電流が数値でない","")&amp;IF(AND(C118&lt;&gt;"",C118&lt;1),"／開始Uが1未満","")&amp;IF(AND(E118&lt;&gt;"",E118&gt;IFERROR(VLOOKUP(A118,ラック定義!$A:$B,2,FALSE),47)),"／総Uをはみ出す","")&amp;IF(AND(A118&lt;&gt;"",COUNTIF(ラック定義!$A:$A,A118)=0),"／ラックが定義にない","")&amp;IF(AND(SUMPRODUCT((機器台帳!$A$2:$A$400=$A118)*((機器台帳!$B$2:$B$400=$B118)+(機器台帳!$B$2:$B$400="両面")+($B118="両面")&gt;0)*(機器台帳!$C$2:$C$400&lt;=$C118+$D118-1)*(機器台帳!$C$2:$C$400+機器台帳!$D$2:$D$400-1&gt;=$C118)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118&amp;"")))&gt;0)),"／同じUに他の機器(横並びなら正常)","")&amp;IF(AND(M118&lt;&gt;"",COUNTIFS(回路定義!$A:$A,A118,回路定義!$B:$B,M118)=0),"／回路1が定義にない","")&amp;IF(AND(P118&lt;&gt;"",COUNTIFS(回路定義!$A:$A,A118,回路定義!$B:$B,P118)=0),"／回路2が定義にない","")&amp;IF(AND(S118&lt;&gt;"",COUNTIFS(回路定義!$A:$A,A118,回路定義!$B:$B,S118)=0),"／回路3が定義にない",""))="","",MID(IF(AND(Y118=0,NOT(SUMPRODUCT(--ISNUMBER(SEARCH({"棚板","棚","アングル","ｱﾝｸﾞﾙ","使用不可","ケーブル","ｹｰﾌﾞﾙ","PatchPnael","パッチ","引き出し","引出","ブランク","ﾌﾞﾗﾝｸ","マネージ","ﾏﾈｰｼﾞ","PDU","ONU"},$F118&amp;"")))&gt;0),NOT(SUMPRODUCT(--ISNUMBER(SEARCH({"電源オフ","未投入","停止","未使用","撤去"},$X118&amp;"")))&gt;0)),"／電力が未記入","")&amp;IF(AND(NOT(ISNUMBER(J118)),NOT(SUMPRODUCT(--ISNUMBER(SEARCH({"棚板","棚","アングル","ｱﾝｸﾞﾙ","使用不可","ケーブル","ｹｰﾌﾞﾙ","PatchPnael","パッチ","引き出し","引出","ブランク","ﾌﾞﾗﾝｸ","マネージ","ﾏﾈｰｼﾞ","PDU","ONU"},$F118&amp;"")))&gt;0)),"／重量が未記入","")&amp;IF(AND(K118&lt;&gt;"",NOT(ISNUMBER(K118))),"／電圧が数値でない","")&amp;IF(AND(N118&lt;&gt;"",NOT(ISNUMBER(N118))),"／電流が数値でない","")&amp;IF(AND(C118&lt;&gt;"",C118&lt;1),"／開始Uが1未満","")&amp;IF(AND(E118&lt;&gt;"",E118&gt;IFERROR(VLOOKUP(A118,ラック定義!$A:$B,2,FALSE),47)),"／総Uをはみ出す","")&amp;IF(AND(A118&lt;&gt;"",COUNTIF(ラック定義!$A:$A,A118)=0),"／ラックが定義にない","")&amp;IF(AND(SUMPRODUCT((機器台帳!$A$2:$A$400=$A118)*((機器台帳!$B$2:$B$400=$B118)+(機器台帳!$B$2:$B$400="両面")+($B118="両面")&gt;0)*(機器台帳!$C$2:$C$400&lt;=$C118+$D118-1)*(機器台帳!$C$2:$C$400+機器台帳!$D$2:$D$400-1&gt;=$C118)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118&amp;"")))&gt;0)),"／同じUに他の機器(横並びなら正常)","")&amp;IF(AND(M118&lt;&gt;"",COUNTIFS(回路定義!$A:$A,A118,回路定義!$B:$B,M118)=0),"／回路1が定義にない","")&amp;IF(AND(P118&lt;&gt;"",COUNTIFS(回路定義!$A:$A,A118,回路定義!$B:$B,P118)=0),"／回路2が定義にない","")&amp;IF(AND(S118&lt;&gt;"",COUNTIFS(回路定義!$A:$A,A118,回路定義!$B:$B,S118)=0),"／回路3が定義にない",""),2,300)))</f>
        <v/>
      </c>
    </row>
    <row r="119">
      <c r="A119" s="5" t="inlineStr">
        <is>
          <t>E24-S8-4</t>
        </is>
      </c>
      <c r="B119" s="5" t="inlineStr">
        <is>
          <t>前面</t>
        </is>
      </c>
      <c r="C119" s="5" t="n">
        <v>47</v>
      </c>
      <c r="D119" s="5" t="n">
        <v>1</v>
      </c>
      <c r="E119" s="6">
        <f>IF(C119="","",C119+D119-1)</f>
        <v/>
      </c>
      <c r="F119" s="5" t="inlineStr">
        <is>
          <t>ｹｰﾌﾞﾙﾏﾈｰｼﾞﾒﾝﾄ</t>
        </is>
      </c>
      <c r="G119" s="5" t="inlineStr"/>
      <c r="H119" s="5" t="inlineStr"/>
      <c r="I119" s="5" t="inlineStr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inlineStr"/>
      <c r="W119" s="5" t="inlineStr"/>
      <c r="X119" s="5" t="inlineStr"/>
      <c r="Y119" s="6">
        <f>COUNT(N119,Q119,T119)</f>
        <v/>
      </c>
      <c r="Z119" s="6">
        <f>IF(OR(K119="",NOT(ISNUMBER(K119))),"",K119*SUM(N119,Q119,T119))</f>
        <v/>
      </c>
      <c r="AA119" s="6">
        <f>IF(OR(Y119=0,N119=""),"",N119/Y119)</f>
        <v/>
      </c>
      <c r="AB119" s="6">
        <f>IF(OR(Y119=0,Q119=""),"",Q119/Y119)</f>
        <v/>
      </c>
      <c r="AC119" s="6">
        <f>IF(OR(Y119=0,T119=""),"",T119/Y119)</f>
        <v/>
      </c>
      <c r="AD119" s="6">
        <f>IF(F119="","",IF((IF(AND(Y119=0,NOT(SUMPRODUCT(--ISNUMBER(SEARCH({"棚板","棚","アングル","ｱﾝｸﾞﾙ","使用不可","ケーブル","ｹｰﾌﾞﾙ","PatchPnael","パッチ","引き出し","引出","ブランク","ﾌﾞﾗﾝｸ","マネージ","ﾏﾈｰｼﾞ","PDU","ONU"},$F119&amp;"")))&gt;0),NOT(SUMPRODUCT(--ISNUMBER(SEARCH({"電源オフ","未投入","停止","未使用","撤去"},$X119&amp;"")))&gt;0)),"／電力が未記入","")&amp;IF(AND(NOT(ISNUMBER(J119)),NOT(SUMPRODUCT(--ISNUMBER(SEARCH({"棚板","棚","アングル","ｱﾝｸﾞﾙ","使用不可","ケーブル","ｹｰﾌﾞﾙ","PatchPnael","パッチ","引き出し","引出","ブランク","ﾌﾞﾗﾝｸ","マネージ","ﾏﾈｰｼﾞ","PDU","ONU"},$F119&amp;"")))&gt;0)),"／重量が未記入","")&amp;IF(AND(K119&lt;&gt;"",NOT(ISNUMBER(K119))),"／電圧が数値でない","")&amp;IF(AND(N119&lt;&gt;"",NOT(ISNUMBER(N119))),"／電流が数値でない","")&amp;IF(AND(C119&lt;&gt;"",C119&lt;1),"／開始Uが1未満","")&amp;IF(AND(E119&lt;&gt;"",E119&gt;IFERROR(VLOOKUP(A119,ラック定義!$A:$B,2,FALSE),47)),"／総Uをはみ出す","")&amp;IF(AND(A119&lt;&gt;"",COUNTIF(ラック定義!$A:$A,A119)=0),"／ラックが定義にない","")&amp;IF(AND(SUMPRODUCT((機器台帳!$A$2:$A$400=$A119)*((機器台帳!$B$2:$B$400=$B119)+(機器台帳!$B$2:$B$400="両面")+($B119="両面")&gt;0)*(機器台帳!$C$2:$C$400&lt;=$C119+$D119-1)*(機器台帳!$C$2:$C$400+機器台帳!$D$2:$D$400-1&gt;=$C119)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119&amp;"")))&gt;0)),"／同じUに他の機器(横並びなら正常)","")&amp;IF(AND(M119&lt;&gt;"",COUNTIFS(回路定義!$A:$A,A119,回路定義!$B:$B,M119)=0),"／回路1が定義にない","")&amp;IF(AND(P119&lt;&gt;"",COUNTIFS(回路定義!$A:$A,A119,回路定義!$B:$B,P119)=0),"／回路2が定義にない","")&amp;IF(AND(S119&lt;&gt;"",COUNTIFS(回路定義!$A:$A,A119,回路定義!$B:$B,S119)=0),"／回路3が定義にない",""))="","",MID(IF(AND(Y119=0,NOT(SUMPRODUCT(--ISNUMBER(SEARCH({"棚板","棚","アングル","ｱﾝｸﾞﾙ","使用不可","ケーブル","ｹｰﾌﾞﾙ","PatchPnael","パッチ","引き出し","引出","ブランク","ﾌﾞﾗﾝｸ","マネージ","ﾏﾈｰｼﾞ","PDU","ONU"},$F119&amp;"")))&gt;0),NOT(SUMPRODUCT(--ISNUMBER(SEARCH({"電源オフ","未投入","停止","未使用","撤去"},$X119&amp;"")))&gt;0)),"／電力が未記入","")&amp;IF(AND(NOT(ISNUMBER(J119)),NOT(SUMPRODUCT(--ISNUMBER(SEARCH({"棚板","棚","アングル","ｱﾝｸﾞﾙ","使用不可","ケーブル","ｹｰﾌﾞﾙ","PatchPnael","パッチ","引き出し","引出","ブランク","ﾌﾞﾗﾝｸ","マネージ","ﾏﾈｰｼﾞ","PDU","ONU"},$F119&amp;"")))&gt;0)),"／重量が未記入","")&amp;IF(AND(K119&lt;&gt;"",NOT(ISNUMBER(K119))),"／電圧が数値でない","")&amp;IF(AND(N119&lt;&gt;"",NOT(ISNUMBER(N119))),"／電流が数値でない","")&amp;IF(AND(C119&lt;&gt;"",C119&lt;1),"／開始Uが1未満","")&amp;IF(AND(E119&lt;&gt;"",E119&gt;IFERROR(VLOOKUP(A119,ラック定義!$A:$B,2,FALSE),47)),"／総Uをはみ出す","")&amp;IF(AND(A119&lt;&gt;"",COUNTIF(ラック定義!$A:$A,A119)=0),"／ラックが定義にない","")&amp;IF(AND(SUMPRODUCT((機器台帳!$A$2:$A$400=$A119)*((機器台帳!$B$2:$B$400=$B119)+(機器台帳!$B$2:$B$400="両面")+($B119="両面")&gt;0)*(機器台帳!$C$2:$C$400&lt;=$C119+$D119-1)*(機器台帳!$C$2:$C$400+機器台帳!$D$2:$D$400-1&gt;=$C119)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119&amp;"")))&gt;0)),"／同じUに他の機器(横並びなら正常)","")&amp;IF(AND(M119&lt;&gt;"",COUNTIFS(回路定義!$A:$A,A119,回路定義!$B:$B,M119)=0),"／回路1が定義にない","")&amp;IF(AND(P119&lt;&gt;"",COUNTIFS(回路定義!$A:$A,A119,回路定義!$B:$B,P119)=0),"／回路2が定義にない","")&amp;IF(AND(S119&lt;&gt;"",COUNTIFS(回路定義!$A:$A,A119,回路定義!$B:$B,S119)=0),"／回路3が定義にない",""),2,300)))</f>
        <v/>
      </c>
    </row>
    <row r="120">
      <c r="A120" s="5" t="inlineStr">
        <is>
          <t>E24-S8-4</t>
        </is>
      </c>
      <c r="B120" s="5" t="inlineStr">
        <is>
          <t>背面</t>
        </is>
      </c>
      <c r="C120" s="5" t="n">
        <v>47</v>
      </c>
      <c r="D120" s="5" t="n">
        <v>1</v>
      </c>
      <c r="E120" s="6">
        <f>IF(C120="","",C120+D120-1)</f>
        <v/>
      </c>
      <c r="F120" s="5" t="inlineStr">
        <is>
          <t>ｹｰﾌﾞﾙﾏﾈｰｼﾞﾒﾝﾄ（背面）</t>
        </is>
      </c>
      <c r="G120" s="5" t="inlineStr"/>
      <c r="H120" s="5" t="inlineStr"/>
      <c r="I120" s="5" t="inlineStr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inlineStr"/>
      <c r="W120" s="5" t="inlineStr"/>
      <c r="X120" s="5" t="inlineStr"/>
      <c r="Y120" s="6">
        <f>COUNT(N120,Q120,T120)</f>
        <v/>
      </c>
      <c r="Z120" s="6">
        <f>IF(OR(K120="",NOT(ISNUMBER(K120))),"",K120*SUM(N120,Q120,T120))</f>
        <v/>
      </c>
      <c r="AA120" s="6">
        <f>IF(OR(Y120=0,N120=""),"",N120/Y120)</f>
        <v/>
      </c>
      <c r="AB120" s="6">
        <f>IF(OR(Y120=0,Q120=""),"",Q120/Y120)</f>
        <v/>
      </c>
      <c r="AC120" s="6">
        <f>IF(OR(Y120=0,T120=""),"",T120/Y120)</f>
        <v/>
      </c>
      <c r="AD120" s="6">
        <f>IF(F120="","",IF((IF(AND(Y120=0,NOT(SUMPRODUCT(--ISNUMBER(SEARCH({"棚板","棚","アングル","ｱﾝｸﾞﾙ","使用不可","ケーブル","ｹｰﾌﾞﾙ","PatchPnael","パッチ","引き出し","引出","ブランク","ﾌﾞﾗﾝｸ","マネージ","ﾏﾈｰｼﾞ","PDU","ONU"},$F120&amp;"")))&gt;0),NOT(SUMPRODUCT(--ISNUMBER(SEARCH({"電源オフ","未投入","停止","未使用","撤去"},$X120&amp;"")))&gt;0)),"／電力が未記入","")&amp;IF(AND(NOT(ISNUMBER(J120)),NOT(SUMPRODUCT(--ISNUMBER(SEARCH({"棚板","棚","アングル","ｱﾝｸﾞﾙ","使用不可","ケーブル","ｹｰﾌﾞﾙ","PatchPnael","パッチ","引き出し","引出","ブランク","ﾌﾞﾗﾝｸ","マネージ","ﾏﾈｰｼﾞ","PDU","ONU"},$F120&amp;"")))&gt;0)),"／重量が未記入","")&amp;IF(AND(K120&lt;&gt;"",NOT(ISNUMBER(K120))),"／電圧が数値でない","")&amp;IF(AND(N120&lt;&gt;"",NOT(ISNUMBER(N120))),"／電流が数値でない","")&amp;IF(AND(C120&lt;&gt;"",C120&lt;1),"／開始Uが1未満","")&amp;IF(AND(E120&lt;&gt;"",E120&gt;IFERROR(VLOOKUP(A120,ラック定義!$A:$B,2,FALSE),47)),"／総Uをはみ出す","")&amp;IF(AND(A120&lt;&gt;"",COUNTIF(ラック定義!$A:$A,A120)=0),"／ラックが定義にない","")&amp;IF(AND(SUMPRODUCT((機器台帳!$A$2:$A$400=$A120)*((機器台帳!$B$2:$B$400=$B120)+(機器台帳!$B$2:$B$400="両面")+($B120="両面")&gt;0)*(機器台帳!$C$2:$C$400&lt;=$C120+$D120-1)*(機器台帳!$C$2:$C$400+機器台帳!$D$2:$D$400-1&gt;=$C120)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120&amp;"")))&gt;0)),"／同じUに他の機器(横並びなら正常)","")&amp;IF(AND(M120&lt;&gt;"",COUNTIFS(回路定義!$A:$A,A120,回路定義!$B:$B,M120)=0),"／回路1が定義にない","")&amp;IF(AND(P120&lt;&gt;"",COUNTIFS(回路定義!$A:$A,A120,回路定義!$B:$B,P120)=0),"／回路2が定義にない","")&amp;IF(AND(S120&lt;&gt;"",COUNTIFS(回路定義!$A:$A,A120,回路定義!$B:$B,S120)=0),"／回路3が定義にない",""))="","",MID(IF(AND(Y120=0,NOT(SUMPRODUCT(--ISNUMBER(SEARCH({"棚板","棚","アングル","ｱﾝｸﾞﾙ","使用不可","ケーブル","ｹｰﾌﾞﾙ","PatchPnael","パッチ","引き出し","引出","ブランク","ﾌﾞﾗﾝｸ","マネージ","ﾏﾈｰｼﾞ","PDU","ONU"},$F120&amp;"")))&gt;0),NOT(SUMPRODUCT(--ISNUMBER(SEARCH({"電源オフ","未投入","停止","未使用","撤去"},$X120&amp;"")))&gt;0)),"／電力が未記入","")&amp;IF(AND(NOT(ISNUMBER(J120)),NOT(SUMPRODUCT(--ISNUMBER(SEARCH({"棚板","棚","アングル","ｱﾝｸﾞﾙ","使用不可","ケーブル","ｹｰﾌﾞﾙ","PatchPnael","パッチ","引き出し","引出","ブランク","ﾌﾞﾗﾝｸ","マネージ","ﾏﾈｰｼﾞ","PDU","ONU"},$F120&amp;"")))&gt;0)),"／重量が未記入","")&amp;IF(AND(K120&lt;&gt;"",NOT(ISNUMBER(K120))),"／電圧が数値でない","")&amp;IF(AND(N120&lt;&gt;"",NOT(ISNUMBER(N120))),"／電流が数値でない","")&amp;IF(AND(C120&lt;&gt;"",C120&lt;1),"／開始Uが1未満","")&amp;IF(AND(E120&lt;&gt;"",E120&gt;IFERROR(VLOOKUP(A120,ラック定義!$A:$B,2,FALSE),47)),"／総Uをはみ出す","")&amp;IF(AND(A120&lt;&gt;"",COUNTIF(ラック定義!$A:$A,A120)=0),"／ラックが定義にない","")&amp;IF(AND(SUMPRODUCT((機器台帳!$A$2:$A$400=$A120)*((機器台帳!$B$2:$B$400=$B120)+(機器台帳!$B$2:$B$400="両面")+($B120="両面")&gt;0)*(機器台帳!$C$2:$C$400&lt;=$C120+$D120-1)*(機器台帳!$C$2:$C$400+機器台帳!$D$2:$D$400-1&gt;=$C120)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120&amp;"")))&gt;0)),"／同じUに他の機器(横並びなら正常)","")&amp;IF(AND(M120&lt;&gt;"",COUNTIFS(回路定義!$A:$A,A120,回路定義!$B:$B,M120)=0),"／回路1が定義にない","")&amp;IF(AND(P120&lt;&gt;"",COUNTIFS(回路定義!$A:$A,A120,回路定義!$B:$B,P120)=0),"／回路2が定義にない","")&amp;IF(AND(S120&lt;&gt;"",COUNTIFS(回路定義!$A:$A,A120,回路定義!$B:$B,S120)=0),"／回路3が定義にない",""),2,300)))</f>
        <v/>
      </c>
    </row>
    <row r="121">
      <c r="A121" s="5" t="inlineStr">
        <is>
          <t>E24-S8-4</t>
        </is>
      </c>
      <c r="B121" s="5" t="inlineStr">
        <is>
          <t>背面</t>
        </is>
      </c>
      <c r="C121" s="5" t="n">
        <v>38</v>
      </c>
      <c r="D121" s="5" t="n">
        <v>1</v>
      </c>
      <c r="E121" s="6">
        <f>IF(C121="","",C121+D121-1)</f>
        <v/>
      </c>
      <c r="F121" s="5" t="inlineStr">
        <is>
          <t>Dorado</t>
        </is>
      </c>
      <c r="G121" s="5" t="inlineStr"/>
      <c r="H121" s="5" t="inlineStr"/>
      <c r="I121" s="5" t="inlineStr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inlineStr"/>
      <c r="W121" s="5" t="inlineStr"/>
      <c r="X121" s="5" t="inlineStr">
        <is>
          <t>故障のため倉庫保管</t>
        </is>
      </c>
      <c r="Y121" s="6">
        <f>COUNT(N121,Q121,T121)</f>
        <v/>
      </c>
      <c r="Z121" s="6">
        <f>IF(OR(K121="",NOT(ISNUMBER(K121))),"",K121*SUM(N121,Q121,T121))</f>
        <v/>
      </c>
      <c r="AA121" s="6">
        <f>IF(OR(Y121=0,N121=""),"",N121/Y121)</f>
        <v/>
      </c>
      <c r="AB121" s="6">
        <f>IF(OR(Y121=0,Q121=""),"",Q121/Y121)</f>
        <v/>
      </c>
      <c r="AC121" s="6">
        <f>IF(OR(Y121=0,T121=""),"",T121/Y121)</f>
        <v/>
      </c>
      <c r="AD121" s="6">
        <f>IF(F121="","",IF((IF(AND(Y121=0,NOT(SUMPRODUCT(--ISNUMBER(SEARCH({"棚板","棚","アングル","ｱﾝｸﾞﾙ","使用不可","ケーブル","ｹｰﾌﾞﾙ","PatchPnael","パッチ","引き出し","引出","ブランク","ﾌﾞﾗﾝｸ","マネージ","ﾏﾈｰｼﾞ","PDU","ONU"},$F121&amp;"")))&gt;0),NOT(SUMPRODUCT(--ISNUMBER(SEARCH({"電源オフ","未投入","停止","未使用","撤去"},$X121&amp;"")))&gt;0)),"／電力が未記入","")&amp;IF(AND(NOT(ISNUMBER(J121)),NOT(SUMPRODUCT(--ISNUMBER(SEARCH({"棚板","棚","アングル","ｱﾝｸﾞﾙ","使用不可","ケーブル","ｹｰﾌﾞﾙ","PatchPnael","パッチ","引き出し","引出","ブランク","ﾌﾞﾗﾝｸ","マネージ","ﾏﾈｰｼﾞ","PDU","ONU"},$F121&amp;"")))&gt;0)),"／重量が未記入","")&amp;IF(AND(K121&lt;&gt;"",NOT(ISNUMBER(K121))),"／電圧が数値でない","")&amp;IF(AND(N121&lt;&gt;"",NOT(ISNUMBER(N121))),"／電流が数値でない","")&amp;IF(AND(C121&lt;&gt;"",C121&lt;1),"／開始Uが1未満","")&amp;IF(AND(E121&lt;&gt;"",E121&gt;IFERROR(VLOOKUP(A121,ラック定義!$A:$B,2,FALSE),47)),"／総Uをはみ出す","")&amp;IF(AND(A121&lt;&gt;"",COUNTIF(ラック定義!$A:$A,A121)=0),"／ラックが定義にない","")&amp;IF(AND(SUMPRODUCT((機器台帳!$A$2:$A$400=$A121)*((機器台帳!$B$2:$B$400=$B121)+(機器台帳!$B$2:$B$400="両面")+($B121="両面")&gt;0)*(機器台帳!$C$2:$C$400&lt;=$C121+$D121-1)*(機器台帳!$C$2:$C$400+機器台帳!$D$2:$D$400-1&gt;=$C121)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121&amp;"")))&gt;0)),"／同じUに他の機器(横並びなら正常)","")&amp;IF(AND(M121&lt;&gt;"",COUNTIFS(回路定義!$A:$A,A121,回路定義!$B:$B,M121)=0),"／回路1が定義にない","")&amp;IF(AND(P121&lt;&gt;"",COUNTIFS(回路定義!$A:$A,A121,回路定義!$B:$B,P121)=0),"／回路2が定義にない","")&amp;IF(AND(S121&lt;&gt;"",COUNTIFS(回路定義!$A:$A,A121,回路定義!$B:$B,S121)=0),"／回路3が定義にない",""))="","",MID(IF(AND(Y121=0,NOT(SUMPRODUCT(--ISNUMBER(SEARCH({"棚板","棚","アングル","ｱﾝｸﾞﾙ","使用不可","ケーブル","ｹｰﾌﾞﾙ","PatchPnael","パッチ","引き出し","引出","ブランク","ﾌﾞﾗﾝｸ","マネージ","ﾏﾈｰｼﾞ","PDU","ONU"},$F121&amp;"")))&gt;0),NOT(SUMPRODUCT(--ISNUMBER(SEARCH({"電源オフ","未投入","停止","未使用","撤去"},$X121&amp;"")))&gt;0)),"／電力が未記入","")&amp;IF(AND(NOT(ISNUMBER(J121)),NOT(SUMPRODUCT(--ISNUMBER(SEARCH({"棚板","棚","アングル","ｱﾝｸﾞﾙ","使用不可","ケーブル","ｹｰﾌﾞﾙ","PatchPnael","パッチ","引き出し","引出","ブランク","ﾌﾞﾗﾝｸ","マネージ","ﾏﾈｰｼﾞ","PDU","ONU"},$F121&amp;"")))&gt;0)),"／重量が未記入","")&amp;IF(AND(K121&lt;&gt;"",NOT(ISNUMBER(K121))),"／電圧が数値でない","")&amp;IF(AND(N121&lt;&gt;"",NOT(ISNUMBER(N121))),"／電流が数値でない","")&amp;IF(AND(C121&lt;&gt;"",C121&lt;1),"／開始Uが1未満","")&amp;IF(AND(E121&lt;&gt;"",E121&gt;IFERROR(VLOOKUP(A121,ラック定義!$A:$B,2,FALSE),47)),"／総Uをはみ出す","")&amp;IF(AND(A121&lt;&gt;"",COUNTIF(ラック定義!$A:$A,A121)=0),"／ラックが定義にない","")&amp;IF(AND(SUMPRODUCT((機器台帳!$A$2:$A$400=$A121)*((機器台帳!$B$2:$B$400=$B121)+(機器台帳!$B$2:$B$400="両面")+($B121="両面")&gt;0)*(機器台帳!$C$2:$C$400&lt;=$C121+$D121-1)*(機器台帳!$C$2:$C$400+機器台帳!$D$2:$D$400-1&gt;=$C121)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121&amp;"")))&gt;0)),"／同じUに他の機器(横並びなら正常)","")&amp;IF(AND(M121&lt;&gt;"",COUNTIFS(回路定義!$A:$A,A121,回路定義!$B:$B,M121)=0),"／回路1が定義にない","")&amp;IF(AND(P121&lt;&gt;"",COUNTIFS(回路定義!$A:$A,A121,回路定義!$B:$B,P121)=0),"／回路2が定義にない","")&amp;IF(AND(S121&lt;&gt;"",COUNTIFS(回路定義!$A:$A,A121,回路定義!$B:$B,S121)=0),"／回路3が定義にない",""),2,300)))</f>
        <v/>
      </c>
    </row>
    <row r="122">
      <c r="A122" s="5" t="inlineStr">
        <is>
          <t>E24-S8-4</t>
        </is>
      </c>
      <c r="B122" s="5" t="inlineStr">
        <is>
          <t>背面</t>
        </is>
      </c>
      <c r="C122" s="5" t="n">
        <v>29</v>
      </c>
      <c r="D122" s="5" t="n">
        <v>1</v>
      </c>
      <c r="E122" s="6">
        <f>IF(C122="","",C122+D122-1)</f>
        <v/>
      </c>
      <c r="F122" s="5" t="inlineStr">
        <is>
          <t>棚板</t>
        </is>
      </c>
      <c r="G122" s="5" t="inlineStr"/>
      <c r="H122" s="5" t="inlineStr"/>
      <c r="I122" s="5" t="inlineStr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inlineStr"/>
      <c r="W122" s="5" t="inlineStr"/>
      <c r="X122" s="5" t="inlineStr"/>
      <c r="Y122" s="6">
        <f>COUNT(N122,Q122,T122)</f>
        <v/>
      </c>
      <c r="Z122" s="6">
        <f>IF(OR(K122="",NOT(ISNUMBER(K122))),"",K122*SUM(N122,Q122,T122))</f>
        <v/>
      </c>
      <c r="AA122" s="6">
        <f>IF(OR(Y122=0,N122=""),"",N122/Y122)</f>
        <v/>
      </c>
      <c r="AB122" s="6">
        <f>IF(OR(Y122=0,Q122=""),"",Q122/Y122)</f>
        <v/>
      </c>
      <c r="AC122" s="6">
        <f>IF(OR(Y122=0,T122=""),"",T122/Y122)</f>
        <v/>
      </c>
      <c r="AD122" s="6">
        <f>IF(F122="","",IF((IF(AND(Y122=0,NOT(SUMPRODUCT(--ISNUMBER(SEARCH({"棚板","棚","アングル","ｱﾝｸﾞﾙ","使用不可","ケーブル","ｹｰﾌﾞﾙ","PatchPnael","パッチ","引き出し","引出","ブランク","ﾌﾞﾗﾝｸ","マネージ","ﾏﾈｰｼﾞ","PDU","ONU"},$F122&amp;"")))&gt;0),NOT(SUMPRODUCT(--ISNUMBER(SEARCH({"電源オフ","未投入","停止","未使用","撤去"},$X122&amp;"")))&gt;0)),"／電力が未記入","")&amp;IF(AND(NOT(ISNUMBER(J122)),NOT(SUMPRODUCT(--ISNUMBER(SEARCH({"棚板","棚","アングル","ｱﾝｸﾞﾙ","使用不可","ケーブル","ｹｰﾌﾞﾙ","PatchPnael","パッチ","引き出し","引出","ブランク","ﾌﾞﾗﾝｸ","マネージ","ﾏﾈｰｼﾞ","PDU","ONU"},$F122&amp;"")))&gt;0)),"／重量が未記入","")&amp;IF(AND(K122&lt;&gt;"",NOT(ISNUMBER(K122))),"／電圧が数値でない","")&amp;IF(AND(N122&lt;&gt;"",NOT(ISNUMBER(N122))),"／電流が数値でない","")&amp;IF(AND(C122&lt;&gt;"",C122&lt;1),"／開始Uが1未満","")&amp;IF(AND(E122&lt;&gt;"",E122&gt;IFERROR(VLOOKUP(A122,ラック定義!$A:$B,2,FALSE),47)),"／総Uをはみ出す","")&amp;IF(AND(A122&lt;&gt;"",COUNTIF(ラック定義!$A:$A,A122)=0),"／ラックが定義にない","")&amp;IF(AND(SUMPRODUCT((機器台帳!$A$2:$A$400=$A122)*((機器台帳!$B$2:$B$400=$B122)+(機器台帳!$B$2:$B$400="両面")+($B122="両面")&gt;0)*(機器台帳!$C$2:$C$400&lt;=$C122+$D122-1)*(機器台帳!$C$2:$C$400+機器台帳!$D$2:$D$400-1&gt;=$C122)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122&amp;"")))&gt;0)),"／同じUに他の機器(横並びなら正常)","")&amp;IF(AND(M122&lt;&gt;"",COUNTIFS(回路定義!$A:$A,A122,回路定義!$B:$B,M122)=0),"／回路1が定義にない","")&amp;IF(AND(P122&lt;&gt;"",COUNTIFS(回路定義!$A:$A,A122,回路定義!$B:$B,P122)=0),"／回路2が定義にない","")&amp;IF(AND(S122&lt;&gt;"",COUNTIFS(回路定義!$A:$A,A122,回路定義!$B:$B,S122)=0),"／回路3が定義にない",""))="","",MID(IF(AND(Y122=0,NOT(SUMPRODUCT(--ISNUMBER(SEARCH({"棚板","棚","アングル","ｱﾝｸﾞﾙ","使用不可","ケーブル","ｹｰﾌﾞﾙ","PatchPnael","パッチ","引き出し","引出","ブランク","ﾌﾞﾗﾝｸ","マネージ","ﾏﾈｰｼﾞ","PDU","ONU"},$F122&amp;"")))&gt;0),NOT(SUMPRODUCT(--ISNUMBER(SEARCH({"電源オフ","未投入","停止","未使用","撤去"},$X122&amp;"")))&gt;0)),"／電力が未記入","")&amp;IF(AND(NOT(ISNUMBER(J122)),NOT(SUMPRODUCT(--ISNUMBER(SEARCH({"棚板","棚","アングル","ｱﾝｸﾞﾙ","使用不可","ケーブル","ｹｰﾌﾞﾙ","PatchPnael","パッチ","引き出し","引出","ブランク","ﾌﾞﾗﾝｸ","マネージ","ﾏﾈｰｼﾞ","PDU","ONU"},$F122&amp;"")))&gt;0)),"／重量が未記入","")&amp;IF(AND(K122&lt;&gt;"",NOT(ISNUMBER(K122))),"／電圧が数値でない","")&amp;IF(AND(N122&lt;&gt;"",NOT(ISNUMBER(N122))),"／電流が数値でない","")&amp;IF(AND(C122&lt;&gt;"",C122&lt;1),"／開始Uが1未満","")&amp;IF(AND(E122&lt;&gt;"",E122&gt;IFERROR(VLOOKUP(A122,ラック定義!$A:$B,2,FALSE),47)),"／総Uをはみ出す","")&amp;IF(AND(A122&lt;&gt;"",COUNTIF(ラック定義!$A:$A,A122)=0),"／ラックが定義にない","")&amp;IF(AND(SUMPRODUCT((機器台帳!$A$2:$A$400=$A122)*((機器台帳!$B$2:$B$400=$B122)+(機器台帳!$B$2:$B$400="両面")+($B122="両面")&gt;0)*(機器台帳!$C$2:$C$400&lt;=$C122+$D122-1)*(機器台帳!$C$2:$C$400+機器台帳!$D$2:$D$400-1&gt;=$C122)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122&amp;"")))&gt;0)),"／同じUに他の機器(横並びなら正常)","")&amp;IF(AND(M122&lt;&gt;"",COUNTIFS(回路定義!$A:$A,A122,回路定義!$B:$B,M122)=0),"／回路1が定義にない","")&amp;IF(AND(P122&lt;&gt;"",COUNTIFS(回路定義!$A:$A,A122,回路定義!$B:$B,P122)=0),"／回路2が定義にない","")&amp;IF(AND(S122&lt;&gt;"",COUNTIFS(回路定義!$A:$A,A122,回路定義!$B:$B,S122)=0),"／回路3が定義にない",""),2,300)))</f>
        <v/>
      </c>
    </row>
    <row r="123">
      <c r="A123" s="5" t="inlineStr">
        <is>
          <t>E24-S8-4</t>
        </is>
      </c>
      <c r="B123" s="5" t="inlineStr">
        <is>
          <t>背面</t>
        </is>
      </c>
      <c r="C123" s="5" t="n">
        <v>21</v>
      </c>
      <c r="D123" s="5" t="n">
        <v>1</v>
      </c>
      <c r="E123" s="6">
        <f>IF(C123="","",C123+D123-1)</f>
        <v/>
      </c>
      <c r="F123" s="5" t="inlineStr">
        <is>
          <t>棚板</t>
        </is>
      </c>
      <c r="G123" s="5" t="inlineStr"/>
      <c r="H123" s="5" t="inlineStr">
        <is>
          <t>検証System</t>
        </is>
      </c>
      <c r="I123" s="5" t="inlineStr">
        <is>
          <t>ルータ</t>
        </is>
      </c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inlineStr">
        <is>
          <t>①</t>
        </is>
      </c>
      <c r="W123" s="5" t="inlineStr"/>
      <c r="X123" s="5" t="inlineStr"/>
      <c r="Y123" s="6">
        <f>COUNT(N123,Q123,T123)</f>
        <v/>
      </c>
      <c r="Z123" s="6">
        <f>IF(OR(K123="",NOT(ISNUMBER(K123))),"",K123*SUM(N123,Q123,T123))</f>
        <v/>
      </c>
      <c r="AA123" s="6">
        <f>IF(OR(Y123=0,N123=""),"",N123/Y123)</f>
        <v/>
      </c>
      <c r="AB123" s="6">
        <f>IF(OR(Y123=0,Q123=""),"",Q123/Y123)</f>
        <v/>
      </c>
      <c r="AC123" s="6">
        <f>IF(OR(Y123=0,T123=""),"",T123/Y123)</f>
        <v/>
      </c>
      <c r="AD123" s="6">
        <f>IF(F123="","",IF((IF(AND(Y123=0,NOT(SUMPRODUCT(--ISNUMBER(SEARCH({"棚板","棚","アングル","ｱﾝｸﾞﾙ","使用不可","ケーブル","ｹｰﾌﾞﾙ","PatchPnael","パッチ","引き出し","引出","ブランク","ﾌﾞﾗﾝｸ","マネージ","ﾏﾈｰｼﾞ","PDU","ONU"},$F123&amp;"")))&gt;0),NOT(SUMPRODUCT(--ISNUMBER(SEARCH({"電源オフ","未投入","停止","未使用","撤去"},$X123&amp;"")))&gt;0)),"／電力が未記入","")&amp;IF(AND(NOT(ISNUMBER(J123)),NOT(SUMPRODUCT(--ISNUMBER(SEARCH({"棚板","棚","アングル","ｱﾝｸﾞﾙ","使用不可","ケーブル","ｹｰﾌﾞﾙ","PatchPnael","パッチ","引き出し","引出","ブランク","ﾌﾞﾗﾝｸ","マネージ","ﾏﾈｰｼﾞ","PDU","ONU"},$F123&amp;"")))&gt;0)),"／重量が未記入","")&amp;IF(AND(K123&lt;&gt;"",NOT(ISNUMBER(K123))),"／電圧が数値でない","")&amp;IF(AND(N123&lt;&gt;"",NOT(ISNUMBER(N123))),"／電流が数値でない","")&amp;IF(AND(C123&lt;&gt;"",C123&lt;1),"／開始Uが1未満","")&amp;IF(AND(E123&lt;&gt;"",E123&gt;IFERROR(VLOOKUP(A123,ラック定義!$A:$B,2,FALSE),47)),"／総Uをはみ出す","")&amp;IF(AND(A123&lt;&gt;"",COUNTIF(ラック定義!$A:$A,A123)=0),"／ラックが定義にない","")&amp;IF(AND(SUMPRODUCT((機器台帳!$A$2:$A$400=$A123)*((機器台帳!$B$2:$B$400=$B123)+(機器台帳!$B$2:$B$400="両面")+($B123="両面")&gt;0)*(機器台帳!$C$2:$C$400&lt;=$C123+$D123-1)*(機器台帳!$C$2:$C$400+機器台帳!$D$2:$D$400-1&gt;=$C123)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123&amp;"")))&gt;0)),"／同じUに他の機器(横並びなら正常)","")&amp;IF(AND(M123&lt;&gt;"",COUNTIFS(回路定義!$A:$A,A123,回路定義!$B:$B,M123)=0),"／回路1が定義にない","")&amp;IF(AND(P123&lt;&gt;"",COUNTIFS(回路定義!$A:$A,A123,回路定義!$B:$B,P123)=0),"／回路2が定義にない","")&amp;IF(AND(S123&lt;&gt;"",COUNTIFS(回路定義!$A:$A,A123,回路定義!$B:$B,S123)=0),"／回路3が定義にない",""))="","",MID(IF(AND(Y123=0,NOT(SUMPRODUCT(--ISNUMBER(SEARCH({"棚板","棚","アングル","ｱﾝｸﾞﾙ","使用不可","ケーブル","ｹｰﾌﾞﾙ","PatchPnael","パッチ","引き出し","引出","ブランク","ﾌﾞﾗﾝｸ","マネージ","ﾏﾈｰｼﾞ","PDU","ONU"},$F123&amp;"")))&gt;0),NOT(SUMPRODUCT(--ISNUMBER(SEARCH({"電源オフ","未投入","停止","未使用","撤去"},$X123&amp;"")))&gt;0)),"／電力が未記入","")&amp;IF(AND(NOT(ISNUMBER(J123)),NOT(SUMPRODUCT(--ISNUMBER(SEARCH({"棚板","棚","アングル","ｱﾝｸﾞﾙ","使用不可","ケーブル","ｹｰﾌﾞﾙ","PatchPnael","パッチ","引き出し","引出","ブランク","ﾌﾞﾗﾝｸ","マネージ","ﾏﾈｰｼﾞ","PDU","ONU"},$F123&amp;"")))&gt;0)),"／重量が未記入","")&amp;IF(AND(K123&lt;&gt;"",NOT(ISNUMBER(K123))),"／電圧が数値でない","")&amp;IF(AND(N123&lt;&gt;"",NOT(ISNUMBER(N123))),"／電流が数値でない","")&amp;IF(AND(C123&lt;&gt;"",C123&lt;1),"／開始Uが1未満","")&amp;IF(AND(E123&lt;&gt;"",E123&gt;IFERROR(VLOOKUP(A123,ラック定義!$A:$B,2,FALSE),47)),"／総Uをはみ出す","")&amp;IF(AND(A123&lt;&gt;"",COUNTIF(ラック定義!$A:$A,A123)=0),"／ラックが定義にない","")&amp;IF(AND(SUMPRODUCT((機器台帳!$A$2:$A$400=$A123)*((機器台帳!$B$2:$B$400=$B123)+(機器台帳!$B$2:$B$400="両面")+($B123="両面")&gt;0)*(機器台帳!$C$2:$C$400&lt;=$C123+$D123-1)*(機器台帳!$C$2:$C$400+機器台帳!$D$2:$D$400-1&gt;=$C123)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123&amp;"")))&gt;0)),"／同じUに他の機器(横並びなら正常)","")&amp;IF(AND(M123&lt;&gt;"",COUNTIFS(回路定義!$A:$A,A123,回路定義!$B:$B,M123)=0),"／回路1が定義にない","")&amp;IF(AND(P123&lt;&gt;"",COUNTIFS(回路定義!$A:$A,A123,回路定義!$B:$B,P123)=0),"／回路2が定義にない","")&amp;IF(AND(S123&lt;&gt;"",COUNTIFS(回路定義!$A:$A,A123,回路定義!$B:$B,S123)=0),"／回路3が定義にない",""),2,300)))</f>
        <v/>
      </c>
    </row>
    <row r="124">
      <c r="A124" s="5" t="inlineStr">
        <is>
          <t>E24-S8-4</t>
        </is>
      </c>
      <c r="B124" s="5" t="inlineStr">
        <is>
          <t>背面</t>
        </is>
      </c>
      <c r="C124" s="5" t="n">
        <v>18</v>
      </c>
      <c r="D124" s="5" t="n">
        <v>1</v>
      </c>
      <c r="E124" s="6">
        <f>IF(C124="","",C124+D124-1)</f>
        <v/>
      </c>
      <c r="F124" s="5" t="inlineStr">
        <is>
          <t>棚板</t>
        </is>
      </c>
      <c r="G124" s="5" t="inlineStr"/>
      <c r="H124" s="5" t="inlineStr"/>
      <c r="I124" s="5" t="inlineStr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inlineStr"/>
      <c r="W124" s="5" t="inlineStr"/>
      <c r="X124" s="5" t="inlineStr"/>
      <c r="Y124" s="6">
        <f>COUNT(N124,Q124,T124)</f>
        <v/>
      </c>
      <c r="Z124" s="6">
        <f>IF(OR(K124="",NOT(ISNUMBER(K124))),"",K124*SUM(N124,Q124,T124))</f>
        <v/>
      </c>
      <c r="AA124" s="6">
        <f>IF(OR(Y124=0,N124=""),"",N124/Y124)</f>
        <v/>
      </c>
      <c r="AB124" s="6">
        <f>IF(OR(Y124=0,Q124=""),"",Q124/Y124)</f>
        <v/>
      </c>
      <c r="AC124" s="6">
        <f>IF(OR(Y124=0,T124=""),"",T124/Y124)</f>
        <v/>
      </c>
      <c r="AD124" s="6">
        <f>IF(F124="","",IF((IF(AND(Y124=0,NOT(SUMPRODUCT(--ISNUMBER(SEARCH({"棚板","棚","アングル","ｱﾝｸﾞﾙ","使用不可","ケーブル","ｹｰﾌﾞﾙ","PatchPnael","パッチ","引き出し","引出","ブランク","ﾌﾞﾗﾝｸ","マネージ","ﾏﾈｰｼﾞ","PDU","ONU"},$F124&amp;"")))&gt;0),NOT(SUMPRODUCT(--ISNUMBER(SEARCH({"電源オフ","未投入","停止","未使用","撤去"},$X124&amp;"")))&gt;0)),"／電力が未記入","")&amp;IF(AND(NOT(ISNUMBER(J124)),NOT(SUMPRODUCT(--ISNUMBER(SEARCH({"棚板","棚","アングル","ｱﾝｸﾞﾙ","使用不可","ケーブル","ｹｰﾌﾞﾙ","PatchPnael","パッチ","引き出し","引出","ブランク","ﾌﾞﾗﾝｸ","マネージ","ﾏﾈｰｼﾞ","PDU","ONU"},$F124&amp;"")))&gt;0)),"／重量が未記入","")&amp;IF(AND(K124&lt;&gt;"",NOT(ISNUMBER(K124))),"／電圧が数値でない","")&amp;IF(AND(N124&lt;&gt;"",NOT(ISNUMBER(N124))),"／電流が数値でない","")&amp;IF(AND(C124&lt;&gt;"",C124&lt;1),"／開始Uが1未満","")&amp;IF(AND(E124&lt;&gt;"",E124&gt;IFERROR(VLOOKUP(A124,ラック定義!$A:$B,2,FALSE),47)),"／総Uをはみ出す","")&amp;IF(AND(A124&lt;&gt;"",COUNTIF(ラック定義!$A:$A,A124)=0),"／ラックが定義にない","")&amp;IF(AND(SUMPRODUCT((機器台帳!$A$2:$A$400=$A124)*((機器台帳!$B$2:$B$400=$B124)+(機器台帳!$B$2:$B$400="両面")+($B124="両面")&gt;0)*(機器台帳!$C$2:$C$400&lt;=$C124+$D124-1)*(機器台帳!$C$2:$C$400+機器台帳!$D$2:$D$400-1&gt;=$C124)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124&amp;"")))&gt;0)),"／同じUに他の機器(横並びなら正常)","")&amp;IF(AND(M124&lt;&gt;"",COUNTIFS(回路定義!$A:$A,A124,回路定義!$B:$B,M124)=0),"／回路1が定義にない","")&amp;IF(AND(P124&lt;&gt;"",COUNTIFS(回路定義!$A:$A,A124,回路定義!$B:$B,P124)=0),"／回路2が定義にない","")&amp;IF(AND(S124&lt;&gt;"",COUNTIFS(回路定義!$A:$A,A124,回路定義!$B:$B,S124)=0),"／回路3が定義にない",""))="","",MID(IF(AND(Y124=0,NOT(SUMPRODUCT(--ISNUMBER(SEARCH({"棚板","棚","アングル","ｱﾝｸﾞﾙ","使用不可","ケーブル","ｹｰﾌﾞﾙ","PatchPnael","パッチ","引き出し","引出","ブランク","ﾌﾞﾗﾝｸ","マネージ","ﾏﾈｰｼﾞ","PDU","ONU"},$F124&amp;"")))&gt;0),NOT(SUMPRODUCT(--ISNUMBER(SEARCH({"電源オフ","未投入","停止","未使用","撤去"},$X124&amp;"")))&gt;0)),"／電力が未記入","")&amp;IF(AND(NOT(ISNUMBER(J124)),NOT(SUMPRODUCT(--ISNUMBER(SEARCH({"棚板","棚","アングル","ｱﾝｸﾞﾙ","使用不可","ケーブル","ｹｰﾌﾞﾙ","PatchPnael","パッチ","引き出し","引出","ブランク","ﾌﾞﾗﾝｸ","マネージ","ﾏﾈｰｼﾞ","PDU","ONU"},$F124&amp;"")))&gt;0)),"／重量が未記入","")&amp;IF(AND(K124&lt;&gt;"",NOT(ISNUMBER(K124))),"／電圧が数値でない","")&amp;IF(AND(N124&lt;&gt;"",NOT(ISNUMBER(N124))),"／電流が数値でない","")&amp;IF(AND(C124&lt;&gt;"",C124&lt;1),"／開始Uが1未満","")&amp;IF(AND(E124&lt;&gt;"",E124&gt;IFERROR(VLOOKUP(A124,ラック定義!$A:$B,2,FALSE),47)),"／総Uをはみ出す","")&amp;IF(AND(A124&lt;&gt;"",COUNTIF(ラック定義!$A:$A,A124)=0),"／ラックが定義にない","")&amp;IF(AND(SUMPRODUCT((機器台帳!$A$2:$A$400=$A124)*((機器台帳!$B$2:$B$400=$B124)+(機器台帳!$B$2:$B$400="両面")+($B124="両面")&gt;0)*(機器台帳!$C$2:$C$400&lt;=$C124+$D124-1)*(機器台帳!$C$2:$C$400+機器台帳!$D$2:$D$400-1&gt;=$C124)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124&amp;"")))&gt;0)),"／同じUに他の機器(横並びなら正常)","")&amp;IF(AND(M124&lt;&gt;"",COUNTIFS(回路定義!$A:$A,A124,回路定義!$B:$B,M124)=0),"／回路1が定義にない","")&amp;IF(AND(P124&lt;&gt;"",COUNTIFS(回路定義!$A:$A,A124,回路定義!$B:$B,P124)=0),"／回路2が定義にない","")&amp;IF(AND(S124&lt;&gt;"",COUNTIFS(回路定義!$A:$A,A124,回路定義!$B:$B,S124)=0),"／回路3が定義にない",""),2,300)))</f>
        <v/>
      </c>
    </row>
    <row r="125">
      <c r="A125" s="5" t="inlineStr">
        <is>
          <t>E24-S8-4</t>
        </is>
      </c>
      <c r="B125" s="5" t="inlineStr">
        <is>
          <t>背面</t>
        </is>
      </c>
      <c r="C125" s="5" t="n">
        <v>16</v>
      </c>
      <c r="D125" s="5" t="n">
        <v>1</v>
      </c>
      <c r="E125" s="6">
        <f>IF(C125="","",C125+D125-1)</f>
        <v/>
      </c>
      <c r="F125" s="5" t="inlineStr">
        <is>
          <t>棚板</t>
        </is>
      </c>
      <c r="G125" s="5" t="inlineStr"/>
      <c r="H125" s="5" t="inlineStr"/>
      <c r="I125" s="5" t="inlineStr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inlineStr"/>
      <c r="W125" s="5" t="inlineStr"/>
      <c r="X125" s="5" t="inlineStr"/>
      <c r="Y125" s="6">
        <f>COUNT(N125,Q125,T125)</f>
        <v/>
      </c>
      <c r="Z125" s="6">
        <f>IF(OR(K125="",NOT(ISNUMBER(K125))),"",K125*SUM(N125,Q125,T125))</f>
        <v/>
      </c>
      <c r="AA125" s="6">
        <f>IF(OR(Y125=0,N125=""),"",N125/Y125)</f>
        <v/>
      </c>
      <c r="AB125" s="6">
        <f>IF(OR(Y125=0,Q125=""),"",Q125/Y125)</f>
        <v/>
      </c>
      <c r="AC125" s="6">
        <f>IF(OR(Y125=0,T125=""),"",T125/Y125)</f>
        <v/>
      </c>
      <c r="AD125" s="6">
        <f>IF(F125="","",IF((IF(AND(Y125=0,NOT(SUMPRODUCT(--ISNUMBER(SEARCH({"棚板","棚","アングル","ｱﾝｸﾞﾙ","使用不可","ケーブル","ｹｰﾌﾞﾙ","PatchPnael","パッチ","引き出し","引出","ブランク","ﾌﾞﾗﾝｸ","マネージ","ﾏﾈｰｼﾞ","PDU","ONU"},$F125&amp;"")))&gt;0),NOT(SUMPRODUCT(--ISNUMBER(SEARCH({"電源オフ","未投入","停止","未使用","撤去"},$X125&amp;"")))&gt;0)),"／電力が未記入","")&amp;IF(AND(NOT(ISNUMBER(J125)),NOT(SUMPRODUCT(--ISNUMBER(SEARCH({"棚板","棚","アングル","ｱﾝｸﾞﾙ","使用不可","ケーブル","ｹｰﾌﾞﾙ","PatchPnael","パッチ","引き出し","引出","ブランク","ﾌﾞﾗﾝｸ","マネージ","ﾏﾈｰｼﾞ","PDU","ONU"},$F125&amp;"")))&gt;0)),"／重量が未記入","")&amp;IF(AND(K125&lt;&gt;"",NOT(ISNUMBER(K125))),"／電圧が数値でない","")&amp;IF(AND(N125&lt;&gt;"",NOT(ISNUMBER(N125))),"／電流が数値でない","")&amp;IF(AND(C125&lt;&gt;"",C125&lt;1),"／開始Uが1未満","")&amp;IF(AND(E125&lt;&gt;"",E125&gt;IFERROR(VLOOKUP(A125,ラック定義!$A:$B,2,FALSE),47)),"／総Uをはみ出す","")&amp;IF(AND(A125&lt;&gt;"",COUNTIF(ラック定義!$A:$A,A125)=0),"／ラックが定義にない","")&amp;IF(AND(SUMPRODUCT((機器台帳!$A$2:$A$400=$A125)*((機器台帳!$B$2:$B$400=$B125)+(機器台帳!$B$2:$B$400="両面")+($B125="両面")&gt;0)*(機器台帳!$C$2:$C$400&lt;=$C125+$D125-1)*(機器台帳!$C$2:$C$400+機器台帳!$D$2:$D$400-1&gt;=$C125)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125&amp;"")))&gt;0)),"／同じUに他の機器(横並びなら正常)","")&amp;IF(AND(M125&lt;&gt;"",COUNTIFS(回路定義!$A:$A,A125,回路定義!$B:$B,M125)=0),"／回路1が定義にない","")&amp;IF(AND(P125&lt;&gt;"",COUNTIFS(回路定義!$A:$A,A125,回路定義!$B:$B,P125)=0),"／回路2が定義にない","")&amp;IF(AND(S125&lt;&gt;"",COUNTIFS(回路定義!$A:$A,A125,回路定義!$B:$B,S125)=0),"／回路3が定義にない",""))="","",MID(IF(AND(Y125=0,NOT(SUMPRODUCT(--ISNUMBER(SEARCH({"棚板","棚","アングル","ｱﾝｸﾞﾙ","使用不可","ケーブル","ｹｰﾌﾞﾙ","PatchPnael","パッチ","引き出し","引出","ブランク","ﾌﾞﾗﾝｸ","マネージ","ﾏﾈｰｼﾞ","PDU","ONU"},$F125&amp;"")))&gt;0),NOT(SUMPRODUCT(--ISNUMBER(SEARCH({"電源オフ","未投入","停止","未使用","撤去"},$X125&amp;"")))&gt;0)),"／電力が未記入","")&amp;IF(AND(NOT(ISNUMBER(J125)),NOT(SUMPRODUCT(--ISNUMBER(SEARCH({"棚板","棚","アングル","ｱﾝｸﾞﾙ","使用不可","ケーブル","ｹｰﾌﾞﾙ","PatchPnael","パッチ","引き出し","引出","ブランク","ﾌﾞﾗﾝｸ","マネージ","ﾏﾈｰｼﾞ","PDU","ONU"},$F125&amp;"")))&gt;0)),"／重量が未記入","")&amp;IF(AND(K125&lt;&gt;"",NOT(ISNUMBER(K125))),"／電圧が数値でない","")&amp;IF(AND(N125&lt;&gt;"",NOT(ISNUMBER(N125))),"／電流が数値でない","")&amp;IF(AND(C125&lt;&gt;"",C125&lt;1),"／開始Uが1未満","")&amp;IF(AND(E125&lt;&gt;"",E125&gt;IFERROR(VLOOKUP(A125,ラック定義!$A:$B,2,FALSE),47)),"／総Uをはみ出す","")&amp;IF(AND(A125&lt;&gt;"",COUNTIF(ラック定義!$A:$A,A125)=0),"／ラックが定義にない","")&amp;IF(AND(SUMPRODUCT((機器台帳!$A$2:$A$400=$A125)*((機器台帳!$B$2:$B$400=$B125)+(機器台帳!$B$2:$B$400="両面")+($B125="両面")&gt;0)*(機器台帳!$C$2:$C$400&lt;=$C125+$D125-1)*(機器台帳!$C$2:$C$400+機器台帳!$D$2:$D$400-1&gt;=$C125)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125&amp;"")))&gt;0)),"／同じUに他の機器(横並びなら正常)","")&amp;IF(AND(M125&lt;&gt;"",COUNTIFS(回路定義!$A:$A,A125,回路定義!$B:$B,M125)=0),"／回路1が定義にない","")&amp;IF(AND(P125&lt;&gt;"",COUNTIFS(回路定義!$A:$A,A125,回路定義!$B:$B,P125)=0),"／回路2が定義にない","")&amp;IF(AND(S125&lt;&gt;"",COUNTIFS(回路定義!$A:$A,A125,回路定義!$B:$B,S125)=0),"／回路3が定義にない",""),2,300)))</f>
        <v/>
      </c>
    </row>
    <row r="126">
      <c r="A126" s="5" t="inlineStr">
        <is>
          <t>E24-S8-4</t>
        </is>
      </c>
      <c r="B126" s="5" t="inlineStr">
        <is>
          <t>前面</t>
        </is>
      </c>
      <c r="C126" s="5" t="n">
        <v>15</v>
      </c>
      <c r="D126" s="5" t="n">
        <v>1</v>
      </c>
      <c r="E126" s="6">
        <f>IF(C126="","",C126+D126-1)</f>
        <v/>
      </c>
      <c r="F126" s="5" t="inlineStr">
        <is>
          <t>要確認: 原本 行36 の電力</t>
        </is>
      </c>
      <c r="G126" s="5" t="inlineStr"/>
      <c r="H126" s="5" t="inlineStr">
        <is>
          <t>検証System</t>
        </is>
      </c>
      <c r="I126" s="5" t="inlineStr">
        <is>
          <t>サーバ</t>
        </is>
      </c>
      <c r="J126" s="5" t="n">
        <v>17.2</v>
      </c>
      <c r="K126" s="5" t="n">
        <v>100</v>
      </c>
      <c r="L126" s="5" t="n">
        <v>1</v>
      </c>
      <c r="M126" s="5" t="inlineStr">
        <is>
          <t>100V 20A （1）</t>
        </is>
      </c>
      <c r="N126" s="5" t="n">
        <v>2.5</v>
      </c>
      <c r="O126" s="5" t="n">
        <v>1</v>
      </c>
      <c r="P126" s="5" t="n"/>
      <c r="Q126" s="5" t="n"/>
      <c r="R126" s="5" t="n"/>
      <c r="S126" s="5" t="n"/>
      <c r="T126" s="5" t="n"/>
      <c r="U126" s="5" t="n"/>
      <c r="V126" s="5" t="inlineStr"/>
      <c r="W126" s="5" t="inlineStr"/>
      <c r="X126" s="5" t="inlineStr">
        <is>
          <t>原本に電力の記入はあるが機器が描かれていない行</t>
        </is>
      </c>
      <c r="Y126" s="6">
        <f>COUNT(N126,Q126,T126)</f>
        <v/>
      </c>
      <c r="Z126" s="6">
        <f>IF(OR(K126="",NOT(ISNUMBER(K126))),"",K126*SUM(N126,Q126,T126))</f>
        <v/>
      </c>
      <c r="AA126" s="6">
        <f>IF(OR(Y126=0,N126=""),"",N126/Y126)</f>
        <v/>
      </c>
      <c r="AB126" s="6">
        <f>IF(OR(Y126=0,Q126=""),"",Q126/Y126)</f>
        <v/>
      </c>
      <c r="AC126" s="6">
        <f>IF(OR(Y126=0,T126=""),"",T126/Y126)</f>
        <v/>
      </c>
      <c r="AD126" s="6">
        <f>IF(F126="","",IF((IF(AND(Y126=0,NOT(SUMPRODUCT(--ISNUMBER(SEARCH({"棚板","棚","アングル","ｱﾝｸﾞﾙ","使用不可","ケーブル","ｹｰﾌﾞﾙ","PatchPnael","パッチ","引き出し","引出","ブランク","ﾌﾞﾗﾝｸ","マネージ","ﾏﾈｰｼﾞ","PDU","ONU"},$F126&amp;"")))&gt;0),NOT(SUMPRODUCT(--ISNUMBER(SEARCH({"電源オフ","未投入","停止","未使用","撤去"},$X126&amp;"")))&gt;0)),"／電力が未記入","")&amp;IF(AND(NOT(ISNUMBER(J126)),NOT(SUMPRODUCT(--ISNUMBER(SEARCH({"棚板","棚","アングル","ｱﾝｸﾞﾙ","使用不可","ケーブル","ｹｰﾌﾞﾙ","PatchPnael","パッチ","引き出し","引出","ブランク","ﾌﾞﾗﾝｸ","マネージ","ﾏﾈｰｼﾞ","PDU","ONU"},$F126&amp;"")))&gt;0)),"／重量が未記入","")&amp;IF(AND(K126&lt;&gt;"",NOT(ISNUMBER(K126))),"／電圧が数値でない","")&amp;IF(AND(N126&lt;&gt;"",NOT(ISNUMBER(N126))),"／電流が数値でない","")&amp;IF(AND(C126&lt;&gt;"",C126&lt;1),"／開始Uが1未満","")&amp;IF(AND(E126&lt;&gt;"",E126&gt;IFERROR(VLOOKUP(A126,ラック定義!$A:$B,2,FALSE),47)),"／総Uをはみ出す","")&amp;IF(AND(A126&lt;&gt;"",COUNTIF(ラック定義!$A:$A,A126)=0),"／ラックが定義にない","")&amp;IF(AND(SUMPRODUCT((機器台帳!$A$2:$A$400=$A126)*((機器台帳!$B$2:$B$400=$B126)+(機器台帳!$B$2:$B$400="両面")+($B126="両面")&gt;0)*(機器台帳!$C$2:$C$400&lt;=$C126+$D126-1)*(機器台帳!$C$2:$C$400+機器台帳!$D$2:$D$400-1&gt;=$C126)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126&amp;"")))&gt;0)),"／同じUに他の機器(横並びなら正常)","")&amp;IF(AND(M126&lt;&gt;"",COUNTIFS(回路定義!$A:$A,A126,回路定義!$B:$B,M126)=0),"／回路1が定義にない","")&amp;IF(AND(P126&lt;&gt;"",COUNTIFS(回路定義!$A:$A,A126,回路定義!$B:$B,P126)=0),"／回路2が定義にない","")&amp;IF(AND(S126&lt;&gt;"",COUNTIFS(回路定義!$A:$A,A126,回路定義!$B:$B,S126)=0),"／回路3が定義にない",""))="","",MID(IF(AND(Y126=0,NOT(SUMPRODUCT(--ISNUMBER(SEARCH({"棚板","棚","アングル","ｱﾝｸﾞﾙ","使用不可","ケーブル","ｹｰﾌﾞﾙ","PatchPnael","パッチ","引き出し","引出","ブランク","ﾌﾞﾗﾝｸ","マネージ","ﾏﾈｰｼﾞ","PDU","ONU"},$F126&amp;"")))&gt;0),NOT(SUMPRODUCT(--ISNUMBER(SEARCH({"電源オフ","未投入","停止","未使用","撤去"},$X126&amp;"")))&gt;0)),"／電力が未記入","")&amp;IF(AND(NOT(ISNUMBER(J126)),NOT(SUMPRODUCT(--ISNUMBER(SEARCH({"棚板","棚","アングル","ｱﾝｸﾞﾙ","使用不可","ケーブル","ｹｰﾌﾞﾙ","PatchPnael","パッチ","引き出し","引出","ブランク","ﾌﾞﾗﾝｸ","マネージ","ﾏﾈｰｼﾞ","PDU","ONU"},$F126&amp;"")))&gt;0)),"／重量が未記入","")&amp;IF(AND(K126&lt;&gt;"",NOT(ISNUMBER(K126))),"／電圧が数値でない","")&amp;IF(AND(N126&lt;&gt;"",NOT(ISNUMBER(N126))),"／電流が数値でない","")&amp;IF(AND(C126&lt;&gt;"",C126&lt;1),"／開始Uが1未満","")&amp;IF(AND(E126&lt;&gt;"",E126&gt;IFERROR(VLOOKUP(A126,ラック定義!$A:$B,2,FALSE),47)),"／総Uをはみ出す","")&amp;IF(AND(A126&lt;&gt;"",COUNTIF(ラック定義!$A:$A,A126)=0),"／ラックが定義にない","")&amp;IF(AND(SUMPRODUCT((機器台帳!$A$2:$A$400=$A126)*((機器台帳!$B$2:$B$400=$B126)+(機器台帳!$B$2:$B$400="両面")+($B126="両面")&gt;0)*(機器台帳!$C$2:$C$400&lt;=$C126+$D126-1)*(機器台帳!$C$2:$C$400+機器台帳!$D$2:$D$400-1&gt;=$C126)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126&amp;"")))&gt;0)),"／同じUに他の機器(横並びなら正常)","")&amp;IF(AND(M126&lt;&gt;"",COUNTIFS(回路定義!$A:$A,A126,回路定義!$B:$B,M126)=0),"／回路1が定義にない","")&amp;IF(AND(P126&lt;&gt;"",COUNTIFS(回路定義!$A:$A,A126,回路定義!$B:$B,P126)=0),"／回路2が定義にない","")&amp;IF(AND(S126&lt;&gt;"",COUNTIFS(回路定義!$A:$A,A126,回路定義!$B:$B,S126)=0),"／回路3が定義にない",""),2,300)))</f>
        <v/>
      </c>
    </row>
    <row r="127">
      <c r="A127" s="5" t="inlineStr">
        <is>
          <t>E24-S8-4</t>
        </is>
      </c>
      <c r="B127" s="5" t="inlineStr">
        <is>
          <t>背面</t>
        </is>
      </c>
      <c r="C127" s="5" t="n">
        <v>14</v>
      </c>
      <c r="D127" s="5" t="n">
        <v>1</v>
      </c>
      <c r="E127" s="6">
        <f>IF(C127="","",C127+D127-1)</f>
        <v/>
      </c>
      <c r="F127" s="5" t="inlineStr">
        <is>
          <t>棚板</t>
        </is>
      </c>
      <c r="G127" s="5" t="inlineStr"/>
      <c r="H127" s="5" t="inlineStr"/>
      <c r="I127" s="5" t="inlineStr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inlineStr"/>
      <c r="W127" s="5" t="inlineStr"/>
      <c r="X127" s="5" t="inlineStr"/>
      <c r="Y127" s="6">
        <f>COUNT(N127,Q127,T127)</f>
        <v/>
      </c>
      <c r="Z127" s="6">
        <f>IF(OR(K127="",NOT(ISNUMBER(K127))),"",K127*SUM(N127,Q127,T127))</f>
        <v/>
      </c>
      <c r="AA127" s="6">
        <f>IF(OR(Y127=0,N127=""),"",N127/Y127)</f>
        <v/>
      </c>
      <c r="AB127" s="6">
        <f>IF(OR(Y127=0,Q127=""),"",Q127/Y127)</f>
        <v/>
      </c>
      <c r="AC127" s="6">
        <f>IF(OR(Y127=0,T127=""),"",T127/Y127)</f>
        <v/>
      </c>
      <c r="AD127" s="6">
        <f>IF(F127="","",IF((IF(AND(Y127=0,NOT(SUMPRODUCT(--ISNUMBER(SEARCH({"棚板","棚","アングル","ｱﾝｸﾞﾙ","使用不可","ケーブル","ｹｰﾌﾞﾙ","PatchPnael","パッチ","引き出し","引出","ブランク","ﾌﾞﾗﾝｸ","マネージ","ﾏﾈｰｼﾞ","PDU","ONU"},$F127&amp;"")))&gt;0),NOT(SUMPRODUCT(--ISNUMBER(SEARCH({"電源オフ","未投入","停止","未使用","撤去"},$X127&amp;"")))&gt;0)),"／電力が未記入","")&amp;IF(AND(NOT(ISNUMBER(J127)),NOT(SUMPRODUCT(--ISNUMBER(SEARCH({"棚板","棚","アングル","ｱﾝｸﾞﾙ","使用不可","ケーブル","ｹｰﾌﾞﾙ","PatchPnael","パッチ","引き出し","引出","ブランク","ﾌﾞﾗﾝｸ","マネージ","ﾏﾈｰｼﾞ","PDU","ONU"},$F127&amp;"")))&gt;0)),"／重量が未記入","")&amp;IF(AND(K127&lt;&gt;"",NOT(ISNUMBER(K127))),"／電圧が数値でない","")&amp;IF(AND(N127&lt;&gt;"",NOT(ISNUMBER(N127))),"／電流が数値でない","")&amp;IF(AND(C127&lt;&gt;"",C127&lt;1),"／開始Uが1未満","")&amp;IF(AND(E127&lt;&gt;"",E127&gt;IFERROR(VLOOKUP(A127,ラック定義!$A:$B,2,FALSE),47)),"／総Uをはみ出す","")&amp;IF(AND(A127&lt;&gt;"",COUNTIF(ラック定義!$A:$A,A127)=0),"／ラックが定義にない","")&amp;IF(AND(SUMPRODUCT((機器台帳!$A$2:$A$400=$A127)*((機器台帳!$B$2:$B$400=$B127)+(機器台帳!$B$2:$B$400="両面")+($B127="両面")&gt;0)*(機器台帳!$C$2:$C$400&lt;=$C127+$D127-1)*(機器台帳!$C$2:$C$400+機器台帳!$D$2:$D$400-1&gt;=$C127)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127&amp;"")))&gt;0)),"／同じUに他の機器(横並びなら正常)","")&amp;IF(AND(M127&lt;&gt;"",COUNTIFS(回路定義!$A:$A,A127,回路定義!$B:$B,M127)=0),"／回路1が定義にない","")&amp;IF(AND(P127&lt;&gt;"",COUNTIFS(回路定義!$A:$A,A127,回路定義!$B:$B,P127)=0),"／回路2が定義にない","")&amp;IF(AND(S127&lt;&gt;"",COUNTIFS(回路定義!$A:$A,A127,回路定義!$B:$B,S127)=0),"／回路3が定義にない",""))="","",MID(IF(AND(Y127=0,NOT(SUMPRODUCT(--ISNUMBER(SEARCH({"棚板","棚","アングル","ｱﾝｸﾞﾙ","使用不可","ケーブル","ｹｰﾌﾞﾙ","PatchPnael","パッチ","引き出し","引出","ブランク","ﾌﾞﾗﾝｸ","マネージ","ﾏﾈｰｼﾞ","PDU","ONU"},$F127&amp;"")))&gt;0),NOT(SUMPRODUCT(--ISNUMBER(SEARCH({"電源オフ","未投入","停止","未使用","撤去"},$X127&amp;"")))&gt;0)),"／電力が未記入","")&amp;IF(AND(NOT(ISNUMBER(J127)),NOT(SUMPRODUCT(--ISNUMBER(SEARCH({"棚板","棚","アングル","ｱﾝｸﾞﾙ","使用不可","ケーブル","ｹｰﾌﾞﾙ","PatchPnael","パッチ","引き出し","引出","ブランク","ﾌﾞﾗﾝｸ","マネージ","ﾏﾈｰｼﾞ","PDU","ONU"},$F127&amp;"")))&gt;0)),"／重量が未記入","")&amp;IF(AND(K127&lt;&gt;"",NOT(ISNUMBER(K127))),"／電圧が数値でない","")&amp;IF(AND(N127&lt;&gt;"",NOT(ISNUMBER(N127))),"／電流が数値でない","")&amp;IF(AND(C127&lt;&gt;"",C127&lt;1),"／開始Uが1未満","")&amp;IF(AND(E127&lt;&gt;"",E127&gt;IFERROR(VLOOKUP(A127,ラック定義!$A:$B,2,FALSE),47)),"／総Uをはみ出す","")&amp;IF(AND(A127&lt;&gt;"",COUNTIF(ラック定義!$A:$A,A127)=0),"／ラックが定義にない","")&amp;IF(AND(SUMPRODUCT((機器台帳!$A$2:$A$400=$A127)*((機器台帳!$B$2:$B$400=$B127)+(機器台帳!$B$2:$B$400="両面")+($B127="両面")&gt;0)*(機器台帳!$C$2:$C$400&lt;=$C127+$D127-1)*(機器台帳!$C$2:$C$400+機器台帳!$D$2:$D$400-1&gt;=$C127)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127&amp;"")))&gt;0)),"／同じUに他の機器(横並びなら正常)","")&amp;IF(AND(M127&lt;&gt;"",COUNTIFS(回路定義!$A:$A,A127,回路定義!$B:$B,M127)=0),"／回路1が定義にない","")&amp;IF(AND(P127&lt;&gt;"",COUNTIFS(回路定義!$A:$A,A127,回路定義!$B:$B,P127)=0),"／回路2が定義にない","")&amp;IF(AND(S127&lt;&gt;"",COUNTIFS(回路定義!$A:$A,A127,回路定義!$B:$B,S127)=0),"／回路3が定義にない",""),2,300)))</f>
        <v/>
      </c>
    </row>
    <row r="128">
      <c r="A128" s="5" t="inlineStr">
        <is>
          <t>E24-S8-4</t>
        </is>
      </c>
      <c r="B128" s="5" t="inlineStr">
        <is>
          <t>背面</t>
        </is>
      </c>
      <c r="C128" s="5" t="n">
        <v>12</v>
      </c>
      <c r="D128" s="5" t="n">
        <v>1</v>
      </c>
      <c r="E128" s="6">
        <f>IF(C128="","",C128+D128-1)</f>
        <v/>
      </c>
      <c r="F128" s="5" t="inlineStr">
        <is>
          <t>棚板</t>
        </is>
      </c>
      <c r="G128" s="5" t="inlineStr"/>
      <c r="H128" s="5" t="inlineStr"/>
      <c r="I128" s="5" t="inlineStr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inlineStr">
        <is>
          <t>棚</t>
        </is>
      </c>
      <c r="W128" s="5" t="inlineStr">
        <is>
          <t>1本</t>
        </is>
      </c>
      <c r="X128" s="5" t="inlineStr"/>
      <c r="Y128" s="6">
        <f>COUNT(N128,Q128,T128)</f>
        <v/>
      </c>
      <c r="Z128" s="6">
        <f>IF(OR(K128="",NOT(ISNUMBER(K128))),"",K128*SUM(N128,Q128,T128))</f>
        <v/>
      </c>
      <c r="AA128" s="6">
        <f>IF(OR(Y128=0,N128=""),"",N128/Y128)</f>
        <v/>
      </c>
      <c r="AB128" s="6">
        <f>IF(OR(Y128=0,Q128=""),"",Q128/Y128)</f>
        <v/>
      </c>
      <c r="AC128" s="6">
        <f>IF(OR(Y128=0,T128=""),"",T128/Y128)</f>
        <v/>
      </c>
      <c r="AD128" s="6">
        <f>IF(F128="","",IF((IF(AND(Y128=0,NOT(SUMPRODUCT(--ISNUMBER(SEARCH({"棚板","棚","アングル","ｱﾝｸﾞﾙ","使用不可","ケーブル","ｹｰﾌﾞﾙ","PatchPnael","パッチ","引き出し","引出","ブランク","ﾌﾞﾗﾝｸ","マネージ","ﾏﾈｰｼﾞ","PDU","ONU"},$F128&amp;"")))&gt;0),NOT(SUMPRODUCT(--ISNUMBER(SEARCH({"電源オフ","未投入","停止","未使用","撤去"},$X128&amp;"")))&gt;0)),"／電力が未記入","")&amp;IF(AND(NOT(ISNUMBER(J128)),NOT(SUMPRODUCT(--ISNUMBER(SEARCH({"棚板","棚","アングル","ｱﾝｸﾞﾙ","使用不可","ケーブル","ｹｰﾌﾞﾙ","PatchPnael","パッチ","引き出し","引出","ブランク","ﾌﾞﾗﾝｸ","マネージ","ﾏﾈｰｼﾞ","PDU","ONU"},$F128&amp;"")))&gt;0)),"／重量が未記入","")&amp;IF(AND(K128&lt;&gt;"",NOT(ISNUMBER(K128))),"／電圧が数値でない","")&amp;IF(AND(N128&lt;&gt;"",NOT(ISNUMBER(N128))),"／電流が数値でない","")&amp;IF(AND(C128&lt;&gt;"",C128&lt;1),"／開始Uが1未満","")&amp;IF(AND(E128&lt;&gt;"",E128&gt;IFERROR(VLOOKUP(A128,ラック定義!$A:$B,2,FALSE),47)),"／総Uをはみ出す","")&amp;IF(AND(A128&lt;&gt;"",COUNTIF(ラック定義!$A:$A,A128)=0),"／ラックが定義にない","")&amp;IF(AND(SUMPRODUCT((機器台帳!$A$2:$A$400=$A128)*((機器台帳!$B$2:$B$400=$B128)+(機器台帳!$B$2:$B$400="両面")+($B128="両面")&gt;0)*(機器台帳!$C$2:$C$400&lt;=$C128+$D128-1)*(機器台帳!$C$2:$C$400+機器台帳!$D$2:$D$400-1&gt;=$C128)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128&amp;"")))&gt;0)),"／同じUに他の機器(横並びなら正常)","")&amp;IF(AND(M128&lt;&gt;"",COUNTIFS(回路定義!$A:$A,A128,回路定義!$B:$B,M128)=0),"／回路1が定義にない","")&amp;IF(AND(P128&lt;&gt;"",COUNTIFS(回路定義!$A:$A,A128,回路定義!$B:$B,P128)=0),"／回路2が定義にない","")&amp;IF(AND(S128&lt;&gt;"",COUNTIFS(回路定義!$A:$A,A128,回路定義!$B:$B,S128)=0),"／回路3が定義にない",""))="","",MID(IF(AND(Y128=0,NOT(SUMPRODUCT(--ISNUMBER(SEARCH({"棚板","棚","アングル","ｱﾝｸﾞﾙ","使用不可","ケーブル","ｹｰﾌﾞﾙ","PatchPnael","パッチ","引き出し","引出","ブランク","ﾌﾞﾗﾝｸ","マネージ","ﾏﾈｰｼﾞ","PDU","ONU"},$F128&amp;"")))&gt;0),NOT(SUMPRODUCT(--ISNUMBER(SEARCH({"電源オフ","未投入","停止","未使用","撤去"},$X128&amp;"")))&gt;0)),"／電力が未記入","")&amp;IF(AND(NOT(ISNUMBER(J128)),NOT(SUMPRODUCT(--ISNUMBER(SEARCH({"棚板","棚","アングル","ｱﾝｸﾞﾙ","使用不可","ケーブル","ｹｰﾌﾞﾙ","PatchPnael","パッチ","引き出し","引出","ブランク","ﾌﾞﾗﾝｸ","マネージ","ﾏﾈｰｼﾞ","PDU","ONU"},$F128&amp;"")))&gt;0)),"／重量が未記入","")&amp;IF(AND(K128&lt;&gt;"",NOT(ISNUMBER(K128))),"／電圧が数値でない","")&amp;IF(AND(N128&lt;&gt;"",NOT(ISNUMBER(N128))),"／電流が数値でない","")&amp;IF(AND(C128&lt;&gt;"",C128&lt;1),"／開始Uが1未満","")&amp;IF(AND(E128&lt;&gt;"",E128&gt;IFERROR(VLOOKUP(A128,ラック定義!$A:$B,2,FALSE),47)),"／総Uをはみ出す","")&amp;IF(AND(A128&lt;&gt;"",COUNTIF(ラック定義!$A:$A,A128)=0),"／ラックが定義にない","")&amp;IF(AND(SUMPRODUCT((機器台帳!$A$2:$A$400=$A128)*((機器台帳!$B$2:$B$400=$B128)+(機器台帳!$B$2:$B$400="両面")+($B128="両面")&gt;0)*(機器台帳!$C$2:$C$400&lt;=$C128+$D128-1)*(機器台帳!$C$2:$C$400+機器台帳!$D$2:$D$400-1&gt;=$C128)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128&amp;"")))&gt;0)),"／同じUに他の機器(横並びなら正常)","")&amp;IF(AND(M128&lt;&gt;"",COUNTIFS(回路定義!$A:$A,A128,回路定義!$B:$B,M128)=0),"／回路1が定義にない","")&amp;IF(AND(P128&lt;&gt;"",COUNTIFS(回路定義!$A:$A,A128,回路定義!$B:$B,P128)=0),"／回路2が定義にない","")&amp;IF(AND(S128&lt;&gt;"",COUNTIFS(回路定義!$A:$A,A128,回路定義!$B:$B,S128)=0),"／回路3が定義にない",""),2,300)))</f>
        <v/>
      </c>
    </row>
    <row r="129">
      <c r="A129" s="5" t="inlineStr">
        <is>
          <t>E24-S8-4</t>
        </is>
      </c>
      <c r="B129" s="5" t="inlineStr">
        <is>
          <t>前面</t>
        </is>
      </c>
      <c r="C129" s="5" t="n">
        <v>7</v>
      </c>
      <c r="D129" s="5" t="n">
        <v>1</v>
      </c>
      <c r="E129" s="6">
        <f>IF(C129="","",C129+D129-1)</f>
        <v/>
      </c>
      <c r="F129" s="5" t="inlineStr">
        <is>
          <t>要確認: 原本 行44 の電力</t>
        </is>
      </c>
      <c r="G129" s="5" t="inlineStr"/>
      <c r="H129" s="5" t="inlineStr">
        <is>
          <t>検証System</t>
        </is>
      </c>
      <c r="I129" s="5" t="inlineStr">
        <is>
          <t>スイッチ</t>
        </is>
      </c>
      <c r="J129" s="5" t="n">
        <v>8.6</v>
      </c>
      <c r="K129" s="5" t="n">
        <v>100</v>
      </c>
      <c r="L129" s="5" t="n">
        <v>1</v>
      </c>
      <c r="M129" s="5" t="inlineStr">
        <is>
          <t>100V 20A （1）</t>
        </is>
      </c>
      <c r="N129" s="5" t="n">
        <v>3.3</v>
      </c>
      <c r="O129" s="5" t="n">
        <v>1</v>
      </c>
      <c r="P129" s="5" t="n"/>
      <c r="Q129" s="5" t="n"/>
      <c r="R129" s="5" t="n"/>
      <c r="S129" s="5" t="n"/>
      <c r="T129" s="5" t="n"/>
      <c r="U129" s="5" t="n"/>
      <c r="V129" s="5" t="inlineStr"/>
      <c r="W129" s="5" t="inlineStr"/>
      <c r="X129" s="5" t="inlineStr">
        <is>
          <t>原本に電力の記入はあるが機器が描かれていない行</t>
        </is>
      </c>
      <c r="Y129" s="6">
        <f>COUNT(N129,Q129,T129)</f>
        <v/>
      </c>
      <c r="Z129" s="6">
        <f>IF(OR(K129="",NOT(ISNUMBER(K129))),"",K129*SUM(N129,Q129,T129))</f>
        <v/>
      </c>
      <c r="AA129" s="6">
        <f>IF(OR(Y129=0,N129=""),"",N129/Y129)</f>
        <v/>
      </c>
      <c r="AB129" s="6">
        <f>IF(OR(Y129=0,Q129=""),"",Q129/Y129)</f>
        <v/>
      </c>
      <c r="AC129" s="6">
        <f>IF(OR(Y129=0,T129=""),"",T129/Y129)</f>
        <v/>
      </c>
      <c r="AD129" s="6">
        <f>IF(F129="","",IF((IF(AND(Y129=0,NOT(SUMPRODUCT(--ISNUMBER(SEARCH({"棚板","棚","アングル","ｱﾝｸﾞﾙ","使用不可","ケーブル","ｹｰﾌﾞﾙ","PatchPnael","パッチ","引き出し","引出","ブランク","ﾌﾞﾗﾝｸ","マネージ","ﾏﾈｰｼﾞ","PDU","ONU"},$F129&amp;"")))&gt;0),NOT(SUMPRODUCT(--ISNUMBER(SEARCH({"電源オフ","未投入","停止","未使用","撤去"},$X129&amp;"")))&gt;0)),"／電力が未記入","")&amp;IF(AND(NOT(ISNUMBER(J129)),NOT(SUMPRODUCT(--ISNUMBER(SEARCH({"棚板","棚","アングル","ｱﾝｸﾞﾙ","使用不可","ケーブル","ｹｰﾌﾞﾙ","PatchPnael","パッチ","引き出し","引出","ブランク","ﾌﾞﾗﾝｸ","マネージ","ﾏﾈｰｼﾞ","PDU","ONU"},$F129&amp;"")))&gt;0)),"／重量が未記入","")&amp;IF(AND(K129&lt;&gt;"",NOT(ISNUMBER(K129))),"／電圧が数値でない","")&amp;IF(AND(N129&lt;&gt;"",NOT(ISNUMBER(N129))),"／電流が数値でない","")&amp;IF(AND(C129&lt;&gt;"",C129&lt;1),"／開始Uが1未満","")&amp;IF(AND(E129&lt;&gt;"",E129&gt;IFERROR(VLOOKUP(A129,ラック定義!$A:$B,2,FALSE),47)),"／総Uをはみ出す","")&amp;IF(AND(A129&lt;&gt;"",COUNTIF(ラック定義!$A:$A,A129)=0),"／ラックが定義にない","")&amp;IF(AND(SUMPRODUCT((機器台帳!$A$2:$A$400=$A129)*((機器台帳!$B$2:$B$400=$B129)+(機器台帳!$B$2:$B$400="両面")+($B129="両面")&gt;0)*(機器台帳!$C$2:$C$400&lt;=$C129+$D129-1)*(機器台帳!$C$2:$C$400+機器台帳!$D$2:$D$400-1&gt;=$C129)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129&amp;"")))&gt;0)),"／同じUに他の機器(横並びなら正常)","")&amp;IF(AND(M129&lt;&gt;"",COUNTIFS(回路定義!$A:$A,A129,回路定義!$B:$B,M129)=0),"／回路1が定義にない","")&amp;IF(AND(P129&lt;&gt;"",COUNTIFS(回路定義!$A:$A,A129,回路定義!$B:$B,P129)=0),"／回路2が定義にない","")&amp;IF(AND(S129&lt;&gt;"",COUNTIFS(回路定義!$A:$A,A129,回路定義!$B:$B,S129)=0),"／回路3が定義にない",""))="","",MID(IF(AND(Y129=0,NOT(SUMPRODUCT(--ISNUMBER(SEARCH({"棚板","棚","アングル","ｱﾝｸﾞﾙ","使用不可","ケーブル","ｹｰﾌﾞﾙ","PatchPnael","パッチ","引き出し","引出","ブランク","ﾌﾞﾗﾝｸ","マネージ","ﾏﾈｰｼﾞ","PDU","ONU"},$F129&amp;"")))&gt;0),NOT(SUMPRODUCT(--ISNUMBER(SEARCH({"電源オフ","未投入","停止","未使用","撤去"},$X129&amp;"")))&gt;0)),"／電力が未記入","")&amp;IF(AND(NOT(ISNUMBER(J129)),NOT(SUMPRODUCT(--ISNUMBER(SEARCH({"棚板","棚","アングル","ｱﾝｸﾞﾙ","使用不可","ケーブル","ｹｰﾌﾞﾙ","PatchPnael","パッチ","引き出し","引出","ブランク","ﾌﾞﾗﾝｸ","マネージ","ﾏﾈｰｼﾞ","PDU","ONU"},$F129&amp;"")))&gt;0)),"／重量が未記入","")&amp;IF(AND(K129&lt;&gt;"",NOT(ISNUMBER(K129))),"／電圧が数値でない","")&amp;IF(AND(N129&lt;&gt;"",NOT(ISNUMBER(N129))),"／電流が数値でない","")&amp;IF(AND(C129&lt;&gt;"",C129&lt;1),"／開始Uが1未満","")&amp;IF(AND(E129&lt;&gt;"",E129&gt;IFERROR(VLOOKUP(A129,ラック定義!$A:$B,2,FALSE),47)),"／総Uをはみ出す","")&amp;IF(AND(A129&lt;&gt;"",COUNTIF(ラック定義!$A:$A,A129)=0),"／ラックが定義にない","")&amp;IF(AND(SUMPRODUCT((機器台帳!$A$2:$A$400=$A129)*((機器台帳!$B$2:$B$400=$B129)+(機器台帳!$B$2:$B$400="両面")+($B129="両面")&gt;0)*(機器台帳!$C$2:$C$400&lt;=$C129+$D129-1)*(機器台帳!$C$2:$C$400+機器台帳!$D$2:$D$400-1&gt;=$C129)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129&amp;"")))&gt;0)),"／同じUに他の機器(横並びなら正常)","")&amp;IF(AND(M129&lt;&gt;"",COUNTIFS(回路定義!$A:$A,A129,回路定義!$B:$B,M129)=0),"／回路1が定義にない","")&amp;IF(AND(P129&lt;&gt;"",COUNTIFS(回路定義!$A:$A,A129,回路定義!$B:$B,P129)=0),"／回路2が定義にない","")&amp;IF(AND(S129&lt;&gt;"",COUNTIFS(回路定義!$A:$A,A129,回路定義!$B:$B,S129)=0),"／回路3が定義にない",""),2,300)))</f>
        <v/>
      </c>
    </row>
    <row r="130">
      <c r="A130" s="5" t="inlineStr">
        <is>
          <t>E24-S8-5</t>
        </is>
      </c>
      <c r="B130" s="5" t="inlineStr">
        <is>
          <t>両面</t>
        </is>
      </c>
      <c r="C130" s="5" t="n">
        <v>33</v>
      </c>
      <c r="D130" s="5" t="n">
        <v>1</v>
      </c>
      <c r="E130" s="6">
        <f>IF(C130="","",C130+D130-1)</f>
        <v/>
      </c>
      <c r="F130" s="5" t="inlineStr">
        <is>
          <t>Catalyst9300</t>
        </is>
      </c>
      <c r="G130" s="5" t="inlineStr">
        <is>
          <t>H1808621</t>
        </is>
      </c>
      <c r="H130" s="5" t="inlineStr"/>
      <c r="I130" s="5" t="inlineStr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inlineStr"/>
      <c r="W130" s="5" t="inlineStr"/>
      <c r="X130" s="5" t="inlineStr"/>
      <c r="Y130" s="6">
        <f>COUNT(N130,Q130,T130)</f>
        <v/>
      </c>
      <c r="Z130" s="6">
        <f>IF(OR(K130="",NOT(ISNUMBER(K130))),"",K130*SUM(N130,Q130,T130))</f>
        <v/>
      </c>
      <c r="AA130" s="6">
        <f>IF(OR(Y130=0,N130=""),"",N130/Y130)</f>
        <v/>
      </c>
      <c r="AB130" s="6">
        <f>IF(OR(Y130=0,Q130=""),"",Q130/Y130)</f>
        <v/>
      </c>
      <c r="AC130" s="6">
        <f>IF(OR(Y130=0,T130=""),"",T130/Y130)</f>
        <v/>
      </c>
      <c r="AD130" s="6">
        <f>IF(F130="","",IF((IF(AND(Y130=0,NOT(SUMPRODUCT(--ISNUMBER(SEARCH({"棚板","棚","アングル","ｱﾝｸﾞﾙ","使用不可","ケーブル","ｹｰﾌﾞﾙ","PatchPnael","パッチ","引き出し","引出","ブランク","ﾌﾞﾗﾝｸ","マネージ","ﾏﾈｰｼﾞ","PDU","ONU"},$F130&amp;"")))&gt;0),NOT(SUMPRODUCT(--ISNUMBER(SEARCH({"電源オフ","未投入","停止","未使用","撤去"},$X130&amp;"")))&gt;0)),"／電力が未記入","")&amp;IF(AND(NOT(ISNUMBER(J130)),NOT(SUMPRODUCT(--ISNUMBER(SEARCH({"棚板","棚","アングル","ｱﾝｸﾞﾙ","使用不可","ケーブル","ｹｰﾌﾞﾙ","PatchPnael","パッチ","引き出し","引出","ブランク","ﾌﾞﾗﾝｸ","マネージ","ﾏﾈｰｼﾞ","PDU","ONU"},$F130&amp;"")))&gt;0)),"／重量が未記入","")&amp;IF(AND(K130&lt;&gt;"",NOT(ISNUMBER(K130))),"／電圧が数値でない","")&amp;IF(AND(N130&lt;&gt;"",NOT(ISNUMBER(N130))),"／電流が数値でない","")&amp;IF(AND(C130&lt;&gt;"",C130&lt;1),"／開始Uが1未満","")&amp;IF(AND(E130&lt;&gt;"",E130&gt;IFERROR(VLOOKUP(A130,ラック定義!$A:$B,2,FALSE),47)),"／総Uをはみ出す","")&amp;IF(AND(A130&lt;&gt;"",COUNTIF(ラック定義!$A:$A,A130)=0),"／ラックが定義にない","")&amp;IF(AND(SUMPRODUCT((機器台帳!$A$2:$A$400=$A130)*((機器台帳!$B$2:$B$400=$B130)+(機器台帳!$B$2:$B$400="両面")+($B130="両面")&gt;0)*(機器台帳!$C$2:$C$400&lt;=$C130+$D130-1)*(機器台帳!$C$2:$C$400+機器台帳!$D$2:$D$400-1&gt;=$C130)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130&amp;"")))&gt;0)),"／同じUに他の機器(横並びなら正常)","")&amp;IF(AND(M130&lt;&gt;"",COUNTIFS(回路定義!$A:$A,A130,回路定義!$B:$B,M130)=0),"／回路1が定義にない","")&amp;IF(AND(P130&lt;&gt;"",COUNTIFS(回路定義!$A:$A,A130,回路定義!$B:$B,P130)=0),"／回路2が定義にない","")&amp;IF(AND(S130&lt;&gt;"",COUNTIFS(回路定義!$A:$A,A130,回路定義!$B:$B,S130)=0),"／回路3が定義にない",""))="","",MID(IF(AND(Y130=0,NOT(SUMPRODUCT(--ISNUMBER(SEARCH({"棚板","棚","アングル","ｱﾝｸﾞﾙ","使用不可","ケーブル","ｹｰﾌﾞﾙ","PatchPnael","パッチ","引き出し","引出","ブランク","ﾌﾞﾗﾝｸ","マネージ","ﾏﾈｰｼﾞ","PDU","ONU"},$F130&amp;"")))&gt;0),NOT(SUMPRODUCT(--ISNUMBER(SEARCH({"電源オフ","未投入","停止","未使用","撤去"},$X130&amp;"")))&gt;0)),"／電力が未記入","")&amp;IF(AND(NOT(ISNUMBER(J130)),NOT(SUMPRODUCT(--ISNUMBER(SEARCH({"棚板","棚","アングル","ｱﾝｸﾞﾙ","使用不可","ケーブル","ｹｰﾌﾞﾙ","PatchPnael","パッチ","引き出し","引出","ブランク","ﾌﾞﾗﾝｸ","マネージ","ﾏﾈｰｼﾞ","PDU","ONU"},$F130&amp;"")))&gt;0)),"／重量が未記入","")&amp;IF(AND(K130&lt;&gt;"",NOT(ISNUMBER(K130))),"／電圧が数値でない","")&amp;IF(AND(N130&lt;&gt;"",NOT(ISNUMBER(N130))),"／電流が数値でない","")&amp;IF(AND(C130&lt;&gt;"",C130&lt;1),"／開始Uが1未満","")&amp;IF(AND(E130&lt;&gt;"",E130&gt;IFERROR(VLOOKUP(A130,ラック定義!$A:$B,2,FALSE),47)),"／総Uをはみ出す","")&amp;IF(AND(A130&lt;&gt;"",COUNTIF(ラック定義!$A:$A,A130)=0),"／ラックが定義にない","")&amp;IF(AND(SUMPRODUCT((機器台帳!$A$2:$A$400=$A130)*((機器台帳!$B$2:$B$400=$B130)+(機器台帳!$B$2:$B$400="両面")+($B130="両面")&gt;0)*(機器台帳!$C$2:$C$400&lt;=$C130+$D130-1)*(機器台帳!$C$2:$C$400+機器台帳!$D$2:$D$400-1&gt;=$C130)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130&amp;"")))&gt;0)),"／同じUに他の機器(横並びなら正常)","")&amp;IF(AND(M130&lt;&gt;"",COUNTIFS(回路定義!$A:$A,A130,回路定義!$B:$B,M130)=0),"／回路1が定義にない","")&amp;IF(AND(P130&lt;&gt;"",COUNTIFS(回路定義!$A:$A,A130,回路定義!$B:$B,P130)=0),"／回路2が定義にない","")&amp;IF(AND(S130&lt;&gt;"",COUNTIFS(回路定義!$A:$A,A130,回路定義!$B:$B,S130)=0),"／回路3が定義にない",""),2,300)))</f>
        <v/>
      </c>
    </row>
    <row r="131">
      <c r="A131" s="5" t="inlineStr">
        <is>
          <t>E24-S8-5</t>
        </is>
      </c>
      <c r="B131" s="5" t="inlineStr">
        <is>
          <t>両面</t>
        </is>
      </c>
      <c r="C131" s="5" t="n">
        <v>32</v>
      </c>
      <c r="D131" s="5" t="n">
        <v>1</v>
      </c>
      <c r="E131" s="6">
        <f>IF(C131="","",C131+D131-1)</f>
        <v/>
      </c>
      <c r="F131" s="5" t="inlineStr">
        <is>
          <t>S4048-ON()</t>
        </is>
      </c>
      <c r="G131" s="5" t="inlineStr"/>
      <c r="H131" s="5" t="inlineStr"/>
      <c r="I131" s="5" t="inlineStr"/>
      <c r="J131" s="5" t="n">
        <v>24</v>
      </c>
      <c r="K131" s="5" t="n">
        <v>100</v>
      </c>
      <c r="L131" s="5" t="n">
        <v>1</v>
      </c>
      <c r="M131" s="5" t="inlineStr">
        <is>
          <t>100V 20A （2）</t>
        </is>
      </c>
      <c r="N131" s="5" t="n">
        <v>4</v>
      </c>
      <c r="O131" s="5" t="n">
        <v>1</v>
      </c>
      <c r="P131" s="5" t="n"/>
      <c r="Q131" s="5" t="n"/>
      <c r="R131" s="5" t="n"/>
      <c r="S131" s="5" t="n"/>
      <c r="T131" s="5" t="n"/>
      <c r="U131" s="5" t="n"/>
      <c r="V131" s="5" t="inlineStr">
        <is>
          <t>〇</t>
        </is>
      </c>
      <c r="W131" s="5" t="inlineStr"/>
      <c r="X131" s="5" t="inlineStr"/>
      <c r="Y131" s="6">
        <f>COUNT(N131,Q131,T131)</f>
        <v/>
      </c>
      <c r="Z131" s="6">
        <f>IF(OR(K131="",NOT(ISNUMBER(K131))),"",K131*SUM(N131,Q131,T131))</f>
        <v/>
      </c>
      <c r="AA131" s="6">
        <f>IF(OR(Y131=0,N131=""),"",N131/Y131)</f>
        <v/>
      </c>
      <c r="AB131" s="6">
        <f>IF(OR(Y131=0,Q131=""),"",Q131/Y131)</f>
        <v/>
      </c>
      <c r="AC131" s="6">
        <f>IF(OR(Y131=0,T131=""),"",T131/Y131)</f>
        <v/>
      </c>
      <c r="AD131" s="6">
        <f>IF(F131="","",IF((IF(AND(Y131=0,NOT(SUMPRODUCT(--ISNUMBER(SEARCH({"棚板","棚","アングル","ｱﾝｸﾞﾙ","使用不可","ケーブル","ｹｰﾌﾞﾙ","PatchPnael","パッチ","引き出し","引出","ブランク","ﾌﾞﾗﾝｸ","マネージ","ﾏﾈｰｼﾞ","PDU","ONU"},$F131&amp;"")))&gt;0),NOT(SUMPRODUCT(--ISNUMBER(SEARCH({"電源オフ","未投入","停止","未使用","撤去"},$X131&amp;"")))&gt;0)),"／電力が未記入","")&amp;IF(AND(NOT(ISNUMBER(J131)),NOT(SUMPRODUCT(--ISNUMBER(SEARCH({"棚板","棚","アングル","ｱﾝｸﾞﾙ","使用不可","ケーブル","ｹｰﾌﾞﾙ","PatchPnael","パッチ","引き出し","引出","ブランク","ﾌﾞﾗﾝｸ","マネージ","ﾏﾈｰｼﾞ","PDU","ONU"},$F131&amp;"")))&gt;0)),"／重量が未記入","")&amp;IF(AND(K131&lt;&gt;"",NOT(ISNUMBER(K131))),"／電圧が数値でない","")&amp;IF(AND(N131&lt;&gt;"",NOT(ISNUMBER(N131))),"／電流が数値でない","")&amp;IF(AND(C131&lt;&gt;"",C131&lt;1),"／開始Uが1未満","")&amp;IF(AND(E131&lt;&gt;"",E131&gt;IFERROR(VLOOKUP(A131,ラック定義!$A:$B,2,FALSE),47)),"／総Uをはみ出す","")&amp;IF(AND(A131&lt;&gt;"",COUNTIF(ラック定義!$A:$A,A131)=0),"／ラックが定義にない","")&amp;IF(AND(SUMPRODUCT((機器台帳!$A$2:$A$400=$A131)*((機器台帳!$B$2:$B$400=$B131)+(機器台帳!$B$2:$B$400="両面")+($B131="両面")&gt;0)*(機器台帳!$C$2:$C$400&lt;=$C131+$D131-1)*(機器台帳!$C$2:$C$400+機器台帳!$D$2:$D$400-1&gt;=$C131)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131&amp;"")))&gt;0)),"／同じUに他の機器(横並びなら正常)","")&amp;IF(AND(M131&lt;&gt;"",COUNTIFS(回路定義!$A:$A,A131,回路定義!$B:$B,M131)=0),"／回路1が定義にない","")&amp;IF(AND(P131&lt;&gt;"",COUNTIFS(回路定義!$A:$A,A131,回路定義!$B:$B,P131)=0),"／回路2が定義にない","")&amp;IF(AND(S131&lt;&gt;"",COUNTIFS(回路定義!$A:$A,A131,回路定義!$B:$B,S131)=0),"／回路3が定義にない",""))="","",MID(IF(AND(Y131=0,NOT(SUMPRODUCT(--ISNUMBER(SEARCH({"棚板","棚","アングル","ｱﾝｸﾞﾙ","使用不可","ケーブル","ｹｰﾌﾞﾙ","PatchPnael","パッチ","引き出し","引出","ブランク","ﾌﾞﾗﾝｸ","マネージ","ﾏﾈｰｼﾞ","PDU","ONU"},$F131&amp;"")))&gt;0),NOT(SUMPRODUCT(--ISNUMBER(SEARCH({"電源オフ","未投入","停止","未使用","撤去"},$X131&amp;"")))&gt;0)),"／電力が未記入","")&amp;IF(AND(NOT(ISNUMBER(J131)),NOT(SUMPRODUCT(--ISNUMBER(SEARCH({"棚板","棚","アングル","ｱﾝｸﾞﾙ","使用不可","ケーブル","ｹｰﾌﾞﾙ","PatchPnael","パッチ","引き出し","引出","ブランク","ﾌﾞﾗﾝｸ","マネージ","ﾏﾈｰｼﾞ","PDU","ONU"},$F131&amp;"")))&gt;0)),"／重量が未記入","")&amp;IF(AND(K131&lt;&gt;"",NOT(ISNUMBER(K131))),"／電圧が数値でない","")&amp;IF(AND(N131&lt;&gt;"",NOT(ISNUMBER(N131))),"／電流が数値でない","")&amp;IF(AND(C131&lt;&gt;"",C131&lt;1),"／開始Uが1未満","")&amp;IF(AND(E131&lt;&gt;"",E131&gt;IFERROR(VLOOKUP(A131,ラック定義!$A:$B,2,FALSE),47)),"／総Uをはみ出す","")&amp;IF(AND(A131&lt;&gt;"",COUNTIF(ラック定義!$A:$A,A131)=0),"／ラックが定義にない","")&amp;IF(AND(SUMPRODUCT((機器台帳!$A$2:$A$400=$A131)*((機器台帳!$B$2:$B$400=$B131)+(機器台帳!$B$2:$B$400="両面")+($B131="両面")&gt;0)*(機器台帳!$C$2:$C$400&lt;=$C131+$D131-1)*(機器台帳!$C$2:$C$400+機器台帳!$D$2:$D$400-1&gt;=$C131)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131&amp;"")))&gt;0)),"／同じUに他の機器(横並びなら正常)","")&amp;IF(AND(M131&lt;&gt;"",COUNTIFS(回路定義!$A:$A,A131,回路定義!$B:$B,M131)=0),"／回路1が定義にない","")&amp;IF(AND(P131&lt;&gt;"",COUNTIFS(回路定義!$A:$A,A131,回路定義!$B:$B,P131)=0),"／回路2が定義にない","")&amp;IF(AND(S131&lt;&gt;"",COUNTIFS(回路定義!$A:$A,A131,回路定義!$B:$B,S131)=0),"／回路3が定義にない",""),2,300)))</f>
        <v/>
      </c>
    </row>
    <row r="132">
      <c r="A132" s="5" t="inlineStr">
        <is>
          <t>E24-S8-5</t>
        </is>
      </c>
      <c r="B132" s="5" t="inlineStr">
        <is>
          <t>両面</t>
        </is>
      </c>
      <c r="C132" s="5" t="n">
        <v>30</v>
      </c>
      <c r="D132" s="5" t="n">
        <v>2</v>
      </c>
      <c r="E132" s="6">
        <f>IF(C132="","",C132+D132-1)</f>
        <v/>
      </c>
      <c r="F132" s="5" t="inlineStr">
        <is>
          <t>S4048-ON()</t>
        </is>
      </c>
      <c r="G132" s="5" t="inlineStr"/>
      <c r="H132" s="5" t="inlineStr"/>
      <c r="I132" s="5" t="inlineStr"/>
      <c r="J132" s="5" t="n">
        <v>8.4</v>
      </c>
      <c r="K132" s="5" t="n">
        <v>100</v>
      </c>
      <c r="L132" s="5" t="n">
        <v>1</v>
      </c>
      <c r="M132" s="5" t="inlineStr">
        <is>
          <t>100V 20A （1）</t>
        </is>
      </c>
      <c r="N132" s="5" t="n">
        <v>1</v>
      </c>
      <c r="O132" s="5" t="n">
        <v>1</v>
      </c>
      <c r="P132" s="5" t="n"/>
      <c r="Q132" s="5" t="n"/>
      <c r="R132" s="5" t="n"/>
      <c r="S132" s="5" t="n"/>
      <c r="T132" s="5" t="n"/>
      <c r="U132" s="5" t="n"/>
      <c r="V132" s="5" t="inlineStr"/>
      <c r="W132" s="5" t="inlineStr"/>
      <c r="X132" s="5" t="inlineStr"/>
      <c r="Y132" s="6">
        <f>COUNT(N132,Q132,T132)</f>
        <v/>
      </c>
      <c r="Z132" s="6">
        <f>IF(OR(K132="",NOT(ISNUMBER(K132))),"",K132*SUM(N132,Q132,T132))</f>
        <v/>
      </c>
      <c r="AA132" s="6">
        <f>IF(OR(Y132=0,N132=""),"",N132/Y132)</f>
        <v/>
      </c>
      <c r="AB132" s="6">
        <f>IF(OR(Y132=0,Q132=""),"",Q132/Y132)</f>
        <v/>
      </c>
      <c r="AC132" s="6">
        <f>IF(OR(Y132=0,T132=""),"",T132/Y132)</f>
        <v/>
      </c>
      <c r="AD132" s="6">
        <f>IF(F132="","",IF((IF(AND(Y132=0,NOT(SUMPRODUCT(--ISNUMBER(SEARCH({"棚板","棚","アングル","ｱﾝｸﾞﾙ","使用不可","ケーブル","ｹｰﾌﾞﾙ","PatchPnael","パッチ","引き出し","引出","ブランク","ﾌﾞﾗﾝｸ","マネージ","ﾏﾈｰｼﾞ","PDU","ONU"},$F132&amp;"")))&gt;0),NOT(SUMPRODUCT(--ISNUMBER(SEARCH({"電源オフ","未投入","停止","未使用","撤去"},$X132&amp;"")))&gt;0)),"／電力が未記入","")&amp;IF(AND(NOT(ISNUMBER(J132)),NOT(SUMPRODUCT(--ISNUMBER(SEARCH({"棚板","棚","アングル","ｱﾝｸﾞﾙ","使用不可","ケーブル","ｹｰﾌﾞﾙ","PatchPnael","パッチ","引き出し","引出","ブランク","ﾌﾞﾗﾝｸ","マネージ","ﾏﾈｰｼﾞ","PDU","ONU"},$F132&amp;"")))&gt;0)),"／重量が未記入","")&amp;IF(AND(K132&lt;&gt;"",NOT(ISNUMBER(K132))),"／電圧が数値でない","")&amp;IF(AND(N132&lt;&gt;"",NOT(ISNUMBER(N132))),"／電流が数値でない","")&amp;IF(AND(C132&lt;&gt;"",C132&lt;1),"／開始Uが1未満","")&amp;IF(AND(E132&lt;&gt;"",E132&gt;IFERROR(VLOOKUP(A132,ラック定義!$A:$B,2,FALSE),47)),"／総Uをはみ出す","")&amp;IF(AND(A132&lt;&gt;"",COUNTIF(ラック定義!$A:$A,A132)=0),"／ラックが定義にない","")&amp;IF(AND(SUMPRODUCT((機器台帳!$A$2:$A$400=$A132)*((機器台帳!$B$2:$B$400=$B132)+(機器台帳!$B$2:$B$400="両面")+($B132="両面")&gt;0)*(機器台帳!$C$2:$C$400&lt;=$C132+$D132-1)*(機器台帳!$C$2:$C$400+機器台帳!$D$2:$D$400-1&gt;=$C132)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132&amp;"")))&gt;0)),"／同じUに他の機器(横並びなら正常)","")&amp;IF(AND(M132&lt;&gt;"",COUNTIFS(回路定義!$A:$A,A132,回路定義!$B:$B,M132)=0),"／回路1が定義にない","")&amp;IF(AND(P132&lt;&gt;"",COUNTIFS(回路定義!$A:$A,A132,回路定義!$B:$B,P132)=0),"／回路2が定義にない","")&amp;IF(AND(S132&lt;&gt;"",COUNTIFS(回路定義!$A:$A,A132,回路定義!$B:$B,S132)=0),"／回路3が定義にない",""))="","",MID(IF(AND(Y132=0,NOT(SUMPRODUCT(--ISNUMBER(SEARCH({"棚板","棚","アングル","ｱﾝｸﾞﾙ","使用不可","ケーブル","ｹｰﾌﾞﾙ","PatchPnael","パッチ","引き出し","引出","ブランク","ﾌﾞﾗﾝｸ","マネージ","ﾏﾈｰｼﾞ","PDU","ONU"},$F132&amp;"")))&gt;0),NOT(SUMPRODUCT(--ISNUMBER(SEARCH({"電源オフ","未投入","停止","未使用","撤去"},$X132&amp;"")))&gt;0)),"／電力が未記入","")&amp;IF(AND(NOT(ISNUMBER(J132)),NOT(SUMPRODUCT(--ISNUMBER(SEARCH({"棚板","棚","アングル","ｱﾝｸﾞﾙ","使用不可","ケーブル","ｹｰﾌﾞﾙ","PatchPnael","パッチ","引き出し","引出","ブランク","ﾌﾞﾗﾝｸ","マネージ","ﾏﾈｰｼﾞ","PDU","ONU"},$F132&amp;"")))&gt;0)),"／重量が未記入","")&amp;IF(AND(K132&lt;&gt;"",NOT(ISNUMBER(K132))),"／電圧が数値でない","")&amp;IF(AND(N132&lt;&gt;"",NOT(ISNUMBER(N132))),"／電流が数値でない","")&amp;IF(AND(C132&lt;&gt;"",C132&lt;1),"／開始Uが1未満","")&amp;IF(AND(E132&lt;&gt;"",E132&gt;IFERROR(VLOOKUP(A132,ラック定義!$A:$B,2,FALSE),47)),"／総Uをはみ出す","")&amp;IF(AND(A132&lt;&gt;"",COUNTIF(ラック定義!$A:$A,A132)=0),"／ラックが定義にない","")&amp;IF(AND(SUMPRODUCT((機器台帳!$A$2:$A$400=$A132)*((機器台帳!$B$2:$B$400=$B132)+(機器台帳!$B$2:$B$400="両面")+($B132="両面")&gt;0)*(機器台帳!$C$2:$C$400&lt;=$C132+$D132-1)*(機器台帳!$C$2:$C$400+機器台帳!$D$2:$D$400-1&gt;=$C132)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132&amp;"")))&gt;0)),"／同じUに他の機器(横並びなら正常)","")&amp;IF(AND(M132&lt;&gt;"",COUNTIFS(回路定義!$A:$A,A132,回路定義!$B:$B,M132)=0),"／回路1が定義にない","")&amp;IF(AND(P132&lt;&gt;"",COUNTIFS(回路定義!$A:$A,A132,回路定義!$B:$B,P132)=0),"／回路2が定義にない","")&amp;IF(AND(S132&lt;&gt;"",COUNTIFS(回路定義!$A:$A,A132,回路定義!$B:$B,S132)=0),"／回路3が定義にない",""),2,300)))</f>
        <v/>
      </c>
    </row>
    <row r="133">
      <c r="A133" s="5" t="inlineStr">
        <is>
          <t>E24-S8-5</t>
        </is>
      </c>
      <c r="B133" s="5" t="inlineStr">
        <is>
          <t>両面</t>
        </is>
      </c>
      <c r="C133" s="5" t="n">
        <v>19</v>
      </c>
      <c r="D133" s="5" t="n">
        <v>1</v>
      </c>
      <c r="E133" s="6">
        <f>IF(C133="","",C133+D133-1)</f>
        <v/>
      </c>
      <c r="F133" s="5" t="inlineStr">
        <is>
          <t>XC640</t>
        </is>
      </c>
      <c r="G133" s="5" t="inlineStr">
        <is>
          <t>H1813868</t>
        </is>
      </c>
      <c r="H133" s="5" t="inlineStr"/>
      <c r="I133" s="5" t="inlineStr"/>
      <c r="J133" s="5" t="n">
        <v>21.9</v>
      </c>
      <c r="K133" s="5" t="n">
        <v>100</v>
      </c>
      <c r="L133" s="5" t="n">
        <v>1</v>
      </c>
      <c r="M133" s="5" t="inlineStr">
        <is>
          <t>100V 20A （1）</t>
        </is>
      </c>
      <c r="N133" s="5" t="n">
        <v>2</v>
      </c>
      <c r="O133" s="5" t="n">
        <v>2</v>
      </c>
      <c r="P133" s="5" t="n"/>
      <c r="Q133" s="5" t="n"/>
      <c r="R133" s="5" t="n"/>
      <c r="S133" s="5" t="n"/>
      <c r="T133" s="5" t="n"/>
      <c r="U133" s="5" t="n"/>
      <c r="V133" s="5" t="inlineStr"/>
      <c r="W133" s="5" t="inlineStr"/>
      <c r="X133" s="5" t="inlineStr"/>
      <c r="Y133" s="6">
        <f>COUNT(N133,Q133,T133)</f>
        <v/>
      </c>
      <c r="Z133" s="6">
        <f>IF(OR(K133="",NOT(ISNUMBER(K133))),"",K133*SUM(N133,Q133,T133))</f>
        <v/>
      </c>
      <c r="AA133" s="6">
        <f>IF(OR(Y133=0,N133=""),"",N133/Y133)</f>
        <v/>
      </c>
      <c r="AB133" s="6">
        <f>IF(OR(Y133=0,Q133=""),"",Q133/Y133)</f>
        <v/>
      </c>
      <c r="AC133" s="6">
        <f>IF(OR(Y133=0,T133=""),"",T133/Y133)</f>
        <v/>
      </c>
      <c r="AD133" s="6">
        <f>IF(F133="","",IF((IF(AND(Y133=0,NOT(SUMPRODUCT(--ISNUMBER(SEARCH({"棚板","棚","アングル","ｱﾝｸﾞﾙ","使用不可","ケーブル","ｹｰﾌﾞﾙ","PatchPnael","パッチ","引き出し","引出","ブランク","ﾌﾞﾗﾝｸ","マネージ","ﾏﾈｰｼﾞ","PDU","ONU"},$F133&amp;"")))&gt;0),NOT(SUMPRODUCT(--ISNUMBER(SEARCH({"電源オフ","未投入","停止","未使用","撤去"},$X133&amp;"")))&gt;0)),"／電力が未記入","")&amp;IF(AND(NOT(ISNUMBER(J133)),NOT(SUMPRODUCT(--ISNUMBER(SEARCH({"棚板","棚","アングル","ｱﾝｸﾞﾙ","使用不可","ケーブル","ｹｰﾌﾞﾙ","PatchPnael","パッチ","引き出し","引出","ブランク","ﾌﾞﾗﾝｸ","マネージ","ﾏﾈｰｼﾞ","PDU","ONU"},$F133&amp;"")))&gt;0)),"／重量が未記入","")&amp;IF(AND(K133&lt;&gt;"",NOT(ISNUMBER(K133))),"／電圧が数値でない","")&amp;IF(AND(N133&lt;&gt;"",NOT(ISNUMBER(N133))),"／電流が数値でない","")&amp;IF(AND(C133&lt;&gt;"",C133&lt;1),"／開始Uが1未満","")&amp;IF(AND(E133&lt;&gt;"",E133&gt;IFERROR(VLOOKUP(A133,ラック定義!$A:$B,2,FALSE),47)),"／総Uをはみ出す","")&amp;IF(AND(A133&lt;&gt;"",COUNTIF(ラック定義!$A:$A,A133)=0),"／ラックが定義にない","")&amp;IF(AND(SUMPRODUCT((機器台帳!$A$2:$A$400=$A133)*((機器台帳!$B$2:$B$400=$B133)+(機器台帳!$B$2:$B$400="両面")+($B133="両面")&gt;0)*(機器台帳!$C$2:$C$400&lt;=$C133+$D133-1)*(機器台帳!$C$2:$C$400+機器台帳!$D$2:$D$400-1&gt;=$C133)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133&amp;"")))&gt;0)),"／同じUに他の機器(横並びなら正常)","")&amp;IF(AND(M133&lt;&gt;"",COUNTIFS(回路定義!$A:$A,A133,回路定義!$B:$B,M133)=0),"／回路1が定義にない","")&amp;IF(AND(P133&lt;&gt;"",COUNTIFS(回路定義!$A:$A,A133,回路定義!$B:$B,P133)=0),"／回路2が定義にない","")&amp;IF(AND(S133&lt;&gt;"",COUNTIFS(回路定義!$A:$A,A133,回路定義!$B:$B,S133)=0),"／回路3が定義にない",""))="","",MID(IF(AND(Y133=0,NOT(SUMPRODUCT(--ISNUMBER(SEARCH({"棚板","棚","アングル","ｱﾝｸﾞﾙ","使用不可","ケーブル","ｹｰﾌﾞﾙ","PatchPnael","パッチ","引き出し","引出","ブランク","ﾌﾞﾗﾝｸ","マネージ","ﾏﾈｰｼﾞ","PDU","ONU"},$F133&amp;"")))&gt;0),NOT(SUMPRODUCT(--ISNUMBER(SEARCH({"電源オフ","未投入","停止","未使用","撤去"},$X133&amp;"")))&gt;0)),"／電力が未記入","")&amp;IF(AND(NOT(ISNUMBER(J133)),NOT(SUMPRODUCT(--ISNUMBER(SEARCH({"棚板","棚","アングル","ｱﾝｸﾞﾙ","使用不可","ケーブル","ｹｰﾌﾞﾙ","PatchPnael","パッチ","引き出し","引出","ブランク","ﾌﾞﾗﾝｸ","マネージ","ﾏﾈｰｼﾞ","PDU","ONU"},$F133&amp;"")))&gt;0)),"／重量が未記入","")&amp;IF(AND(K133&lt;&gt;"",NOT(ISNUMBER(K133))),"／電圧が数値でない","")&amp;IF(AND(N133&lt;&gt;"",NOT(ISNUMBER(N133))),"／電流が数値でない","")&amp;IF(AND(C133&lt;&gt;"",C133&lt;1),"／開始Uが1未満","")&amp;IF(AND(E133&lt;&gt;"",E133&gt;IFERROR(VLOOKUP(A133,ラック定義!$A:$B,2,FALSE),47)),"／総Uをはみ出す","")&amp;IF(AND(A133&lt;&gt;"",COUNTIF(ラック定義!$A:$A,A133)=0),"／ラックが定義にない","")&amp;IF(AND(SUMPRODUCT((機器台帳!$A$2:$A$400=$A133)*((機器台帳!$B$2:$B$400=$B133)+(機器台帳!$B$2:$B$400="両面")+($B133="両面")&gt;0)*(機器台帳!$C$2:$C$400&lt;=$C133+$D133-1)*(機器台帳!$C$2:$C$400+機器台帳!$D$2:$D$400-1&gt;=$C133)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133&amp;"")))&gt;0)),"／同じUに他の機器(横並びなら正常)","")&amp;IF(AND(M133&lt;&gt;"",COUNTIFS(回路定義!$A:$A,A133,回路定義!$B:$B,M133)=0),"／回路1が定義にない","")&amp;IF(AND(P133&lt;&gt;"",COUNTIFS(回路定義!$A:$A,A133,回路定義!$B:$B,P133)=0),"／回路2が定義にない","")&amp;IF(AND(S133&lt;&gt;"",COUNTIFS(回路定義!$A:$A,A133,回路定義!$B:$B,S133)=0),"／回路3が定義にない",""),2,300)))</f>
        <v/>
      </c>
    </row>
    <row r="134">
      <c r="A134" s="5" t="inlineStr">
        <is>
          <t>E24-S8-5</t>
        </is>
      </c>
      <c r="B134" s="5" t="inlineStr">
        <is>
          <t>両面</t>
        </is>
      </c>
      <c r="C134" s="5" t="n">
        <v>18</v>
      </c>
      <c r="D134" s="5" t="n">
        <v>1</v>
      </c>
      <c r="E134" s="6">
        <f>IF(C134="","",C134+D134-1)</f>
        <v/>
      </c>
      <c r="F134" s="5" t="inlineStr">
        <is>
          <t>XC640</t>
        </is>
      </c>
      <c r="G134" s="5" t="inlineStr">
        <is>
          <t>H1813867</t>
        </is>
      </c>
      <c r="H134" s="5" t="inlineStr"/>
      <c r="I134" s="5" t="inlineStr"/>
      <c r="J134" s="5" t="n">
        <v>21.9</v>
      </c>
      <c r="K134" s="5" t="n">
        <v>100</v>
      </c>
      <c r="L134" s="5" t="n">
        <v>1</v>
      </c>
      <c r="M134" s="5" t="inlineStr">
        <is>
          <t>100V 20A （2）</t>
        </is>
      </c>
      <c r="N134" s="5" t="n">
        <v>2</v>
      </c>
      <c r="O134" s="5" t="n">
        <v>2</v>
      </c>
      <c r="P134" s="5" t="n"/>
      <c r="Q134" s="5" t="n"/>
      <c r="R134" s="5" t="n"/>
      <c r="S134" s="5" t="n"/>
      <c r="T134" s="5" t="n"/>
      <c r="U134" s="5" t="n"/>
      <c r="V134" s="5" t="inlineStr"/>
      <c r="W134" s="5" t="inlineStr"/>
      <c r="X134" s="5" t="inlineStr"/>
      <c r="Y134" s="6">
        <f>COUNT(N134,Q134,T134)</f>
        <v/>
      </c>
      <c r="Z134" s="6">
        <f>IF(OR(K134="",NOT(ISNUMBER(K134))),"",K134*SUM(N134,Q134,T134))</f>
        <v/>
      </c>
      <c r="AA134" s="6">
        <f>IF(OR(Y134=0,N134=""),"",N134/Y134)</f>
        <v/>
      </c>
      <c r="AB134" s="6">
        <f>IF(OR(Y134=0,Q134=""),"",Q134/Y134)</f>
        <v/>
      </c>
      <c r="AC134" s="6">
        <f>IF(OR(Y134=0,T134=""),"",T134/Y134)</f>
        <v/>
      </c>
      <c r="AD134" s="6">
        <f>IF(F134="","",IF((IF(AND(Y134=0,NOT(SUMPRODUCT(--ISNUMBER(SEARCH({"棚板","棚","アングル","ｱﾝｸﾞﾙ","使用不可","ケーブル","ｹｰﾌﾞﾙ","PatchPnael","パッチ","引き出し","引出","ブランク","ﾌﾞﾗﾝｸ","マネージ","ﾏﾈｰｼﾞ","PDU","ONU"},$F134&amp;"")))&gt;0),NOT(SUMPRODUCT(--ISNUMBER(SEARCH({"電源オフ","未投入","停止","未使用","撤去"},$X134&amp;"")))&gt;0)),"／電力が未記入","")&amp;IF(AND(NOT(ISNUMBER(J134)),NOT(SUMPRODUCT(--ISNUMBER(SEARCH({"棚板","棚","アングル","ｱﾝｸﾞﾙ","使用不可","ケーブル","ｹｰﾌﾞﾙ","PatchPnael","パッチ","引き出し","引出","ブランク","ﾌﾞﾗﾝｸ","マネージ","ﾏﾈｰｼﾞ","PDU","ONU"},$F134&amp;"")))&gt;0)),"／重量が未記入","")&amp;IF(AND(K134&lt;&gt;"",NOT(ISNUMBER(K134))),"／電圧が数値でない","")&amp;IF(AND(N134&lt;&gt;"",NOT(ISNUMBER(N134))),"／電流が数値でない","")&amp;IF(AND(C134&lt;&gt;"",C134&lt;1),"／開始Uが1未満","")&amp;IF(AND(E134&lt;&gt;"",E134&gt;IFERROR(VLOOKUP(A134,ラック定義!$A:$B,2,FALSE),47)),"／総Uをはみ出す","")&amp;IF(AND(A134&lt;&gt;"",COUNTIF(ラック定義!$A:$A,A134)=0),"／ラックが定義にない","")&amp;IF(AND(SUMPRODUCT((機器台帳!$A$2:$A$400=$A134)*((機器台帳!$B$2:$B$400=$B134)+(機器台帳!$B$2:$B$400="両面")+($B134="両面")&gt;0)*(機器台帳!$C$2:$C$400&lt;=$C134+$D134-1)*(機器台帳!$C$2:$C$400+機器台帳!$D$2:$D$400-1&gt;=$C134)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134&amp;"")))&gt;0)),"／同じUに他の機器(横並びなら正常)","")&amp;IF(AND(M134&lt;&gt;"",COUNTIFS(回路定義!$A:$A,A134,回路定義!$B:$B,M134)=0),"／回路1が定義にない","")&amp;IF(AND(P134&lt;&gt;"",COUNTIFS(回路定義!$A:$A,A134,回路定義!$B:$B,P134)=0),"／回路2が定義にない","")&amp;IF(AND(S134&lt;&gt;"",COUNTIFS(回路定義!$A:$A,A134,回路定義!$B:$B,S134)=0),"／回路3が定義にない",""))="","",MID(IF(AND(Y134=0,NOT(SUMPRODUCT(--ISNUMBER(SEARCH({"棚板","棚","アングル","ｱﾝｸﾞﾙ","使用不可","ケーブル","ｹｰﾌﾞﾙ","PatchPnael","パッチ","引き出し","引出","ブランク","ﾌﾞﾗﾝｸ","マネージ","ﾏﾈｰｼﾞ","PDU","ONU"},$F134&amp;"")))&gt;0),NOT(SUMPRODUCT(--ISNUMBER(SEARCH({"電源オフ","未投入","停止","未使用","撤去"},$X134&amp;"")))&gt;0)),"／電力が未記入","")&amp;IF(AND(NOT(ISNUMBER(J134)),NOT(SUMPRODUCT(--ISNUMBER(SEARCH({"棚板","棚","アングル","ｱﾝｸﾞﾙ","使用不可","ケーブル","ｹｰﾌﾞﾙ","PatchPnael","パッチ","引き出し","引出","ブランク","ﾌﾞﾗﾝｸ","マネージ","ﾏﾈｰｼﾞ","PDU","ONU"},$F134&amp;"")))&gt;0)),"／重量が未記入","")&amp;IF(AND(K134&lt;&gt;"",NOT(ISNUMBER(K134))),"／電圧が数値でない","")&amp;IF(AND(N134&lt;&gt;"",NOT(ISNUMBER(N134))),"／電流が数値でない","")&amp;IF(AND(C134&lt;&gt;"",C134&lt;1),"／開始Uが1未満","")&amp;IF(AND(E134&lt;&gt;"",E134&gt;IFERROR(VLOOKUP(A134,ラック定義!$A:$B,2,FALSE),47)),"／総Uをはみ出す","")&amp;IF(AND(A134&lt;&gt;"",COUNTIF(ラック定義!$A:$A,A134)=0),"／ラックが定義にない","")&amp;IF(AND(SUMPRODUCT((機器台帳!$A$2:$A$400=$A134)*((機器台帳!$B$2:$B$400=$B134)+(機器台帳!$B$2:$B$400="両面")+($B134="両面")&gt;0)*(機器台帳!$C$2:$C$400&lt;=$C134+$D134-1)*(機器台帳!$C$2:$C$400+機器台帳!$D$2:$D$400-1&gt;=$C134)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134&amp;"")))&gt;0)),"／同じUに他の機器(横並びなら正常)","")&amp;IF(AND(M134&lt;&gt;"",COUNTIFS(回路定義!$A:$A,A134,回路定義!$B:$B,M134)=0),"／回路1が定義にない","")&amp;IF(AND(P134&lt;&gt;"",COUNTIFS(回路定義!$A:$A,A134,回路定義!$B:$B,P134)=0),"／回路2が定義にない","")&amp;IF(AND(S134&lt;&gt;"",COUNTIFS(回路定義!$A:$A,A134,回路定義!$B:$B,S134)=0),"／回路3が定義にない",""),2,300)))</f>
        <v/>
      </c>
    </row>
    <row r="135">
      <c r="A135" s="5" t="inlineStr">
        <is>
          <t>E24-S8-5</t>
        </is>
      </c>
      <c r="B135" s="5" t="inlineStr">
        <is>
          <t>両面</t>
        </is>
      </c>
      <c r="C135" s="5" t="n">
        <v>10</v>
      </c>
      <c r="D135" s="5" t="n">
        <v>2</v>
      </c>
      <c r="E135" s="6">
        <f>IF(C135="","",C135+D135-1)</f>
        <v/>
      </c>
      <c r="F135" s="5" t="inlineStr">
        <is>
          <t>PowerProtect DD3300</t>
        </is>
      </c>
      <c r="G135" s="5" t="inlineStr">
        <is>
          <t>H2309516</t>
        </is>
      </c>
      <c r="H135" s="5" t="inlineStr"/>
      <c r="I135" s="5" t="inlineStr">
        <is>
          <t>Storage</t>
        </is>
      </c>
      <c r="J135" s="5" t="n">
        <v>20</v>
      </c>
      <c r="K135" s="5" t="n">
        <v>100</v>
      </c>
      <c r="L135" s="5" t="n">
        <v>2</v>
      </c>
      <c r="M135" s="5" t="inlineStr">
        <is>
          <t>100V 20A （1）</t>
        </is>
      </c>
      <c r="N135" s="5" t="n">
        <v>2</v>
      </c>
      <c r="O135" s="5" t="n">
        <v>2</v>
      </c>
      <c r="P135" s="5" t="n"/>
      <c r="Q135" s="5" t="n"/>
      <c r="R135" s="5" t="n"/>
      <c r="S135" s="5" t="n"/>
      <c r="T135" s="5" t="n"/>
      <c r="U135" s="5" t="n"/>
      <c r="V135" s="5" t="inlineStr"/>
      <c r="W135" s="5" t="inlineStr"/>
      <c r="X135" s="5" t="inlineStr"/>
      <c r="Y135" s="6">
        <f>COUNT(N135,Q135,T135)</f>
        <v/>
      </c>
      <c r="Z135" s="6">
        <f>IF(OR(K135="",NOT(ISNUMBER(K135))),"",K135*SUM(N135,Q135,T135))</f>
        <v/>
      </c>
      <c r="AA135" s="6">
        <f>IF(OR(Y135=0,N135=""),"",N135/Y135)</f>
        <v/>
      </c>
      <c r="AB135" s="6">
        <f>IF(OR(Y135=0,Q135=""),"",Q135/Y135)</f>
        <v/>
      </c>
      <c r="AC135" s="6">
        <f>IF(OR(Y135=0,T135=""),"",T135/Y135)</f>
        <v/>
      </c>
      <c r="AD135" s="6">
        <f>IF(F135="","",IF((IF(AND(Y135=0,NOT(SUMPRODUCT(--ISNUMBER(SEARCH({"棚板","棚","アングル","ｱﾝｸﾞﾙ","使用不可","ケーブル","ｹｰﾌﾞﾙ","PatchPnael","パッチ","引き出し","引出","ブランク","ﾌﾞﾗﾝｸ","マネージ","ﾏﾈｰｼﾞ","PDU","ONU"},$F135&amp;"")))&gt;0),NOT(SUMPRODUCT(--ISNUMBER(SEARCH({"電源オフ","未投入","停止","未使用","撤去"},$X135&amp;"")))&gt;0)),"／電力が未記入","")&amp;IF(AND(NOT(ISNUMBER(J135)),NOT(SUMPRODUCT(--ISNUMBER(SEARCH({"棚板","棚","アングル","ｱﾝｸﾞﾙ","使用不可","ケーブル","ｹｰﾌﾞﾙ","PatchPnael","パッチ","引き出し","引出","ブランク","ﾌﾞﾗﾝｸ","マネージ","ﾏﾈｰｼﾞ","PDU","ONU"},$F135&amp;"")))&gt;0)),"／重量が未記入","")&amp;IF(AND(K135&lt;&gt;"",NOT(ISNUMBER(K135))),"／電圧が数値でない","")&amp;IF(AND(N135&lt;&gt;"",NOT(ISNUMBER(N135))),"／電流が数値でない","")&amp;IF(AND(C135&lt;&gt;"",C135&lt;1),"／開始Uが1未満","")&amp;IF(AND(E135&lt;&gt;"",E135&gt;IFERROR(VLOOKUP(A135,ラック定義!$A:$B,2,FALSE),47)),"／総Uをはみ出す","")&amp;IF(AND(A135&lt;&gt;"",COUNTIF(ラック定義!$A:$A,A135)=0),"／ラックが定義にない","")&amp;IF(AND(SUMPRODUCT((機器台帳!$A$2:$A$400=$A135)*((機器台帳!$B$2:$B$400=$B135)+(機器台帳!$B$2:$B$400="両面")+($B135="両面")&gt;0)*(機器台帳!$C$2:$C$400&lt;=$C135+$D135-1)*(機器台帳!$C$2:$C$400+機器台帳!$D$2:$D$400-1&gt;=$C135)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135&amp;"")))&gt;0)),"／同じUに他の機器(横並びなら正常)","")&amp;IF(AND(M135&lt;&gt;"",COUNTIFS(回路定義!$A:$A,A135,回路定義!$B:$B,M135)=0),"／回路1が定義にない","")&amp;IF(AND(P135&lt;&gt;"",COUNTIFS(回路定義!$A:$A,A135,回路定義!$B:$B,P135)=0),"／回路2が定義にない","")&amp;IF(AND(S135&lt;&gt;"",COUNTIFS(回路定義!$A:$A,A135,回路定義!$B:$B,S135)=0),"／回路3が定義にない",""))="","",MID(IF(AND(Y135=0,NOT(SUMPRODUCT(--ISNUMBER(SEARCH({"棚板","棚","アングル","ｱﾝｸﾞﾙ","使用不可","ケーブル","ｹｰﾌﾞﾙ","PatchPnael","パッチ","引き出し","引出","ブランク","ﾌﾞﾗﾝｸ","マネージ","ﾏﾈｰｼﾞ","PDU","ONU"},$F135&amp;"")))&gt;0),NOT(SUMPRODUCT(--ISNUMBER(SEARCH({"電源オフ","未投入","停止","未使用","撤去"},$X135&amp;"")))&gt;0)),"／電力が未記入","")&amp;IF(AND(NOT(ISNUMBER(J135)),NOT(SUMPRODUCT(--ISNUMBER(SEARCH({"棚板","棚","アングル","ｱﾝｸﾞﾙ","使用不可","ケーブル","ｹｰﾌﾞﾙ","PatchPnael","パッチ","引き出し","引出","ブランク","ﾌﾞﾗﾝｸ","マネージ","ﾏﾈｰｼﾞ","PDU","ONU"},$F135&amp;"")))&gt;0)),"／重量が未記入","")&amp;IF(AND(K135&lt;&gt;"",NOT(ISNUMBER(K135))),"／電圧が数値でない","")&amp;IF(AND(N135&lt;&gt;"",NOT(ISNUMBER(N135))),"／電流が数値でない","")&amp;IF(AND(C135&lt;&gt;"",C135&lt;1),"／開始Uが1未満","")&amp;IF(AND(E135&lt;&gt;"",E135&gt;IFERROR(VLOOKUP(A135,ラック定義!$A:$B,2,FALSE),47)),"／総Uをはみ出す","")&amp;IF(AND(A135&lt;&gt;"",COUNTIF(ラック定義!$A:$A,A135)=0),"／ラックが定義にない","")&amp;IF(AND(SUMPRODUCT((機器台帳!$A$2:$A$400=$A135)*((機器台帳!$B$2:$B$400=$B135)+(機器台帳!$B$2:$B$400="両面")+($B135="両面")&gt;0)*(機器台帳!$C$2:$C$400&lt;=$C135+$D135-1)*(機器台帳!$C$2:$C$400+機器台帳!$D$2:$D$400-1&gt;=$C135)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135&amp;"")))&gt;0)),"／同じUに他の機器(横並びなら正常)","")&amp;IF(AND(M135&lt;&gt;"",COUNTIFS(回路定義!$A:$A,A135,回路定義!$B:$B,M135)=0),"／回路1が定義にない","")&amp;IF(AND(P135&lt;&gt;"",COUNTIFS(回路定義!$A:$A,A135,回路定義!$B:$B,P135)=0),"／回路2が定義にない","")&amp;IF(AND(S135&lt;&gt;"",COUNTIFS(回路定義!$A:$A,A135,回路定義!$B:$B,S135)=0),"／回路3が定義にない",""),2,300)))</f>
        <v/>
      </c>
    </row>
    <row r="136">
      <c r="A136" s="5" t="inlineStr">
        <is>
          <t>E24-S8-5</t>
        </is>
      </c>
      <c r="B136" s="5" t="inlineStr">
        <is>
          <t>両面</t>
        </is>
      </c>
      <c r="C136" s="5" t="n">
        <v>1</v>
      </c>
      <c r="D136" s="5" t="n">
        <v>3</v>
      </c>
      <c r="E136" s="6">
        <f>IF(C136="","",C136+D136-1)</f>
        <v/>
      </c>
      <c r="F136" s="5" t="inlineStr">
        <is>
          <t>使用不可</t>
        </is>
      </c>
      <c r="G136" s="5" t="inlineStr"/>
      <c r="H136" s="5" t="inlineStr"/>
      <c r="I136" s="5" t="inlineStr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inlineStr"/>
      <c r="W136" s="5" t="inlineStr"/>
      <c r="X136" s="5" t="inlineStr"/>
      <c r="Y136" s="6">
        <f>COUNT(N136,Q136,T136)</f>
        <v/>
      </c>
      <c r="Z136" s="6">
        <f>IF(OR(K136="",NOT(ISNUMBER(K136))),"",K136*SUM(N136,Q136,T136))</f>
        <v/>
      </c>
      <c r="AA136" s="6">
        <f>IF(OR(Y136=0,N136=""),"",N136/Y136)</f>
        <v/>
      </c>
      <c r="AB136" s="6">
        <f>IF(OR(Y136=0,Q136=""),"",Q136/Y136)</f>
        <v/>
      </c>
      <c r="AC136" s="6">
        <f>IF(OR(Y136=0,T136=""),"",T136/Y136)</f>
        <v/>
      </c>
      <c r="AD136" s="6">
        <f>IF(F136="","",IF((IF(AND(Y136=0,NOT(SUMPRODUCT(--ISNUMBER(SEARCH({"棚板","棚","アングル","ｱﾝｸﾞﾙ","使用不可","ケーブル","ｹｰﾌﾞﾙ","PatchPnael","パッチ","引き出し","引出","ブランク","ﾌﾞﾗﾝｸ","マネージ","ﾏﾈｰｼﾞ","PDU","ONU"},$F136&amp;"")))&gt;0),NOT(SUMPRODUCT(--ISNUMBER(SEARCH({"電源オフ","未投入","停止","未使用","撤去"},$X136&amp;"")))&gt;0)),"／電力が未記入","")&amp;IF(AND(NOT(ISNUMBER(J136)),NOT(SUMPRODUCT(--ISNUMBER(SEARCH({"棚板","棚","アングル","ｱﾝｸﾞﾙ","使用不可","ケーブル","ｹｰﾌﾞﾙ","PatchPnael","パッチ","引き出し","引出","ブランク","ﾌﾞﾗﾝｸ","マネージ","ﾏﾈｰｼﾞ","PDU","ONU"},$F136&amp;"")))&gt;0)),"／重量が未記入","")&amp;IF(AND(K136&lt;&gt;"",NOT(ISNUMBER(K136))),"／電圧が数値でない","")&amp;IF(AND(N136&lt;&gt;"",NOT(ISNUMBER(N136))),"／電流が数値でない","")&amp;IF(AND(C136&lt;&gt;"",C136&lt;1),"／開始Uが1未満","")&amp;IF(AND(E136&lt;&gt;"",E136&gt;IFERROR(VLOOKUP(A136,ラック定義!$A:$B,2,FALSE),47)),"／総Uをはみ出す","")&amp;IF(AND(A136&lt;&gt;"",COUNTIF(ラック定義!$A:$A,A136)=0),"／ラックが定義にない","")&amp;IF(AND(SUMPRODUCT((機器台帳!$A$2:$A$400=$A136)*((機器台帳!$B$2:$B$400=$B136)+(機器台帳!$B$2:$B$400="両面")+($B136="両面")&gt;0)*(機器台帳!$C$2:$C$400&lt;=$C136+$D136-1)*(機器台帳!$C$2:$C$400+機器台帳!$D$2:$D$400-1&gt;=$C136)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136&amp;"")))&gt;0)),"／同じUに他の機器(横並びなら正常)","")&amp;IF(AND(M136&lt;&gt;"",COUNTIFS(回路定義!$A:$A,A136,回路定義!$B:$B,M136)=0),"／回路1が定義にない","")&amp;IF(AND(P136&lt;&gt;"",COUNTIFS(回路定義!$A:$A,A136,回路定義!$B:$B,P136)=0),"／回路2が定義にない","")&amp;IF(AND(S136&lt;&gt;"",COUNTIFS(回路定義!$A:$A,A136,回路定義!$B:$B,S136)=0),"／回路3が定義にない",""))="","",MID(IF(AND(Y136=0,NOT(SUMPRODUCT(--ISNUMBER(SEARCH({"棚板","棚","アングル","ｱﾝｸﾞﾙ","使用不可","ケーブル","ｹｰﾌﾞﾙ","PatchPnael","パッチ","引き出し","引出","ブランク","ﾌﾞﾗﾝｸ","マネージ","ﾏﾈｰｼﾞ","PDU","ONU"},$F136&amp;"")))&gt;0),NOT(SUMPRODUCT(--ISNUMBER(SEARCH({"電源オフ","未投入","停止","未使用","撤去"},$X136&amp;"")))&gt;0)),"／電力が未記入","")&amp;IF(AND(NOT(ISNUMBER(J136)),NOT(SUMPRODUCT(--ISNUMBER(SEARCH({"棚板","棚","アングル","ｱﾝｸﾞﾙ","使用不可","ケーブル","ｹｰﾌﾞﾙ","PatchPnael","パッチ","引き出し","引出","ブランク","ﾌﾞﾗﾝｸ","マネージ","ﾏﾈｰｼﾞ","PDU","ONU"},$F136&amp;"")))&gt;0)),"／重量が未記入","")&amp;IF(AND(K136&lt;&gt;"",NOT(ISNUMBER(K136))),"／電圧が数値でない","")&amp;IF(AND(N136&lt;&gt;"",NOT(ISNUMBER(N136))),"／電流が数値でない","")&amp;IF(AND(C136&lt;&gt;"",C136&lt;1),"／開始Uが1未満","")&amp;IF(AND(E136&lt;&gt;"",E136&gt;IFERROR(VLOOKUP(A136,ラック定義!$A:$B,2,FALSE),47)),"／総Uをはみ出す","")&amp;IF(AND(A136&lt;&gt;"",COUNTIF(ラック定義!$A:$A,A136)=0),"／ラックが定義にない","")&amp;IF(AND(SUMPRODUCT((機器台帳!$A$2:$A$400=$A136)*((機器台帳!$B$2:$B$400=$B136)+(機器台帳!$B$2:$B$400="両面")+($B136="両面")&gt;0)*(機器台帳!$C$2:$C$400&lt;=$C136+$D136-1)*(機器台帳!$C$2:$C$400+機器台帳!$D$2:$D$400-1&gt;=$C136)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136&amp;"")))&gt;0)),"／同じUに他の機器(横並びなら正常)","")&amp;IF(AND(M136&lt;&gt;"",COUNTIFS(回路定義!$A:$A,A136,回路定義!$B:$B,M136)=0),"／回路1が定義にない","")&amp;IF(AND(P136&lt;&gt;"",COUNTIFS(回路定義!$A:$A,A136,回路定義!$B:$B,P136)=0),"／回路2が定義にない","")&amp;IF(AND(S136&lt;&gt;"",COUNTIFS(回路定義!$A:$A,A136,回路定義!$B:$B,S136)=0),"／回路3が定義にない",""),2,300)))</f>
        <v/>
      </c>
    </row>
    <row r="137">
      <c r="A137" s="5" t="inlineStr">
        <is>
          <t>E24-S8-5</t>
        </is>
      </c>
      <c r="B137" s="5" t="inlineStr">
        <is>
          <t>前面</t>
        </is>
      </c>
      <c r="C137" s="5" t="n">
        <v>47</v>
      </c>
      <c r="D137" s="5" t="n">
        <v>1</v>
      </c>
      <c r="E137" s="6">
        <f>IF(C137="","",C137+D137-1)</f>
        <v/>
      </c>
      <c r="F137" s="5" t="inlineStr">
        <is>
          <t>ｹｰﾌﾞﾙﾏﾈｰｼﾞﾒﾝﾄ</t>
        </is>
      </c>
      <c r="G137" s="5" t="inlineStr"/>
      <c r="H137" s="5" t="inlineStr"/>
      <c r="I137" s="5" t="inlineStr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inlineStr"/>
      <c r="W137" s="5" t="inlineStr"/>
      <c r="X137" s="5" t="inlineStr"/>
      <c r="Y137" s="6">
        <f>COUNT(N137,Q137,T137)</f>
        <v/>
      </c>
      <c r="Z137" s="6">
        <f>IF(OR(K137="",NOT(ISNUMBER(K137))),"",K137*SUM(N137,Q137,T137))</f>
        <v/>
      </c>
      <c r="AA137" s="6">
        <f>IF(OR(Y137=0,N137=""),"",N137/Y137)</f>
        <v/>
      </c>
      <c r="AB137" s="6">
        <f>IF(OR(Y137=0,Q137=""),"",Q137/Y137)</f>
        <v/>
      </c>
      <c r="AC137" s="6">
        <f>IF(OR(Y137=0,T137=""),"",T137/Y137)</f>
        <v/>
      </c>
      <c r="AD137" s="6">
        <f>IF(F137="","",IF((IF(AND(Y137=0,NOT(SUMPRODUCT(--ISNUMBER(SEARCH({"棚板","棚","アングル","ｱﾝｸﾞﾙ","使用不可","ケーブル","ｹｰﾌﾞﾙ","PatchPnael","パッチ","引き出し","引出","ブランク","ﾌﾞﾗﾝｸ","マネージ","ﾏﾈｰｼﾞ","PDU","ONU"},$F137&amp;"")))&gt;0),NOT(SUMPRODUCT(--ISNUMBER(SEARCH({"電源オフ","未投入","停止","未使用","撤去"},$X137&amp;"")))&gt;0)),"／電力が未記入","")&amp;IF(AND(NOT(ISNUMBER(J137)),NOT(SUMPRODUCT(--ISNUMBER(SEARCH({"棚板","棚","アングル","ｱﾝｸﾞﾙ","使用不可","ケーブル","ｹｰﾌﾞﾙ","PatchPnael","パッチ","引き出し","引出","ブランク","ﾌﾞﾗﾝｸ","マネージ","ﾏﾈｰｼﾞ","PDU","ONU"},$F137&amp;"")))&gt;0)),"／重量が未記入","")&amp;IF(AND(K137&lt;&gt;"",NOT(ISNUMBER(K137))),"／電圧が数値でない","")&amp;IF(AND(N137&lt;&gt;"",NOT(ISNUMBER(N137))),"／電流が数値でない","")&amp;IF(AND(C137&lt;&gt;"",C137&lt;1),"／開始Uが1未満","")&amp;IF(AND(E137&lt;&gt;"",E137&gt;IFERROR(VLOOKUP(A137,ラック定義!$A:$B,2,FALSE),47)),"／総Uをはみ出す","")&amp;IF(AND(A137&lt;&gt;"",COUNTIF(ラック定義!$A:$A,A137)=0),"／ラックが定義にない","")&amp;IF(AND(SUMPRODUCT((機器台帳!$A$2:$A$400=$A137)*((機器台帳!$B$2:$B$400=$B137)+(機器台帳!$B$2:$B$400="両面")+($B137="両面")&gt;0)*(機器台帳!$C$2:$C$400&lt;=$C137+$D137-1)*(機器台帳!$C$2:$C$400+機器台帳!$D$2:$D$400-1&gt;=$C137)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137&amp;"")))&gt;0)),"／同じUに他の機器(横並びなら正常)","")&amp;IF(AND(M137&lt;&gt;"",COUNTIFS(回路定義!$A:$A,A137,回路定義!$B:$B,M137)=0),"／回路1が定義にない","")&amp;IF(AND(P137&lt;&gt;"",COUNTIFS(回路定義!$A:$A,A137,回路定義!$B:$B,P137)=0),"／回路2が定義にない","")&amp;IF(AND(S137&lt;&gt;"",COUNTIFS(回路定義!$A:$A,A137,回路定義!$B:$B,S137)=0),"／回路3が定義にない",""))="","",MID(IF(AND(Y137=0,NOT(SUMPRODUCT(--ISNUMBER(SEARCH({"棚板","棚","アングル","ｱﾝｸﾞﾙ","使用不可","ケーブル","ｹｰﾌﾞﾙ","PatchPnael","パッチ","引き出し","引出","ブランク","ﾌﾞﾗﾝｸ","マネージ","ﾏﾈｰｼﾞ","PDU","ONU"},$F137&amp;"")))&gt;0),NOT(SUMPRODUCT(--ISNUMBER(SEARCH({"電源オフ","未投入","停止","未使用","撤去"},$X137&amp;"")))&gt;0)),"／電力が未記入","")&amp;IF(AND(NOT(ISNUMBER(J137)),NOT(SUMPRODUCT(--ISNUMBER(SEARCH({"棚板","棚","アングル","ｱﾝｸﾞﾙ","使用不可","ケーブル","ｹｰﾌﾞﾙ","PatchPnael","パッチ","引き出し","引出","ブランク","ﾌﾞﾗﾝｸ","マネージ","ﾏﾈｰｼﾞ","PDU","ONU"},$F137&amp;"")))&gt;0)),"／重量が未記入","")&amp;IF(AND(K137&lt;&gt;"",NOT(ISNUMBER(K137))),"／電圧が数値でない","")&amp;IF(AND(N137&lt;&gt;"",NOT(ISNUMBER(N137))),"／電流が数値でない","")&amp;IF(AND(C137&lt;&gt;"",C137&lt;1),"／開始Uが1未満","")&amp;IF(AND(E137&lt;&gt;"",E137&gt;IFERROR(VLOOKUP(A137,ラック定義!$A:$B,2,FALSE),47)),"／総Uをはみ出す","")&amp;IF(AND(A137&lt;&gt;"",COUNTIF(ラック定義!$A:$A,A137)=0),"／ラックが定義にない","")&amp;IF(AND(SUMPRODUCT((機器台帳!$A$2:$A$400=$A137)*((機器台帳!$B$2:$B$400=$B137)+(機器台帳!$B$2:$B$400="両面")+($B137="両面")&gt;0)*(機器台帳!$C$2:$C$400&lt;=$C137+$D137-1)*(機器台帳!$C$2:$C$400+機器台帳!$D$2:$D$400-1&gt;=$C137)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137&amp;"")))&gt;0)),"／同じUに他の機器(横並びなら正常)","")&amp;IF(AND(M137&lt;&gt;"",COUNTIFS(回路定義!$A:$A,A137,回路定義!$B:$B,M137)=0),"／回路1が定義にない","")&amp;IF(AND(P137&lt;&gt;"",COUNTIFS(回路定義!$A:$A,A137,回路定義!$B:$B,P137)=0),"／回路2が定義にない","")&amp;IF(AND(S137&lt;&gt;"",COUNTIFS(回路定義!$A:$A,A137,回路定義!$B:$B,S137)=0),"／回路3が定義にない",""),2,300)))</f>
        <v/>
      </c>
    </row>
    <row r="138">
      <c r="A138" s="5" t="inlineStr">
        <is>
          <t>E24-S8-5</t>
        </is>
      </c>
      <c r="B138" s="5" t="inlineStr">
        <is>
          <t>背面</t>
        </is>
      </c>
      <c r="C138" s="5" t="n">
        <v>47</v>
      </c>
      <c r="D138" s="5" t="n">
        <v>1</v>
      </c>
      <c r="E138" s="6">
        <f>IF(C138="","",C138+D138-1)</f>
        <v/>
      </c>
      <c r="F138" s="5" t="inlineStr">
        <is>
          <t>ｹｰﾌﾞﾙﾏﾈｰｼﾞﾒﾝﾄ（背面）</t>
        </is>
      </c>
      <c r="G138" s="5" t="inlineStr"/>
      <c r="H138" s="5" t="inlineStr"/>
      <c r="I138" s="5" t="inlineStr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inlineStr"/>
      <c r="W138" s="5" t="inlineStr"/>
      <c r="X138" s="5" t="inlineStr"/>
      <c r="Y138" s="6">
        <f>COUNT(N138,Q138,T138)</f>
        <v/>
      </c>
      <c r="Z138" s="6">
        <f>IF(OR(K138="",NOT(ISNUMBER(K138))),"",K138*SUM(N138,Q138,T138))</f>
        <v/>
      </c>
      <c r="AA138" s="6">
        <f>IF(OR(Y138=0,N138=""),"",N138/Y138)</f>
        <v/>
      </c>
      <c r="AB138" s="6">
        <f>IF(OR(Y138=0,Q138=""),"",Q138/Y138)</f>
        <v/>
      </c>
      <c r="AC138" s="6">
        <f>IF(OR(Y138=0,T138=""),"",T138/Y138)</f>
        <v/>
      </c>
      <c r="AD138" s="6">
        <f>IF(F138="","",IF((IF(AND(Y138=0,NOT(SUMPRODUCT(--ISNUMBER(SEARCH({"棚板","棚","アングル","ｱﾝｸﾞﾙ","使用不可","ケーブル","ｹｰﾌﾞﾙ","PatchPnael","パッチ","引き出し","引出","ブランク","ﾌﾞﾗﾝｸ","マネージ","ﾏﾈｰｼﾞ","PDU","ONU"},$F138&amp;"")))&gt;0),NOT(SUMPRODUCT(--ISNUMBER(SEARCH({"電源オフ","未投入","停止","未使用","撤去"},$X138&amp;"")))&gt;0)),"／電力が未記入","")&amp;IF(AND(NOT(ISNUMBER(J138)),NOT(SUMPRODUCT(--ISNUMBER(SEARCH({"棚板","棚","アングル","ｱﾝｸﾞﾙ","使用不可","ケーブル","ｹｰﾌﾞﾙ","PatchPnael","パッチ","引き出し","引出","ブランク","ﾌﾞﾗﾝｸ","マネージ","ﾏﾈｰｼﾞ","PDU","ONU"},$F138&amp;"")))&gt;0)),"／重量が未記入","")&amp;IF(AND(K138&lt;&gt;"",NOT(ISNUMBER(K138))),"／電圧が数値でない","")&amp;IF(AND(N138&lt;&gt;"",NOT(ISNUMBER(N138))),"／電流が数値でない","")&amp;IF(AND(C138&lt;&gt;"",C138&lt;1),"／開始Uが1未満","")&amp;IF(AND(E138&lt;&gt;"",E138&gt;IFERROR(VLOOKUP(A138,ラック定義!$A:$B,2,FALSE),47)),"／総Uをはみ出す","")&amp;IF(AND(A138&lt;&gt;"",COUNTIF(ラック定義!$A:$A,A138)=0),"／ラックが定義にない","")&amp;IF(AND(SUMPRODUCT((機器台帳!$A$2:$A$400=$A138)*((機器台帳!$B$2:$B$400=$B138)+(機器台帳!$B$2:$B$400="両面")+($B138="両面")&gt;0)*(機器台帳!$C$2:$C$400&lt;=$C138+$D138-1)*(機器台帳!$C$2:$C$400+機器台帳!$D$2:$D$400-1&gt;=$C138)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138&amp;"")))&gt;0)),"／同じUに他の機器(横並びなら正常)","")&amp;IF(AND(M138&lt;&gt;"",COUNTIFS(回路定義!$A:$A,A138,回路定義!$B:$B,M138)=0),"／回路1が定義にない","")&amp;IF(AND(P138&lt;&gt;"",COUNTIFS(回路定義!$A:$A,A138,回路定義!$B:$B,P138)=0),"／回路2が定義にない","")&amp;IF(AND(S138&lt;&gt;"",COUNTIFS(回路定義!$A:$A,A138,回路定義!$B:$B,S138)=0),"／回路3が定義にない",""))="","",MID(IF(AND(Y138=0,NOT(SUMPRODUCT(--ISNUMBER(SEARCH({"棚板","棚","アングル","ｱﾝｸﾞﾙ","使用不可","ケーブル","ｹｰﾌﾞﾙ","PatchPnael","パッチ","引き出し","引出","ブランク","ﾌﾞﾗﾝｸ","マネージ","ﾏﾈｰｼﾞ","PDU","ONU"},$F138&amp;"")))&gt;0),NOT(SUMPRODUCT(--ISNUMBER(SEARCH({"電源オフ","未投入","停止","未使用","撤去"},$X138&amp;"")))&gt;0)),"／電力が未記入","")&amp;IF(AND(NOT(ISNUMBER(J138)),NOT(SUMPRODUCT(--ISNUMBER(SEARCH({"棚板","棚","アングル","ｱﾝｸﾞﾙ","使用不可","ケーブル","ｹｰﾌﾞﾙ","PatchPnael","パッチ","引き出し","引出","ブランク","ﾌﾞﾗﾝｸ","マネージ","ﾏﾈｰｼﾞ","PDU","ONU"},$F138&amp;"")))&gt;0)),"／重量が未記入","")&amp;IF(AND(K138&lt;&gt;"",NOT(ISNUMBER(K138))),"／電圧が数値でない","")&amp;IF(AND(N138&lt;&gt;"",NOT(ISNUMBER(N138))),"／電流が数値でない","")&amp;IF(AND(C138&lt;&gt;"",C138&lt;1),"／開始Uが1未満","")&amp;IF(AND(E138&lt;&gt;"",E138&gt;IFERROR(VLOOKUP(A138,ラック定義!$A:$B,2,FALSE),47)),"／総Uをはみ出す","")&amp;IF(AND(A138&lt;&gt;"",COUNTIF(ラック定義!$A:$A,A138)=0),"／ラックが定義にない","")&amp;IF(AND(SUMPRODUCT((機器台帳!$A$2:$A$400=$A138)*((機器台帳!$B$2:$B$400=$B138)+(機器台帳!$B$2:$B$400="両面")+($B138="両面")&gt;0)*(機器台帳!$C$2:$C$400&lt;=$C138+$D138-1)*(機器台帳!$C$2:$C$400+機器台帳!$D$2:$D$400-1&gt;=$C138)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138&amp;"")))&gt;0)),"／同じUに他の機器(横並びなら正常)","")&amp;IF(AND(M138&lt;&gt;"",COUNTIFS(回路定義!$A:$A,A138,回路定義!$B:$B,M138)=0),"／回路1が定義にない","")&amp;IF(AND(P138&lt;&gt;"",COUNTIFS(回路定義!$A:$A,A138,回路定義!$B:$B,P138)=0),"／回路2が定義にない","")&amp;IF(AND(S138&lt;&gt;"",COUNTIFS(回路定義!$A:$A,A138,回路定義!$B:$B,S138)=0),"／回路3が定義にない",""),2,300)))</f>
        <v/>
      </c>
    </row>
    <row r="139">
      <c r="A139" s="5" t="inlineStr">
        <is>
          <t>E24-S8-5</t>
        </is>
      </c>
      <c r="B139" s="5" t="inlineStr">
        <is>
          <t>前面</t>
        </is>
      </c>
      <c r="C139" s="5" t="n">
        <v>46</v>
      </c>
      <c r="D139" s="5" t="n">
        <v>1</v>
      </c>
      <c r="E139" s="6">
        <f>IF(C139="","",C139+D139-1)</f>
        <v/>
      </c>
      <c r="F139" s="5" t="inlineStr">
        <is>
          <t>UTP 12port PatchPnael(前面)</t>
        </is>
      </c>
      <c r="G139" s="5" t="inlineStr"/>
      <c r="H139" s="5" t="inlineStr"/>
      <c r="I139" s="5" t="inlineStr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inlineStr"/>
      <c r="W139" s="5" t="inlineStr"/>
      <c r="X139" s="5" t="inlineStr"/>
      <c r="Y139" s="6">
        <f>COUNT(N139,Q139,T139)</f>
        <v/>
      </c>
      <c r="Z139" s="6">
        <f>IF(OR(K139="",NOT(ISNUMBER(K139))),"",K139*SUM(N139,Q139,T139))</f>
        <v/>
      </c>
      <c r="AA139" s="6">
        <f>IF(OR(Y139=0,N139=""),"",N139/Y139)</f>
        <v/>
      </c>
      <c r="AB139" s="6">
        <f>IF(OR(Y139=0,Q139=""),"",Q139/Y139)</f>
        <v/>
      </c>
      <c r="AC139" s="6">
        <f>IF(OR(Y139=0,T139=""),"",T139/Y139)</f>
        <v/>
      </c>
      <c r="AD139" s="6">
        <f>IF(F139="","",IF((IF(AND(Y139=0,NOT(SUMPRODUCT(--ISNUMBER(SEARCH({"棚板","棚","アングル","ｱﾝｸﾞﾙ","使用不可","ケーブル","ｹｰﾌﾞﾙ","PatchPnael","パッチ","引き出し","引出","ブランク","ﾌﾞﾗﾝｸ","マネージ","ﾏﾈｰｼﾞ","PDU","ONU"},$F139&amp;"")))&gt;0),NOT(SUMPRODUCT(--ISNUMBER(SEARCH({"電源オフ","未投入","停止","未使用","撤去"},$X139&amp;"")))&gt;0)),"／電力が未記入","")&amp;IF(AND(NOT(ISNUMBER(J139)),NOT(SUMPRODUCT(--ISNUMBER(SEARCH({"棚板","棚","アングル","ｱﾝｸﾞﾙ","使用不可","ケーブル","ｹｰﾌﾞﾙ","PatchPnael","パッチ","引き出し","引出","ブランク","ﾌﾞﾗﾝｸ","マネージ","ﾏﾈｰｼﾞ","PDU","ONU"},$F139&amp;"")))&gt;0)),"／重量が未記入","")&amp;IF(AND(K139&lt;&gt;"",NOT(ISNUMBER(K139))),"／電圧が数値でない","")&amp;IF(AND(N139&lt;&gt;"",NOT(ISNUMBER(N139))),"／電流が数値でない","")&amp;IF(AND(C139&lt;&gt;"",C139&lt;1),"／開始Uが1未満","")&amp;IF(AND(E139&lt;&gt;"",E139&gt;IFERROR(VLOOKUP(A139,ラック定義!$A:$B,2,FALSE),47)),"／総Uをはみ出す","")&amp;IF(AND(A139&lt;&gt;"",COUNTIF(ラック定義!$A:$A,A139)=0),"／ラックが定義にない","")&amp;IF(AND(SUMPRODUCT((機器台帳!$A$2:$A$400=$A139)*((機器台帳!$B$2:$B$400=$B139)+(機器台帳!$B$2:$B$400="両面")+($B139="両面")&gt;0)*(機器台帳!$C$2:$C$400&lt;=$C139+$D139-1)*(機器台帳!$C$2:$C$400+機器台帳!$D$2:$D$400-1&gt;=$C139)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139&amp;"")))&gt;0)),"／同じUに他の機器(横並びなら正常)","")&amp;IF(AND(M139&lt;&gt;"",COUNTIFS(回路定義!$A:$A,A139,回路定義!$B:$B,M139)=0),"／回路1が定義にない","")&amp;IF(AND(P139&lt;&gt;"",COUNTIFS(回路定義!$A:$A,A139,回路定義!$B:$B,P139)=0),"／回路2が定義にない","")&amp;IF(AND(S139&lt;&gt;"",COUNTIFS(回路定義!$A:$A,A139,回路定義!$B:$B,S139)=0),"／回路3が定義にない",""))="","",MID(IF(AND(Y139=0,NOT(SUMPRODUCT(--ISNUMBER(SEARCH({"棚板","棚","アングル","ｱﾝｸﾞﾙ","使用不可","ケーブル","ｹｰﾌﾞﾙ","PatchPnael","パッチ","引き出し","引出","ブランク","ﾌﾞﾗﾝｸ","マネージ","ﾏﾈｰｼﾞ","PDU","ONU"},$F139&amp;"")))&gt;0),NOT(SUMPRODUCT(--ISNUMBER(SEARCH({"電源オフ","未投入","停止","未使用","撤去"},$X139&amp;"")))&gt;0)),"／電力が未記入","")&amp;IF(AND(NOT(ISNUMBER(J139)),NOT(SUMPRODUCT(--ISNUMBER(SEARCH({"棚板","棚","アングル","ｱﾝｸﾞﾙ","使用不可","ケーブル","ｹｰﾌﾞﾙ","PatchPnael","パッチ","引き出し","引出","ブランク","ﾌﾞﾗﾝｸ","マネージ","ﾏﾈｰｼﾞ","PDU","ONU"},$F139&amp;"")))&gt;0)),"／重量が未記入","")&amp;IF(AND(K139&lt;&gt;"",NOT(ISNUMBER(K139))),"／電圧が数値でない","")&amp;IF(AND(N139&lt;&gt;"",NOT(ISNUMBER(N139))),"／電流が数値でない","")&amp;IF(AND(C139&lt;&gt;"",C139&lt;1),"／開始Uが1未満","")&amp;IF(AND(E139&lt;&gt;"",E139&gt;IFERROR(VLOOKUP(A139,ラック定義!$A:$B,2,FALSE),47)),"／総Uをはみ出す","")&amp;IF(AND(A139&lt;&gt;"",COUNTIF(ラック定義!$A:$A,A139)=0),"／ラックが定義にない","")&amp;IF(AND(SUMPRODUCT((機器台帳!$A$2:$A$400=$A139)*((機器台帳!$B$2:$B$400=$B139)+(機器台帳!$B$2:$B$400="両面")+($B139="両面")&gt;0)*(機器台帳!$C$2:$C$400&lt;=$C139+$D139-1)*(機器台帳!$C$2:$C$400+機器台帳!$D$2:$D$400-1&gt;=$C139)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139&amp;"")))&gt;0)),"／同じUに他の機器(横並びなら正常)","")&amp;IF(AND(M139&lt;&gt;"",COUNTIFS(回路定義!$A:$A,A139,回路定義!$B:$B,M139)=0),"／回路1が定義にない","")&amp;IF(AND(P139&lt;&gt;"",COUNTIFS(回路定義!$A:$A,A139,回路定義!$B:$B,P139)=0),"／回路2が定義にない","")&amp;IF(AND(S139&lt;&gt;"",COUNTIFS(回路定義!$A:$A,A139,回路定義!$B:$B,S139)=0),"／回路3が定義にない",""),2,300)))</f>
        <v/>
      </c>
    </row>
    <row r="140">
      <c r="A140" s="5" t="inlineStr">
        <is>
          <t>E24-S8-5</t>
        </is>
      </c>
      <c r="B140" s="5" t="inlineStr">
        <is>
          <t>背面</t>
        </is>
      </c>
      <c r="C140" s="5" t="n">
        <v>46</v>
      </c>
      <c r="D140" s="5" t="n">
        <v>1</v>
      </c>
      <c r="E140" s="6">
        <f>IF(C140="","",C140+D140-1)</f>
        <v/>
      </c>
      <c r="F140" s="5" t="inlineStr">
        <is>
          <t>UTP 12port PatchPnael(背面)</t>
        </is>
      </c>
      <c r="G140" s="5" t="inlineStr"/>
      <c r="H140" s="5" t="inlineStr"/>
      <c r="I140" s="5" t="inlineStr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inlineStr"/>
      <c r="W140" s="5" t="inlineStr"/>
      <c r="X140" s="5" t="inlineStr"/>
      <c r="Y140" s="6">
        <f>COUNT(N140,Q140,T140)</f>
        <v/>
      </c>
      <c r="Z140" s="6">
        <f>IF(OR(K140="",NOT(ISNUMBER(K140))),"",K140*SUM(N140,Q140,T140))</f>
        <v/>
      </c>
      <c r="AA140" s="6">
        <f>IF(OR(Y140=0,N140=""),"",N140/Y140)</f>
        <v/>
      </c>
      <c r="AB140" s="6">
        <f>IF(OR(Y140=0,Q140=""),"",Q140/Y140)</f>
        <v/>
      </c>
      <c r="AC140" s="6">
        <f>IF(OR(Y140=0,T140=""),"",T140/Y140)</f>
        <v/>
      </c>
      <c r="AD140" s="6">
        <f>IF(F140="","",IF((IF(AND(Y140=0,NOT(SUMPRODUCT(--ISNUMBER(SEARCH({"棚板","棚","アングル","ｱﾝｸﾞﾙ","使用不可","ケーブル","ｹｰﾌﾞﾙ","PatchPnael","パッチ","引き出し","引出","ブランク","ﾌﾞﾗﾝｸ","マネージ","ﾏﾈｰｼﾞ","PDU","ONU"},$F140&amp;"")))&gt;0),NOT(SUMPRODUCT(--ISNUMBER(SEARCH({"電源オフ","未投入","停止","未使用","撤去"},$X140&amp;"")))&gt;0)),"／電力が未記入","")&amp;IF(AND(NOT(ISNUMBER(J140)),NOT(SUMPRODUCT(--ISNUMBER(SEARCH({"棚板","棚","アングル","ｱﾝｸﾞﾙ","使用不可","ケーブル","ｹｰﾌﾞﾙ","PatchPnael","パッチ","引き出し","引出","ブランク","ﾌﾞﾗﾝｸ","マネージ","ﾏﾈｰｼﾞ","PDU","ONU"},$F140&amp;"")))&gt;0)),"／重量が未記入","")&amp;IF(AND(K140&lt;&gt;"",NOT(ISNUMBER(K140))),"／電圧が数値でない","")&amp;IF(AND(N140&lt;&gt;"",NOT(ISNUMBER(N140))),"／電流が数値でない","")&amp;IF(AND(C140&lt;&gt;"",C140&lt;1),"／開始Uが1未満","")&amp;IF(AND(E140&lt;&gt;"",E140&gt;IFERROR(VLOOKUP(A140,ラック定義!$A:$B,2,FALSE),47)),"／総Uをはみ出す","")&amp;IF(AND(A140&lt;&gt;"",COUNTIF(ラック定義!$A:$A,A140)=0),"／ラックが定義にない","")&amp;IF(AND(SUMPRODUCT((機器台帳!$A$2:$A$400=$A140)*((機器台帳!$B$2:$B$400=$B140)+(機器台帳!$B$2:$B$400="両面")+($B140="両面")&gt;0)*(機器台帳!$C$2:$C$400&lt;=$C140+$D140-1)*(機器台帳!$C$2:$C$400+機器台帳!$D$2:$D$400-1&gt;=$C140)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140&amp;"")))&gt;0)),"／同じUに他の機器(横並びなら正常)","")&amp;IF(AND(M140&lt;&gt;"",COUNTIFS(回路定義!$A:$A,A140,回路定義!$B:$B,M140)=0),"／回路1が定義にない","")&amp;IF(AND(P140&lt;&gt;"",COUNTIFS(回路定義!$A:$A,A140,回路定義!$B:$B,P140)=0),"／回路2が定義にない","")&amp;IF(AND(S140&lt;&gt;"",COUNTIFS(回路定義!$A:$A,A140,回路定義!$B:$B,S140)=0),"／回路3が定義にない",""))="","",MID(IF(AND(Y140=0,NOT(SUMPRODUCT(--ISNUMBER(SEARCH({"棚板","棚","アングル","ｱﾝｸﾞﾙ","使用不可","ケーブル","ｹｰﾌﾞﾙ","PatchPnael","パッチ","引き出し","引出","ブランク","ﾌﾞﾗﾝｸ","マネージ","ﾏﾈｰｼﾞ","PDU","ONU"},$F140&amp;"")))&gt;0),NOT(SUMPRODUCT(--ISNUMBER(SEARCH({"電源オフ","未投入","停止","未使用","撤去"},$X140&amp;"")))&gt;0)),"／電力が未記入","")&amp;IF(AND(NOT(ISNUMBER(J140)),NOT(SUMPRODUCT(--ISNUMBER(SEARCH({"棚板","棚","アングル","ｱﾝｸﾞﾙ","使用不可","ケーブル","ｹｰﾌﾞﾙ","PatchPnael","パッチ","引き出し","引出","ブランク","ﾌﾞﾗﾝｸ","マネージ","ﾏﾈｰｼﾞ","PDU","ONU"},$F140&amp;"")))&gt;0)),"／重量が未記入","")&amp;IF(AND(K140&lt;&gt;"",NOT(ISNUMBER(K140))),"／電圧が数値でない","")&amp;IF(AND(N140&lt;&gt;"",NOT(ISNUMBER(N140))),"／電流が数値でない","")&amp;IF(AND(C140&lt;&gt;"",C140&lt;1),"／開始Uが1未満","")&amp;IF(AND(E140&lt;&gt;"",E140&gt;IFERROR(VLOOKUP(A140,ラック定義!$A:$B,2,FALSE),47)),"／総Uをはみ出す","")&amp;IF(AND(A140&lt;&gt;"",COUNTIF(ラック定義!$A:$A,A140)=0),"／ラックが定義にない","")&amp;IF(AND(SUMPRODUCT((機器台帳!$A$2:$A$400=$A140)*((機器台帳!$B$2:$B$400=$B140)+(機器台帳!$B$2:$B$400="両面")+($B140="両面")&gt;0)*(機器台帳!$C$2:$C$400&lt;=$C140+$D140-1)*(機器台帳!$C$2:$C$400+機器台帳!$D$2:$D$400-1&gt;=$C140)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140&amp;"")))&gt;0)),"／同じUに他の機器(横並びなら正常)","")&amp;IF(AND(M140&lt;&gt;"",COUNTIFS(回路定義!$A:$A,A140,回路定義!$B:$B,M140)=0),"／回路1が定義にない","")&amp;IF(AND(P140&lt;&gt;"",COUNTIFS(回路定義!$A:$A,A140,回路定義!$B:$B,P140)=0),"／回路2が定義にない","")&amp;IF(AND(S140&lt;&gt;"",COUNTIFS(回路定義!$A:$A,A140,回路定義!$B:$B,S140)=0),"／回路3が定義にない",""),2,300)))</f>
        <v/>
      </c>
    </row>
    <row r="141">
      <c r="A141" s="5" t="inlineStr">
        <is>
          <t>E24-S8-5</t>
        </is>
      </c>
      <c r="B141" s="5" t="inlineStr">
        <is>
          <t>前面</t>
        </is>
      </c>
      <c r="C141" s="5" t="n">
        <v>30</v>
      </c>
      <c r="D141" s="5" t="n">
        <v>1</v>
      </c>
      <c r="E141" s="6">
        <f>IF(C141="","",C141+D141-1)</f>
        <v/>
      </c>
      <c r="F141" s="5" t="inlineStr">
        <is>
          <t>要確認: 原本 行21 の電力</t>
        </is>
      </c>
      <c r="G141" s="5" t="inlineStr"/>
      <c r="H141" s="5" t="inlineStr"/>
      <c r="I141" s="5" t="inlineStr"/>
      <c r="J141" s="5" t="n">
        <v>8.4</v>
      </c>
      <c r="K141" s="5" t="n">
        <v>100</v>
      </c>
      <c r="L141" s="5" t="n">
        <v>1</v>
      </c>
      <c r="M141" s="5" t="inlineStr">
        <is>
          <t>100V 20A （1）</t>
        </is>
      </c>
      <c r="N141" s="5" t="n">
        <v>1</v>
      </c>
      <c r="O141" s="5" t="n">
        <v>1</v>
      </c>
      <c r="P141" s="5" t="n"/>
      <c r="Q141" s="5" t="n"/>
      <c r="R141" s="5" t="n"/>
      <c r="S141" s="5" t="n"/>
      <c r="T141" s="5" t="n"/>
      <c r="U141" s="5" t="n"/>
      <c r="V141" s="5" t="inlineStr"/>
      <c r="W141" s="5" t="inlineStr"/>
      <c r="X141" s="5" t="inlineStr">
        <is>
          <t>原本に電力の記入はあるが機器が描かれていない行</t>
        </is>
      </c>
      <c r="Y141" s="6">
        <f>COUNT(N141,Q141,T141)</f>
        <v/>
      </c>
      <c r="Z141" s="6">
        <f>IF(OR(K141="",NOT(ISNUMBER(K141))),"",K141*SUM(N141,Q141,T141))</f>
        <v/>
      </c>
      <c r="AA141" s="6">
        <f>IF(OR(Y141=0,N141=""),"",N141/Y141)</f>
        <v/>
      </c>
      <c r="AB141" s="6">
        <f>IF(OR(Y141=0,Q141=""),"",Q141/Y141)</f>
        <v/>
      </c>
      <c r="AC141" s="6">
        <f>IF(OR(Y141=0,T141=""),"",T141/Y141)</f>
        <v/>
      </c>
      <c r="AD141" s="6">
        <f>IF(F141="","",IF((IF(AND(Y141=0,NOT(SUMPRODUCT(--ISNUMBER(SEARCH({"棚板","棚","アングル","ｱﾝｸﾞﾙ","使用不可","ケーブル","ｹｰﾌﾞﾙ","PatchPnael","パッチ","引き出し","引出","ブランク","ﾌﾞﾗﾝｸ","マネージ","ﾏﾈｰｼﾞ","PDU","ONU"},$F141&amp;"")))&gt;0),NOT(SUMPRODUCT(--ISNUMBER(SEARCH({"電源オフ","未投入","停止","未使用","撤去"},$X141&amp;"")))&gt;0)),"／電力が未記入","")&amp;IF(AND(NOT(ISNUMBER(J141)),NOT(SUMPRODUCT(--ISNUMBER(SEARCH({"棚板","棚","アングル","ｱﾝｸﾞﾙ","使用不可","ケーブル","ｹｰﾌﾞﾙ","PatchPnael","パッチ","引き出し","引出","ブランク","ﾌﾞﾗﾝｸ","マネージ","ﾏﾈｰｼﾞ","PDU","ONU"},$F141&amp;"")))&gt;0)),"／重量が未記入","")&amp;IF(AND(K141&lt;&gt;"",NOT(ISNUMBER(K141))),"／電圧が数値でない","")&amp;IF(AND(N141&lt;&gt;"",NOT(ISNUMBER(N141))),"／電流が数値でない","")&amp;IF(AND(C141&lt;&gt;"",C141&lt;1),"／開始Uが1未満","")&amp;IF(AND(E141&lt;&gt;"",E141&gt;IFERROR(VLOOKUP(A141,ラック定義!$A:$B,2,FALSE),47)),"／総Uをはみ出す","")&amp;IF(AND(A141&lt;&gt;"",COUNTIF(ラック定義!$A:$A,A141)=0),"／ラックが定義にない","")&amp;IF(AND(SUMPRODUCT((機器台帳!$A$2:$A$400=$A141)*((機器台帳!$B$2:$B$400=$B141)+(機器台帳!$B$2:$B$400="両面")+($B141="両面")&gt;0)*(機器台帳!$C$2:$C$400&lt;=$C141+$D141-1)*(機器台帳!$C$2:$C$400+機器台帳!$D$2:$D$400-1&gt;=$C141)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141&amp;"")))&gt;0)),"／同じUに他の機器(横並びなら正常)","")&amp;IF(AND(M141&lt;&gt;"",COUNTIFS(回路定義!$A:$A,A141,回路定義!$B:$B,M141)=0),"／回路1が定義にない","")&amp;IF(AND(P141&lt;&gt;"",COUNTIFS(回路定義!$A:$A,A141,回路定義!$B:$B,P141)=0),"／回路2が定義にない","")&amp;IF(AND(S141&lt;&gt;"",COUNTIFS(回路定義!$A:$A,A141,回路定義!$B:$B,S141)=0),"／回路3が定義にない",""))="","",MID(IF(AND(Y141=0,NOT(SUMPRODUCT(--ISNUMBER(SEARCH({"棚板","棚","アングル","ｱﾝｸﾞﾙ","使用不可","ケーブル","ｹｰﾌﾞﾙ","PatchPnael","パッチ","引き出し","引出","ブランク","ﾌﾞﾗﾝｸ","マネージ","ﾏﾈｰｼﾞ","PDU","ONU"},$F141&amp;"")))&gt;0),NOT(SUMPRODUCT(--ISNUMBER(SEARCH({"電源オフ","未投入","停止","未使用","撤去"},$X141&amp;"")))&gt;0)),"／電力が未記入","")&amp;IF(AND(NOT(ISNUMBER(J141)),NOT(SUMPRODUCT(--ISNUMBER(SEARCH({"棚板","棚","アングル","ｱﾝｸﾞﾙ","使用不可","ケーブル","ｹｰﾌﾞﾙ","PatchPnael","パッチ","引き出し","引出","ブランク","ﾌﾞﾗﾝｸ","マネージ","ﾏﾈｰｼﾞ","PDU","ONU"},$F141&amp;"")))&gt;0)),"／重量が未記入","")&amp;IF(AND(K141&lt;&gt;"",NOT(ISNUMBER(K141))),"／電圧が数値でない","")&amp;IF(AND(N141&lt;&gt;"",NOT(ISNUMBER(N141))),"／電流が数値でない","")&amp;IF(AND(C141&lt;&gt;"",C141&lt;1),"／開始Uが1未満","")&amp;IF(AND(E141&lt;&gt;"",E141&gt;IFERROR(VLOOKUP(A141,ラック定義!$A:$B,2,FALSE),47)),"／総Uをはみ出す","")&amp;IF(AND(A141&lt;&gt;"",COUNTIF(ラック定義!$A:$A,A141)=0),"／ラックが定義にない","")&amp;IF(AND(SUMPRODUCT((機器台帳!$A$2:$A$400=$A141)*((機器台帳!$B$2:$B$400=$B141)+(機器台帳!$B$2:$B$400="両面")+($B141="両面")&gt;0)*(機器台帳!$C$2:$C$400&lt;=$C141+$D141-1)*(機器台帳!$C$2:$C$400+機器台帳!$D$2:$D$400-1&gt;=$C141)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141&amp;"")))&gt;0)),"／同じUに他の機器(横並びなら正常)","")&amp;IF(AND(M141&lt;&gt;"",COUNTIFS(回路定義!$A:$A,A141,回路定義!$B:$B,M141)=0),"／回路1が定義にない","")&amp;IF(AND(P141&lt;&gt;"",COUNTIFS(回路定義!$A:$A,A141,回路定義!$B:$B,P141)=0),"／回路2が定義にない","")&amp;IF(AND(S141&lt;&gt;"",COUNTIFS(回路定義!$A:$A,A141,回路定義!$B:$B,S141)=0),"／回路3が定義にない",""),2,300)))</f>
        <v/>
      </c>
    </row>
    <row r="142">
      <c r="A142" s="5" t="inlineStr">
        <is>
          <t>E24-S8-5</t>
        </is>
      </c>
      <c r="B142" s="5" t="inlineStr">
        <is>
          <t>背面</t>
        </is>
      </c>
      <c r="C142" s="5" t="n">
        <v>21</v>
      </c>
      <c r="D142" s="5" t="n">
        <v>2</v>
      </c>
      <c r="E142" s="6">
        <f>IF(C142="","",C142+D142-1)</f>
        <v/>
      </c>
      <c r="F142" s="5" t="inlineStr">
        <is>
          <t>Power Edge660</t>
        </is>
      </c>
      <c r="G142" s="5" t="inlineStr">
        <is>
          <t>H2401555</t>
        </is>
      </c>
      <c r="H142" s="5" t="inlineStr"/>
      <c r="I142" s="5" t="inlineStr"/>
      <c r="J142" s="5" t="n">
        <v>19.5</v>
      </c>
      <c r="K142" s="5" t="n">
        <v>100</v>
      </c>
      <c r="L142" s="5" t="n">
        <v>1</v>
      </c>
      <c r="M142" s="5" t="inlineStr">
        <is>
          <t>100V 20A （2）</t>
        </is>
      </c>
      <c r="N142" s="5" t="n">
        <v>1</v>
      </c>
      <c r="O142" s="5" t="n">
        <v>2</v>
      </c>
      <c r="P142" s="5" t="n"/>
      <c r="Q142" s="5" t="n"/>
      <c r="R142" s="5" t="n"/>
      <c r="S142" s="5" t="n"/>
      <c r="T142" s="5" t="n"/>
      <c r="U142" s="5" t="n"/>
      <c r="V142" s="5" t="inlineStr"/>
      <c r="W142" s="5" t="inlineStr"/>
      <c r="X142" s="5" t="inlineStr"/>
      <c r="Y142" s="6">
        <f>COUNT(N142,Q142,T142)</f>
        <v/>
      </c>
      <c r="Z142" s="6">
        <f>IF(OR(K142="",NOT(ISNUMBER(K142))),"",K142*SUM(N142,Q142,T142))</f>
        <v/>
      </c>
      <c r="AA142" s="6">
        <f>IF(OR(Y142=0,N142=""),"",N142/Y142)</f>
        <v/>
      </c>
      <c r="AB142" s="6">
        <f>IF(OR(Y142=0,Q142=""),"",Q142/Y142)</f>
        <v/>
      </c>
      <c r="AC142" s="6">
        <f>IF(OR(Y142=0,T142=""),"",T142/Y142)</f>
        <v/>
      </c>
      <c r="AD142" s="6">
        <f>IF(F142="","",IF((IF(AND(Y142=0,NOT(SUMPRODUCT(--ISNUMBER(SEARCH({"棚板","棚","アングル","ｱﾝｸﾞﾙ","使用不可","ケーブル","ｹｰﾌﾞﾙ","PatchPnael","パッチ","引き出し","引出","ブランク","ﾌﾞﾗﾝｸ","マネージ","ﾏﾈｰｼﾞ","PDU","ONU"},$F142&amp;"")))&gt;0),NOT(SUMPRODUCT(--ISNUMBER(SEARCH({"電源オフ","未投入","停止","未使用","撤去"},$X142&amp;"")))&gt;0)),"／電力が未記入","")&amp;IF(AND(NOT(ISNUMBER(J142)),NOT(SUMPRODUCT(--ISNUMBER(SEARCH({"棚板","棚","アングル","ｱﾝｸﾞﾙ","使用不可","ケーブル","ｹｰﾌﾞﾙ","PatchPnael","パッチ","引き出し","引出","ブランク","ﾌﾞﾗﾝｸ","マネージ","ﾏﾈｰｼﾞ","PDU","ONU"},$F142&amp;"")))&gt;0)),"／重量が未記入","")&amp;IF(AND(K142&lt;&gt;"",NOT(ISNUMBER(K142))),"／電圧が数値でない","")&amp;IF(AND(N142&lt;&gt;"",NOT(ISNUMBER(N142))),"／電流が数値でない","")&amp;IF(AND(C142&lt;&gt;"",C142&lt;1),"／開始Uが1未満","")&amp;IF(AND(E142&lt;&gt;"",E142&gt;IFERROR(VLOOKUP(A142,ラック定義!$A:$B,2,FALSE),47)),"／総Uをはみ出す","")&amp;IF(AND(A142&lt;&gt;"",COUNTIF(ラック定義!$A:$A,A142)=0),"／ラックが定義にない","")&amp;IF(AND(SUMPRODUCT((機器台帳!$A$2:$A$400=$A142)*((機器台帳!$B$2:$B$400=$B142)+(機器台帳!$B$2:$B$400="両面")+($B142="両面")&gt;0)*(機器台帳!$C$2:$C$400&lt;=$C142+$D142-1)*(機器台帳!$C$2:$C$400+機器台帳!$D$2:$D$400-1&gt;=$C142)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142&amp;"")))&gt;0)),"／同じUに他の機器(横並びなら正常)","")&amp;IF(AND(M142&lt;&gt;"",COUNTIFS(回路定義!$A:$A,A142,回路定義!$B:$B,M142)=0),"／回路1が定義にない","")&amp;IF(AND(P142&lt;&gt;"",COUNTIFS(回路定義!$A:$A,A142,回路定義!$B:$B,P142)=0),"／回路2が定義にない","")&amp;IF(AND(S142&lt;&gt;"",COUNTIFS(回路定義!$A:$A,A142,回路定義!$B:$B,S142)=0),"／回路3が定義にない",""))="","",MID(IF(AND(Y142=0,NOT(SUMPRODUCT(--ISNUMBER(SEARCH({"棚板","棚","アングル","ｱﾝｸﾞﾙ","使用不可","ケーブル","ｹｰﾌﾞﾙ","PatchPnael","パッチ","引き出し","引出","ブランク","ﾌﾞﾗﾝｸ","マネージ","ﾏﾈｰｼﾞ","PDU","ONU"},$F142&amp;"")))&gt;0),NOT(SUMPRODUCT(--ISNUMBER(SEARCH({"電源オフ","未投入","停止","未使用","撤去"},$X142&amp;"")))&gt;0)),"／電力が未記入","")&amp;IF(AND(NOT(ISNUMBER(J142)),NOT(SUMPRODUCT(--ISNUMBER(SEARCH({"棚板","棚","アングル","ｱﾝｸﾞﾙ","使用不可","ケーブル","ｹｰﾌﾞﾙ","PatchPnael","パッチ","引き出し","引出","ブランク","ﾌﾞﾗﾝｸ","マネージ","ﾏﾈｰｼﾞ","PDU","ONU"},$F142&amp;"")))&gt;0)),"／重量が未記入","")&amp;IF(AND(K142&lt;&gt;"",NOT(ISNUMBER(K142))),"／電圧が数値でない","")&amp;IF(AND(N142&lt;&gt;"",NOT(ISNUMBER(N142))),"／電流が数値でない","")&amp;IF(AND(C142&lt;&gt;"",C142&lt;1),"／開始Uが1未満","")&amp;IF(AND(E142&lt;&gt;"",E142&gt;IFERROR(VLOOKUP(A142,ラック定義!$A:$B,2,FALSE),47)),"／総Uをはみ出す","")&amp;IF(AND(A142&lt;&gt;"",COUNTIF(ラック定義!$A:$A,A142)=0),"／ラックが定義にない","")&amp;IF(AND(SUMPRODUCT((機器台帳!$A$2:$A$400=$A142)*((機器台帳!$B$2:$B$400=$B142)+(機器台帳!$B$2:$B$400="両面")+($B142="両面")&gt;0)*(機器台帳!$C$2:$C$400&lt;=$C142+$D142-1)*(機器台帳!$C$2:$C$400+機器台帳!$D$2:$D$400-1&gt;=$C142)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142&amp;"")))&gt;0)),"／同じUに他の機器(横並びなら正常)","")&amp;IF(AND(M142&lt;&gt;"",COUNTIFS(回路定義!$A:$A,A142,回路定義!$B:$B,M142)=0),"／回路1が定義にない","")&amp;IF(AND(P142&lt;&gt;"",COUNTIFS(回路定義!$A:$A,A142,回路定義!$B:$B,P142)=0),"／回路2が定義にない","")&amp;IF(AND(S142&lt;&gt;"",COUNTIFS(回路定義!$A:$A,A142,回路定義!$B:$B,S142)=0),"／回路3が定義にない",""),2,300)))</f>
        <v/>
      </c>
    </row>
    <row r="143">
      <c r="A143" s="5" t="inlineStr">
        <is>
          <t>E24-S8-5</t>
        </is>
      </c>
      <c r="B143" s="5" t="inlineStr">
        <is>
          <t>前面</t>
        </is>
      </c>
      <c r="C143" s="5" t="n">
        <v>17</v>
      </c>
      <c r="D143" s="5" t="n">
        <v>1</v>
      </c>
      <c r="E143" s="6">
        <f>IF(C143="","",C143+D143-1)</f>
        <v/>
      </c>
      <c r="F143" s="5" t="inlineStr">
        <is>
          <t>XC640</t>
        </is>
      </c>
      <c r="G143" s="5" t="inlineStr">
        <is>
          <t>H1815865</t>
        </is>
      </c>
      <c r="H143" s="5" t="inlineStr"/>
      <c r="I143" s="5" t="inlineStr"/>
      <c r="J143" s="5" t="n">
        <v>21.9</v>
      </c>
      <c r="K143" s="5" t="n">
        <v>100</v>
      </c>
      <c r="L143" s="5" t="n">
        <v>1</v>
      </c>
      <c r="M143" s="5" t="inlineStr">
        <is>
          <t>100V 20A （1）</t>
        </is>
      </c>
      <c r="N143" s="5" t="n">
        <v>2</v>
      </c>
      <c r="O143" s="5" t="n">
        <v>2</v>
      </c>
      <c r="P143" s="5" t="n"/>
      <c r="Q143" s="5" t="n"/>
      <c r="R143" s="5" t="n"/>
      <c r="S143" s="5" t="n"/>
      <c r="T143" s="5" t="n"/>
      <c r="U143" s="5" t="n"/>
      <c r="V143" s="5" t="inlineStr"/>
      <c r="W143" s="5" t="inlineStr"/>
      <c r="X143" s="5" t="inlineStr"/>
      <c r="Y143" s="6">
        <f>COUNT(N143,Q143,T143)</f>
        <v/>
      </c>
      <c r="Z143" s="6">
        <f>IF(OR(K143="",NOT(ISNUMBER(K143))),"",K143*SUM(N143,Q143,T143))</f>
        <v/>
      </c>
      <c r="AA143" s="6">
        <f>IF(OR(Y143=0,N143=""),"",N143/Y143)</f>
        <v/>
      </c>
      <c r="AB143" s="6">
        <f>IF(OR(Y143=0,Q143=""),"",Q143/Y143)</f>
        <v/>
      </c>
      <c r="AC143" s="6">
        <f>IF(OR(Y143=0,T143=""),"",T143/Y143)</f>
        <v/>
      </c>
      <c r="AD143" s="6">
        <f>IF(F143="","",IF((IF(AND(Y143=0,NOT(SUMPRODUCT(--ISNUMBER(SEARCH({"棚板","棚","アングル","ｱﾝｸﾞﾙ","使用不可","ケーブル","ｹｰﾌﾞﾙ","PatchPnael","パッチ","引き出し","引出","ブランク","ﾌﾞﾗﾝｸ","マネージ","ﾏﾈｰｼﾞ","PDU","ONU"},$F143&amp;"")))&gt;0),NOT(SUMPRODUCT(--ISNUMBER(SEARCH({"電源オフ","未投入","停止","未使用","撤去"},$X143&amp;"")))&gt;0)),"／電力が未記入","")&amp;IF(AND(NOT(ISNUMBER(J143)),NOT(SUMPRODUCT(--ISNUMBER(SEARCH({"棚板","棚","アングル","ｱﾝｸﾞﾙ","使用不可","ケーブル","ｹｰﾌﾞﾙ","PatchPnael","パッチ","引き出し","引出","ブランク","ﾌﾞﾗﾝｸ","マネージ","ﾏﾈｰｼﾞ","PDU","ONU"},$F143&amp;"")))&gt;0)),"／重量が未記入","")&amp;IF(AND(K143&lt;&gt;"",NOT(ISNUMBER(K143))),"／電圧が数値でない","")&amp;IF(AND(N143&lt;&gt;"",NOT(ISNUMBER(N143))),"／電流が数値でない","")&amp;IF(AND(C143&lt;&gt;"",C143&lt;1),"／開始Uが1未満","")&amp;IF(AND(E143&lt;&gt;"",E143&gt;IFERROR(VLOOKUP(A143,ラック定義!$A:$B,2,FALSE),47)),"／総Uをはみ出す","")&amp;IF(AND(A143&lt;&gt;"",COUNTIF(ラック定義!$A:$A,A143)=0),"／ラックが定義にない","")&amp;IF(AND(SUMPRODUCT((機器台帳!$A$2:$A$400=$A143)*((機器台帳!$B$2:$B$400=$B143)+(機器台帳!$B$2:$B$400="両面")+($B143="両面")&gt;0)*(機器台帳!$C$2:$C$400&lt;=$C143+$D143-1)*(機器台帳!$C$2:$C$400+機器台帳!$D$2:$D$400-1&gt;=$C143)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143&amp;"")))&gt;0)),"／同じUに他の機器(横並びなら正常)","")&amp;IF(AND(M143&lt;&gt;"",COUNTIFS(回路定義!$A:$A,A143,回路定義!$B:$B,M143)=0),"／回路1が定義にない","")&amp;IF(AND(P143&lt;&gt;"",COUNTIFS(回路定義!$A:$A,A143,回路定義!$B:$B,P143)=0),"／回路2が定義にない","")&amp;IF(AND(S143&lt;&gt;"",COUNTIFS(回路定義!$A:$A,A143,回路定義!$B:$B,S143)=0),"／回路3が定義にない",""))="","",MID(IF(AND(Y143=0,NOT(SUMPRODUCT(--ISNUMBER(SEARCH({"棚板","棚","アングル","ｱﾝｸﾞﾙ","使用不可","ケーブル","ｹｰﾌﾞﾙ","PatchPnael","パッチ","引き出し","引出","ブランク","ﾌﾞﾗﾝｸ","マネージ","ﾏﾈｰｼﾞ","PDU","ONU"},$F143&amp;"")))&gt;0),NOT(SUMPRODUCT(--ISNUMBER(SEARCH({"電源オフ","未投入","停止","未使用","撤去"},$X143&amp;"")))&gt;0)),"／電力が未記入","")&amp;IF(AND(NOT(ISNUMBER(J143)),NOT(SUMPRODUCT(--ISNUMBER(SEARCH({"棚板","棚","アングル","ｱﾝｸﾞﾙ","使用不可","ケーブル","ｹｰﾌﾞﾙ","PatchPnael","パッチ","引き出し","引出","ブランク","ﾌﾞﾗﾝｸ","マネージ","ﾏﾈｰｼﾞ","PDU","ONU"},$F143&amp;"")))&gt;0)),"／重量が未記入","")&amp;IF(AND(K143&lt;&gt;"",NOT(ISNUMBER(K143))),"／電圧が数値でない","")&amp;IF(AND(N143&lt;&gt;"",NOT(ISNUMBER(N143))),"／電流が数値でない","")&amp;IF(AND(C143&lt;&gt;"",C143&lt;1),"／開始Uが1未満","")&amp;IF(AND(E143&lt;&gt;"",E143&gt;IFERROR(VLOOKUP(A143,ラック定義!$A:$B,2,FALSE),47)),"／総Uをはみ出す","")&amp;IF(AND(A143&lt;&gt;"",COUNTIF(ラック定義!$A:$A,A143)=0),"／ラックが定義にない","")&amp;IF(AND(SUMPRODUCT((機器台帳!$A$2:$A$400=$A143)*((機器台帳!$B$2:$B$400=$B143)+(機器台帳!$B$2:$B$400="両面")+($B143="両面")&gt;0)*(機器台帳!$C$2:$C$400&lt;=$C143+$D143-1)*(機器台帳!$C$2:$C$400+機器台帳!$D$2:$D$400-1&gt;=$C143)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143&amp;"")))&gt;0)),"／同じUに他の機器(横並びなら正常)","")&amp;IF(AND(M143&lt;&gt;"",COUNTIFS(回路定義!$A:$A,A143,回路定義!$B:$B,M143)=0),"／回路1が定義にない","")&amp;IF(AND(P143&lt;&gt;"",COUNTIFS(回路定義!$A:$A,A143,回路定義!$B:$B,P143)=0),"／回路2が定義にない","")&amp;IF(AND(S143&lt;&gt;"",COUNTIFS(回路定義!$A:$A,A143,回路定義!$B:$B,S143)=0),"／回路3が定義にない",""),2,300)))</f>
        <v/>
      </c>
    </row>
    <row r="144">
      <c r="A144" s="5" t="inlineStr">
        <is>
          <t>E24-S8-5</t>
        </is>
      </c>
      <c r="B144" s="5" t="inlineStr">
        <is>
          <t>背面</t>
        </is>
      </c>
      <c r="C144" s="5" t="n">
        <v>17</v>
      </c>
      <c r="D144" s="5" t="n">
        <v>1</v>
      </c>
      <c r="E144" s="6">
        <f>IF(C144="","",C144+D144-1)</f>
        <v/>
      </c>
      <c r="F144" s="5" t="inlineStr">
        <is>
          <t>XC640</t>
        </is>
      </c>
      <c r="G144" s="5" t="inlineStr">
        <is>
          <t>H1815885</t>
        </is>
      </c>
      <c r="H144" s="5" t="inlineStr"/>
      <c r="I144" s="5" t="inlineStr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inlineStr"/>
      <c r="W144" s="5" t="inlineStr"/>
      <c r="X144" s="5" t="inlineStr"/>
      <c r="Y144" s="6">
        <f>COUNT(N144,Q144,T144)</f>
        <v/>
      </c>
      <c r="Z144" s="6">
        <f>IF(OR(K144="",NOT(ISNUMBER(K144))),"",K144*SUM(N144,Q144,T144))</f>
        <v/>
      </c>
      <c r="AA144" s="6">
        <f>IF(OR(Y144=0,N144=""),"",N144/Y144)</f>
        <v/>
      </c>
      <c r="AB144" s="6">
        <f>IF(OR(Y144=0,Q144=""),"",Q144/Y144)</f>
        <v/>
      </c>
      <c r="AC144" s="6">
        <f>IF(OR(Y144=0,T144=""),"",T144/Y144)</f>
        <v/>
      </c>
      <c r="AD144" s="6">
        <f>IF(F144="","",IF((IF(AND(Y144=0,NOT(SUMPRODUCT(--ISNUMBER(SEARCH({"棚板","棚","アングル","ｱﾝｸﾞﾙ","使用不可","ケーブル","ｹｰﾌﾞﾙ","PatchPnael","パッチ","引き出し","引出","ブランク","ﾌﾞﾗﾝｸ","マネージ","ﾏﾈｰｼﾞ","PDU","ONU"},$F144&amp;"")))&gt;0),NOT(SUMPRODUCT(--ISNUMBER(SEARCH({"電源オフ","未投入","停止","未使用","撤去"},$X144&amp;"")))&gt;0)),"／電力が未記入","")&amp;IF(AND(NOT(ISNUMBER(J144)),NOT(SUMPRODUCT(--ISNUMBER(SEARCH({"棚板","棚","アングル","ｱﾝｸﾞﾙ","使用不可","ケーブル","ｹｰﾌﾞﾙ","PatchPnael","パッチ","引き出し","引出","ブランク","ﾌﾞﾗﾝｸ","マネージ","ﾏﾈｰｼﾞ","PDU","ONU"},$F144&amp;"")))&gt;0)),"／重量が未記入","")&amp;IF(AND(K144&lt;&gt;"",NOT(ISNUMBER(K144))),"／電圧が数値でない","")&amp;IF(AND(N144&lt;&gt;"",NOT(ISNUMBER(N144))),"／電流が数値でない","")&amp;IF(AND(C144&lt;&gt;"",C144&lt;1),"／開始Uが1未満","")&amp;IF(AND(E144&lt;&gt;"",E144&gt;IFERROR(VLOOKUP(A144,ラック定義!$A:$B,2,FALSE),47)),"／総Uをはみ出す","")&amp;IF(AND(A144&lt;&gt;"",COUNTIF(ラック定義!$A:$A,A144)=0),"／ラックが定義にない","")&amp;IF(AND(SUMPRODUCT((機器台帳!$A$2:$A$400=$A144)*((機器台帳!$B$2:$B$400=$B144)+(機器台帳!$B$2:$B$400="両面")+($B144="両面")&gt;0)*(機器台帳!$C$2:$C$400&lt;=$C144+$D144-1)*(機器台帳!$C$2:$C$400+機器台帳!$D$2:$D$400-1&gt;=$C144)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144&amp;"")))&gt;0)),"／同じUに他の機器(横並びなら正常)","")&amp;IF(AND(M144&lt;&gt;"",COUNTIFS(回路定義!$A:$A,A144,回路定義!$B:$B,M144)=0),"／回路1が定義にない","")&amp;IF(AND(P144&lt;&gt;"",COUNTIFS(回路定義!$A:$A,A144,回路定義!$B:$B,P144)=0),"／回路2が定義にない","")&amp;IF(AND(S144&lt;&gt;"",COUNTIFS(回路定義!$A:$A,A144,回路定義!$B:$B,S144)=0),"／回路3が定義にない",""))="","",MID(IF(AND(Y144=0,NOT(SUMPRODUCT(--ISNUMBER(SEARCH({"棚板","棚","アングル","ｱﾝｸﾞﾙ","使用不可","ケーブル","ｹｰﾌﾞﾙ","PatchPnael","パッチ","引き出し","引出","ブランク","ﾌﾞﾗﾝｸ","マネージ","ﾏﾈｰｼﾞ","PDU","ONU"},$F144&amp;"")))&gt;0),NOT(SUMPRODUCT(--ISNUMBER(SEARCH({"電源オフ","未投入","停止","未使用","撤去"},$X144&amp;"")))&gt;0)),"／電力が未記入","")&amp;IF(AND(NOT(ISNUMBER(J144)),NOT(SUMPRODUCT(--ISNUMBER(SEARCH({"棚板","棚","アングル","ｱﾝｸﾞﾙ","使用不可","ケーブル","ｹｰﾌﾞﾙ","PatchPnael","パッチ","引き出し","引出","ブランク","ﾌﾞﾗﾝｸ","マネージ","ﾏﾈｰｼﾞ","PDU","ONU"},$F144&amp;"")))&gt;0)),"／重量が未記入","")&amp;IF(AND(K144&lt;&gt;"",NOT(ISNUMBER(K144))),"／電圧が数値でない","")&amp;IF(AND(N144&lt;&gt;"",NOT(ISNUMBER(N144))),"／電流が数値でない","")&amp;IF(AND(C144&lt;&gt;"",C144&lt;1),"／開始Uが1未満","")&amp;IF(AND(E144&lt;&gt;"",E144&gt;IFERROR(VLOOKUP(A144,ラック定義!$A:$B,2,FALSE),47)),"／総Uをはみ出す","")&amp;IF(AND(A144&lt;&gt;"",COUNTIF(ラック定義!$A:$A,A144)=0),"／ラックが定義にない","")&amp;IF(AND(SUMPRODUCT((機器台帳!$A$2:$A$400=$A144)*((機器台帳!$B$2:$B$400=$B144)+(機器台帳!$B$2:$B$400="両面")+($B144="両面")&gt;0)*(機器台帳!$C$2:$C$400&lt;=$C144+$D144-1)*(機器台帳!$C$2:$C$400+機器台帳!$D$2:$D$400-1&gt;=$C144)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144&amp;"")))&gt;0)),"／同じUに他の機器(横並びなら正常)","")&amp;IF(AND(M144&lt;&gt;"",COUNTIFS(回路定義!$A:$A,A144,回路定義!$B:$B,M144)=0),"／回路1が定義にない","")&amp;IF(AND(P144&lt;&gt;"",COUNTIFS(回路定義!$A:$A,A144,回路定義!$B:$B,P144)=0),"／回路2が定義にない","")&amp;IF(AND(S144&lt;&gt;"",COUNTIFS(回路定義!$A:$A,A144,回路定義!$B:$B,S144)=0),"／回路3が定義にない",""),2,300)))</f>
        <v/>
      </c>
    </row>
    <row r="145">
      <c r="A145" s="5" t="inlineStr">
        <is>
          <t>E24-S8-5</t>
        </is>
      </c>
      <c r="B145" s="5" t="inlineStr">
        <is>
          <t>前面</t>
        </is>
      </c>
      <c r="C145" s="5" t="n">
        <v>15</v>
      </c>
      <c r="D145" s="5" t="n">
        <v>1</v>
      </c>
      <c r="E145" s="6">
        <f>IF(C145="","",C145+D145-1)</f>
        <v/>
      </c>
      <c r="F145" s="5" t="inlineStr">
        <is>
          <t>XC450</t>
        </is>
      </c>
      <c r="G145" s="5" t="inlineStr">
        <is>
          <t>H2309517</t>
        </is>
      </c>
      <c r="H145" s="5" t="inlineStr"/>
      <c r="I145" s="5" t="inlineStr">
        <is>
          <t>HCI</t>
        </is>
      </c>
      <c r="J145" s="5" t="n">
        <v>10</v>
      </c>
      <c r="K145" s="5" t="n">
        <v>100</v>
      </c>
      <c r="L145" s="5" t="n">
        <v>2</v>
      </c>
      <c r="M145" s="5" t="inlineStr">
        <is>
          <t>100V 20A （2）</t>
        </is>
      </c>
      <c r="N145" s="5" t="n">
        <v>1.5</v>
      </c>
      <c r="O145" s="5" t="n">
        <v>2</v>
      </c>
      <c r="P145" s="5" t="n"/>
      <c r="Q145" s="5" t="n"/>
      <c r="R145" s="5" t="n"/>
      <c r="S145" s="5" t="n"/>
      <c r="T145" s="5" t="n"/>
      <c r="U145" s="5" t="n"/>
      <c r="V145" s="5" t="inlineStr"/>
      <c r="W145" s="5" t="inlineStr"/>
      <c r="X145" s="5" t="inlineStr"/>
      <c r="Y145" s="6">
        <f>COUNT(N145,Q145,T145)</f>
        <v/>
      </c>
      <c r="Z145" s="6">
        <f>IF(OR(K145="",NOT(ISNUMBER(K145))),"",K145*SUM(N145,Q145,T145))</f>
        <v/>
      </c>
      <c r="AA145" s="6">
        <f>IF(OR(Y145=0,N145=""),"",N145/Y145)</f>
        <v/>
      </c>
      <c r="AB145" s="6">
        <f>IF(OR(Y145=0,Q145=""),"",Q145/Y145)</f>
        <v/>
      </c>
      <c r="AC145" s="6">
        <f>IF(OR(Y145=0,T145=""),"",T145/Y145)</f>
        <v/>
      </c>
      <c r="AD145" s="6">
        <f>IF(F145="","",IF((IF(AND(Y145=0,NOT(SUMPRODUCT(--ISNUMBER(SEARCH({"棚板","棚","アングル","ｱﾝｸﾞﾙ","使用不可","ケーブル","ｹｰﾌﾞﾙ","PatchPnael","パッチ","引き出し","引出","ブランク","ﾌﾞﾗﾝｸ","マネージ","ﾏﾈｰｼﾞ","PDU","ONU"},$F145&amp;"")))&gt;0),NOT(SUMPRODUCT(--ISNUMBER(SEARCH({"電源オフ","未投入","停止","未使用","撤去"},$X145&amp;"")))&gt;0)),"／電力が未記入","")&amp;IF(AND(NOT(ISNUMBER(J145)),NOT(SUMPRODUCT(--ISNUMBER(SEARCH({"棚板","棚","アングル","ｱﾝｸﾞﾙ","使用不可","ケーブル","ｹｰﾌﾞﾙ","PatchPnael","パッチ","引き出し","引出","ブランク","ﾌﾞﾗﾝｸ","マネージ","ﾏﾈｰｼﾞ","PDU","ONU"},$F145&amp;"")))&gt;0)),"／重量が未記入","")&amp;IF(AND(K145&lt;&gt;"",NOT(ISNUMBER(K145))),"／電圧が数値でない","")&amp;IF(AND(N145&lt;&gt;"",NOT(ISNUMBER(N145))),"／電流が数値でない","")&amp;IF(AND(C145&lt;&gt;"",C145&lt;1),"／開始Uが1未満","")&amp;IF(AND(E145&lt;&gt;"",E145&gt;IFERROR(VLOOKUP(A145,ラック定義!$A:$B,2,FALSE),47)),"／総Uをはみ出す","")&amp;IF(AND(A145&lt;&gt;"",COUNTIF(ラック定義!$A:$A,A145)=0),"／ラックが定義にない","")&amp;IF(AND(SUMPRODUCT((機器台帳!$A$2:$A$400=$A145)*((機器台帳!$B$2:$B$400=$B145)+(機器台帳!$B$2:$B$400="両面")+($B145="両面")&gt;0)*(機器台帳!$C$2:$C$400&lt;=$C145+$D145-1)*(機器台帳!$C$2:$C$400+機器台帳!$D$2:$D$400-1&gt;=$C145)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145&amp;"")))&gt;0)),"／同じUに他の機器(横並びなら正常)","")&amp;IF(AND(M145&lt;&gt;"",COUNTIFS(回路定義!$A:$A,A145,回路定義!$B:$B,M145)=0),"／回路1が定義にない","")&amp;IF(AND(P145&lt;&gt;"",COUNTIFS(回路定義!$A:$A,A145,回路定義!$B:$B,P145)=0),"／回路2が定義にない","")&amp;IF(AND(S145&lt;&gt;"",COUNTIFS(回路定義!$A:$A,A145,回路定義!$B:$B,S145)=0),"／回路3が定義にない",""))="","",MID(IF(AND(Y145=0,NOT(SUMPRODUCT(--ISNUMBER(SEARCH({"棚板","棚","アングル","ｱﾝｸﾞﾙ","使用不可","ケーブル","ｹｰﾌﾞﾙ","PatchPnael","パッチ","引き出し","引出","ブランク","ﾌﾞﾗﾝｸ","マネージ","ﾏﾈｰｼﾞ","PDU","ONU"},$F145&amp;"")))&gt;0),NOT(SUMPRODUCT(--ISNUMBER(SEARCH({"電源オフ","未投入","停止","未使用","撤去"},$X145&amp;"")))&gt;0)),"／電力が未記入","")&amp;IF(AND(NOT(ISNUMBER(J145)),NOT(SUMPRODUCT(--ISNUMBER(SEARCH({"棚板","棚","アングル","ｱﾝｸﾞﾙ","使用不可","ケーブル","ｹｰﾌﾞﾙ","PatchPnael","パッチ","引き出し","引出","ブランク","ﾌﾞﾗﾝｸ","マネージ","ﾏﾈｰｼﾞ","PDU","ONU"},$F145&amp;"")))&gt;0)),"／重量が未記入","")&amp;IF(AND(K145&lt;&gt;"",NOT(ISNUMBER(K145))),"／電圧が数値でない","")&amp;IF(AND(N145&lt;&gt;"",NOT(ISNUMBER(N145))),"／電流が数値でない","")&amp;IF(AND(C145&lt;&gt;"",C145&lt;1),"／開始Uが1未満","")&amp;IF(AND(E145&lt;&gt;"",E145&gt;IFERROR(VLOOKUP(A145,ラック定義!$A:$B,2,FALSE),47)),"／総Uをはみ出す","")&amp;IF(AND(A145&lt;&gt;"",COUNTIF(ラック定義!$A:$A,A145)=0),"／ラックが定義にない","")&amp;IF(AND(SUMPRODUCT((機器台帳!$A$2:$A$400=$A145)*((機器台帳!$B$2:$B$400=$B145)+(機器台帳!$B$2:$B$400="両面")+($B145="両面")&gt;0)*(機器台帳!$C$2:$C$400&lt;=$C145+$D145-1)*(機器台帳!$C$2:$C$400+機器台帳!$D$2:$D$400-1&gt;=$C145)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145&amp;"")))&gt;0)),"／同じUに他の機器(横並びなら正常)","")&amp;IF(AND(M145&lt;&gt;"",COUNTIFS(回路定義!$A:$A,A145,回路定義!$B:$B,M145)=0),"／回路1が定義にない","")&amp;IF(AND(P145&lt;&gt;"",COUNTIFS(回路定義!$A:$A,A145,回路定義!$B:$B,P145)=0),"／回路2が定義にない","")&amp;IF(AND(S145&lt;&gt;"",COUNTIFS(回路定義!$A:$A,A145,回路定義!$B:$B,S145)=0),"／回路3が定義にない",""),2,300)))</f>
        <v/>
      </c>
    </row>
    <row r="146">
      <c r="A146" s="5" t="inlineStr">
        <is>
          <t>E24-S8-5</t>
        </is>
      </c>
      <c r="B146" s="5" t="inlineStr">
        <is>
          <t>背面</t>
        </is>
      </c>
      <c r="C146" s="5" t="n">
        <v>15</v>
      </c>
      <c r="D146" s="5" t="n">
        <v>1</v>
      </c>
      <c r="E146" s="6">
        <f>IF(C146="","",C146+D146-1)</f>
        <v/>
      </c>
      <c r="F146" s="5" t="inlineStr">
        <is>
          <t>XC450</t>
        </is>
      </c>
      <c r="G146" s="5" t="inlineStr">
        <is>
          <t>H23099517</t>
        </is>
      </c>
      <c r="H146" s="5" t="inlineStr"/>
      <c r="I146" s="5" t="inlineStr">
        <is>
          <t>HCI</t>
        </is>
      </c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inlineStr"/>
      <c r="W146" s="5" t="inlineStr"/>
      <c r="X146" s="5" t="inlineStr"/>
      <c r="Y146" s="6">
        <f>COUNT(N146,Q146,T146)</f>
        <v/>
      </c>
      <c r="Z146" s="6">
        <f>IF(OR(K146="",NOT(ISNUMBER(K146))),"",K146*SUM(N146,Q146,T146))</f>
        <v/>
      </c>
      <c r="AA146" s="6">
        <f>IF(OR(Y146=0,N146=""),"",N146/Y146)</f>
        <v/>
      </c>
      <c r="AB146" s="6">
        <f>IF(OR(Y146=0,Q146=""),"",Q146/Y146)</f>
        <v/>
      </c>
      <c r="AC146" s="6">
        <f>IF(OR(Y146=0,T146=""),"",T146/Y146)</f>
        <v/>
      </c>
      <c r="AD146" s="6">
        <f>IF(F146="","",IF((IF(AND(Y146=0,NOT(SUMPRODUCT(--ISNUMBER(SEARCH({"棚板","棚","アングル","ｱﾝｸﾞﾙ","使用不可","ケーブル","ｹｰﾌﾞﾙ","PatchPnael","パッチ","引き出し","引出","ブランク","ﾌﾞﾗﾝｸ","マネージ","ﾏﾈｰｼﾞ","PDU","ONU"},$F146&amp;"")))&gt;0),NOT(SUMPRODUCT(--ISNUMBER(SEARCH({"電源オフ","未投入","停止","未使用","撤去"},$X146&amp;"")))&gt;0)),"／電力が未記入","")&amp;IF(AND(NOT(ISNUMBER(J146)),NOT(SUMPRODUCT(--ISNUMBER(SEARCH({"棚板","棚","アングル","ｱﾝｸﾞﾙ","使用不可","ケーブル","ｹｰﾌﾞﾙ","PatchPnael","パッチ","引き出し","引出","ブランク","ﾌﾞﾗﾝｸ","マネージ","ﾏﾈｰｼﾞ","PDU","ONU"},$F146&amp;"")))&gt;0)),"／重量が未記入","")&amp;IF(AND(K146&lt;&gt;"",NOT(ISNUMBER(K146))),"／電圧が数値でない","")&amp;IF(AND(N146&lt;&gt;"",NOT(ISNUMBER(N146))),"／電流が数値でない","")&amp;IF(AND(C146&lt;&gt;"",C146&lt;1),"／開始Uが1未満","")&amp;IF(AND(E146&lt;&gt;"",E146&gt;IFERROR(VLOOKUP(A146,ラック定義!$A:$B,2,FALSE),47)),"／総Uをはみ出す","")&amp;IF(AND(A146&lt;&gt;"",COUNTIF(ラック定義!$A:$A,A146)=0),"／ラックが定義にない","")&amp;IF(AND(SUMPRODUCT((機器台帳!$A$2:$A$400=$A146)*((機器台帳!$B$2:$B$400=$B146)+(機器台帳!$B$2:$B$400="両面")+($B146="両面")&gt;0)*(機器台帳!$C$2:$C$400&lt;=$C146+$D146-1)*(機器台帳!$C$2:$C$400+機器台帳!$D$2:$D$400-1&gt;=$C146)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146&amp;"")))&gt;0)),"／同じUに他の機器(横並びなら正常)","")&amp;IF(AND(M146&lt;&gt;"",COUNTIFS(回路定義!$A:$A,A146,回路定義!$B:$B,M146)=0),"／回路1が定義にない","")&amp;IF(AND(P146&lt;&gt;"",COUNTIFS(回路定義!$A:$A,A146,回路定義!$B:$B,P146)=0),"／回路2が定義にない","")&amp;IF(AND(S146&lt;&gt;"",COUNTIFS(回路定義!$A:$A,A146,回路定義!$B:$B,S146)=0),"／回路3が定義にない",""))="","",MID(IF(AND(Y146=0,NOT(SUMPRODUCT(--ISNUMBER(SEARCH({"棚板","棚","アングル","ｱﾝｸﾞﾙ","使用不可","ケーブル","ｹｰﾌﾞﾙ","PatchPnael","パッチ","引き出し","引出","ブランク","ﾌﾞﾗﾝｸ","マネージ","ﾏﾈｰｼﾞ","PDU","ONU"},$F146&amp;"")))&gt;0),NOT(SUMPRODUCT(--ISNUMBER(SEARCH({"電源オフ","未投入","停止","未使用","撤去"},$X146&amp;"")))&gt;0)),"／電力が未記入","")&amp;IF(AND(NOT(ISNUMBER(J146)),NOT(SUMPRODUCT(--ISNUMBER(SEARCH({"棚板","棚","アングル","ｱﾝｸﾞﾙ","使用不可","ケーブル","ｹｰﾌﾞﾙ","PatchPnael","パッチ","引き出し","引出","ブランク","ﾌﾞﾗﾝｸ","マネージ","ﾏﾈｰｼﾞ","PDU","ONU"},$F146&amp;"")))&gt;0)),"／重量が未記入","")&amp;IF(AND(K146&lt;&gt;"",NOT(ISNUMBER(K146))),"／電圧が数値でない","")&amp;IF(AND(N146&lt;&gt;"",NOT(ISNUMBER(N146))),"／電流が数値でない","")&amp;IF(AND(C146&lt;&gt;"",C146&lt;1),"／開始Uが1未満","")&amp;IF(AND(E146&lt;&gt;"",E146&gt;IFERROR(VLOOKUP(A146,ラック定義!$A:$B,2,FALSE),47)),"／総Uをはみ出す","")&amp;IF(AND(A146&lt;&gt;"",COUNTIF(ラック定義!$A:$A,A146)=0),"／ラックが定義にない","")&amp;IF(AND(SUMPRODUCT((機器台帳!$A$2:$A$400=$A146)*((機器台帳!$B$2:$B$400=$B146)+(機器台帳!$B$2:$B$400="両面")+($B146="両面")&gt;0)*(機器台帳!$C$2:$C$400&lt;=$C146+$D146-1)*(機器台帳!$C$2:$C$400+機器台帳!$D$2:$D$400-1&gt;=$C146)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146&amp;"")))&gt;0)),"／同じUに他の機器(横並びなら正常)","")&amp;IF(AND(M146&lt;&gt;"",COUNTIFS(回路定義!$A:$A,A146,回路定義!$B:$B,M146)=0),"／回路1が定義にない","")&amp;IF(AND(P146&lt;&gt;"",COUNTIFS(回路定義!$A:$A,A146,回路定義!$B:$B,P146)=0),"／回路2が定義にない","")&amp;IF(AND(S146&lt;&gt;"",COUNTIFS(回路定義!$A:$A,A146,回路定義!$B:$B,S146)=0),"／回路3が定義にない",""),2,300)))</f>
        <v/>
      </c>
    </row>
    <row r="147">
      <c r="A147" s="5" t="inlineStr">
        <is>
          <t>E24-S8-5</t>
        </is>
      </c>
      <c r="B147" s="5" t="inlineStr">
        <is>
          <t>前面</t>
        </is>
      </c>
      <c r="C147" s="5" t="n">
        <v>14</v>
      </c>
      <c r="D147" s="5" t="n">
        <v>1</v>
      </c>
      <c r="E147" s="6">
        <f>IF(C147="","",C147+D147-1)</f>
        <v/>
      </c>
      <c r="F147" s="5" t="inlineStr">
        <is>
          <t>XC450</t>
        </is>
      </c>
      <c r="G147" s="5" t="inlineStr">
        <is>
          <t>H2309518</t>
        </is>
      </c>
      <c r="H147" s="5" t="inlineStr"/>
      <c r="I147" s="5" t="inlineStr">
        <is>
          <t>HCI</t>
        </is>
      </c>
      <c r="J147" s="5" t="n">
        <v>10</v>
      </c>
      <c r="K147" s="5" t="n">
        <v>100</v>
      </c>
      <c r="L147" s="5" t="n">
        <v>2</v>
      </c>
      <c r="M147" s="5" t="inlineStr">
        <is>
          <t>100V 20A （2）</t>
        </is>
      </c>
      <c r="N147" s="5" t="n">
        <v>1.5</v>
      </c>
      <c r="O147" s="5" t="n">
        <v>2</v>
      </c>
      <c r="P147" s="5" t="n"/>
      <c r="Q147" s="5" t="n"/>
      <c r="R147" s="5" t="n"/>
      <c r="S147" s="5" t="n"/>
      <c r="T147" s="5" t="n"/>
      <c r="U147" s="5" t="n"/>
      <c r="V147" s="5" t="inlineStr">
        <is>
          <t>〇</t>
        </is>
      </c>
      <c r="W147" s="5" t="inlineStr"/>
      <c r="X147" s="5" t="inlineStr"/>
      <c r="Y147" s="6">
        <f>COUNT(N147,Q147,T147)</f>
        <v/>
      </c>
      <c r="Z147" s="6">
        <f>IF(OR(K147="",NOT(ISNUMBER(K147))),"",K147*SUM(N147,Q147,T147))</f>
        <v/>
      </c>
      <c r="AA147" s="6">
        <f>IF(OR(Y147=0,N147=""),"",N147/Y147)</f>
        <v/>
      </c>
      <c r="AB147" s="6">
        <f>IF(OR(Y147=0,Q147=""),"",Q147/Y147)</f>
        <v/>
      </c>
      <c r="AC147" s="6">
        <f>IF(OR(Y147=0,T147=""),"",T147/Y147)</f>
        <v/>
      </c>
      <c r="AD147" s="6">
        <f>IF(F147="","",IF((IF(AND(Y147=0,NOT(SUMPRODUCT(--ISNUMBER(SEARCH({"棚板","棚","アングル","ｱﾝｸﾞﾙ","使用不可","ケーブル","ｹｰﾌﾞﾙ","PatchPnael","パッチ","引き出し","引出","ブランク","ﾌﾞﾗﾝｸ","マネージ","ﾏﾈｰｼﾞ","PDU","ONU"},$F147&amp;"")))&gt;0),NOT(SUMPRODUCT(--ISNUMBER(SEARCH({"電源オフ","未投入","停止","未使用","撤去"},$X147&amp;"")))&gt;0)),"／電力が未記入","")&amp;IF(AND(NOT(ISNUMBER(J147)),NOT(SUMPRODUCT(--ISNUMBER(SEARCH({"棚板","棚","アングル","ｱﾝｸﾞﾙ","使用不可","ケーブル","ｹｰﾌﾞﾙ","PatchPnael","パッチ","引き出し","引出","ブランク","ﾌﾞﾗﾝｸ","マネージ","ﾏﾈｰｼﾞ","PDU","ONU"},$F147&amp;"")))&gt;0)),"／重量が未記入","")&amp;IF(AND(K147&lt;&gt;"",NOT(ISNUMBER(K147))),"／電圧が数値でない","")&amp;IF(AND(N147&lt;&gt;"",NOT(ISNUMBER(N147))),"／電流が数値でない","")&amp;IF(AND(C147&lt;&gt;"",C147&lt;1),"／開始Uが1未満","")&amp;IF(AND(E147&lt;&gt;"",E147&gt;IFERROR(VLOOKUP(A147,ラック定義!$A:$B,2,FALSE),47)),"／総Uをはみ出す","")&amp;IF(AND(A147&lt;&gt;"",COUNTIF(ラック定義!$A:$A,A147)=0),"／ラックが定義にない","")&amp;IF(AND(SUMPRODUCT((機器台帳!$A$2:$A$400=$A147)*((機器台帳!$B$2:$B$400=$B147)+(機器台帳!$B$2:$B$400="両面")+($B147="両面")&gt;0)*(機器台帳!$C$2:$C$400&lt;=$C147+$D147-1)*(機器台帳!$C$2:$C$400+機器台帳!$D$2:$D$400-1&gt;=$C147)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147&amp;"")))&gt;0)),"／同じUに他の機器(横並びなら正常)","")&amp;IF(AND(M147&lt;&gt;"",COUNTIFS(回路定義!$A:$A,A147,回路定義!$B:$B,M147)=0),"／回路1が定義にない","")&amp;IF(AND(P147&lt;&gt;"",COUNTIFS(回路定義!$A:$A,A147,回路定義!$B:$B,P147)=0),"／回路2が定義にない","")&amp;IF(AND(S147&lt;&gt;"",COUNTIFS(回路定義!$A:$A,A147,回路定義!$B:$B,S147)=0),"／回路3が定義にない",""))="","",MID(IF(AND(Y147=0,NOT(SUMPRODUCT(--ISNUMBER(SEARCH({"棚板","棚","アングル","ｱﾝｸﾞﾙ","使用不可","ケーブル","ｹｰﾌﾞﾙ","PatchPnael","パッチ","引き出し","引出","ブランク","ﾌﾞﾗﾝｸ","マネージ","ﾏﾈｰｼﾞ","PDU","ONU"},$F147&amp;"")))&gt;0),NOT(SUMPRODUCT(--ISNUMBER(SEARCH({"電源オフ","未投入","停止","未使用","撤去"},$X147&amp;"")))&gt;0)),"／電力が未記入","")&amp;IF(AND(NOT(ISNUMBER(J147)),NOT(SUMPRODUCT(--ISNUMBER(SEARCH({"棚板","棚","アングル","ｱﾝｸﾞﾙ","使用不可","ケーブル","ｹｰﾌﾞﾙ","PatchPnael","パッチ","引き出し","引出","ブランク","ﾌﾞﾗﾝｸ","マネージ","ﾏﾈｰｼﾞ","PDU","ONU"},$F147&amp;"")))&gt;0)),"／重量が未記入","")&amp;IF(AND(K147&lt;&gt;"",NOT(ISNUMBER(K147))),"／電圧が数値でない","")&amp;IF(AND(N147&lt;&gt;"",NOT(ISNUMBER(N147))),"／電流が数値でない","")&amp;IF(AND(C147&lt;&gt;"",C147&lt;1),"／開始Uが1未満","")&amp;IF(AND(E147&lt;&gt;"",E147&gt;IFERROR(VLOOKUP(A147,ラック定義!$A:$B,2,FALSE),47)),"／総Uをはみ出す","")&amp;IF(AND(A147&lt;&gt;"",COUNTIF(ラック定義!$A:$A,A147)=0),"／ラックが定義にない","")&amp;IF(AND(SUMPRODUCT((機器台帳!$A$2:$A$400=$A147)*((機器台帳!$B$2:$B$400=$B147)+(機器台帳!$B$2:$B$400="両面")+($B147="両面")&gt;0)*(機器台帳!$C$2:$C$400&lt;=$C147+$D147-1)*(機器台帳!$C$2:$C$400+機器台帳!$D$2:$D$400-1&gt;=$C147)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147&amp;"")))&gt;0)),"／同じUに他の機器(横並びなら正常)","")&amp;IF(AND(M147&lt;&gt;"",COUNTIFS(回路定義!$A:$A,A147,回路定義!$B:$B,M147)=0),"／回路1が定義にない","")&amp;IF(AND(P147&lt;&gt;"",COUNTIFS(回路定義!$A:$A,A147,回路定義!$B:$B,P147)=0),"／回路2が定義にない","")&amp;IF(AND(S147&lt;&gt;"",COUNTIFS(回路定義!$A:$A,A147,回路定義!$B:$B,S147)=0),"／回路3が定義にない",""),2,300)))</f>
        <v/>
      </c>
    </row>
    <row r="148">
      <c r="A148" s="5" t="inlineStr">
        <is>
          <t>E24-S8-5</t>
        </is>
      </c>
      <c r="B148" s="5" t="inlineStr">
        <is>
          <t>背面</t>
        </is>
      </c>
      <c r="C148" s="5" t="n">
        <v>14</v>
      </c>
      <c r="D148" s="5" t="n">
        <v>1</v>
      </c>
      <c r="E148" s="6">
        <f>IF(C148="","",C148+D148-1)</f>
        <v/>
      </c>
      <c r="F148" s="5" t="inlineStr">
        <is>
          <t>XC450</t>
        </is>
      </c>
      <c r="G148" s="5" t="inlineStr">
        <is>
          <t>H23099518</t>
        </is>
      </c>
      <c r="H148" s="5" t="inlineStr"/>
      <c r="I148" s="5" t="inlineStr">
        <is>
          <t>HCI</t>
        </is>
      </c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inlineStr">
        <is>
          <t>〇</t>
        </is>
      </c>
      <c r="W148" s="5" t="inlineStr"/>
      <c r="X148" s="5" t="inlineStr"/>
      <c r="Y148" s="6">
        <f>COUNT(N148,Q148,T148)</f>
        <v/>
      </c>
      <c r="Z148" s="6">
        <f>IF(OR(K148="",NOT(ISNUMBER(K148))),"",K148*SUM(N148,Q148,T148))</f>
        <v/>
      </c>
      <c r="AA148" s="6">
        <f>IF(OR(Y148=0,N148=""),"",N148/Y148)</f>
        <v/>
      </c>
      <c r="AB148" s="6">
        <f>IF(OR(Y148=0,Q148=""),"",Q148/Y148)</f>
        <v/>
      </c>
      <c r="AC148" s="6">
        <f>IF(OR(Y148=0,T148=""),"",T148/Y148)</f>
        <v/>
      </c>
      <c r="AD148" s="6">
        <f>IF(F148="","",IF((IF(AND(Y148=0,NOT(SUMPRODUCT(--ISNUMBER(SEARCH({"棚板","棚","アングル","ｱﾝｸﾞﾙ","使用不可","ケーブル","ｹｰﾌﾞﾙ","PatchPnael","パッチ","引き出し","引出","ブランク","ﾌﾞﾗﾝｸ","マネージ","ﾏﾈｰｼﾞ","PDU","ONU"},$F148&amp;"")))&gt;0),NOT(SUMPRODUCT(--ISNUMBER(SEARCH({"電源オフ","未投入","停止","未使用","撤去"},$X148&amp;"")))&gt;0)),"／電力が未記入","")&amp;IF(AND(NOT(ISNUMBER(J148)),NOT(SUMPRODUCT(--ISNUMBER(SEARCH({"棚板","棚","アングル","ｱﾝｸﾞﾙ","使用不可","ケーブル","ｹｰﾌﾞﾙ","PatchPnael","パッチ","引き出し","引出","ブランク","ﾌﾞﾗﾝｸ","マネージ","ﾏﾈｰｼﾞ","PDU","ONU"},$F148&amp;"")))&gt;0)),"／重量が未記入","")&amp;IF(AND(K148&lt;&gt;"",NOT(ISNUMBER(K148))),"／電圧が数値でない","")&amp;IF(AND(N148&lt;&gt;"",NOT(ISNUMBER(N148))),"／電流が数値でない","")&amp;IF(AND(C148&lt;&gt;"",C148&lt;1),"／開始Uが1未満","")&amp;IF(AND(E148&lt;&gt;"",E148&gt;IFERROR(VLOOKUP(A148,ラック定義!$A:$B,2,FALSE),47)),"／総Uをはみ出す","")&amp;IF(AND(A148&lt;&gt;"",COUNTIF(ラック定義!$A:$A,A148)=0),"／ラックが定義にない","")&amp;IF(AND(SUMPRODUCT((機器台帳!$A$2:$A$400=$A148)*((機器台帳!$B$2:$B$400=$B148)+(機器台帳!$B$2:$B$400="両面")+($B148="両面")&gt;0)*(機器台帳!$C$2:$C$400&lt;=$C148+$D148-1)*(機器台帳!$C$2:$C$400+機器台帳!$D$2:$D$400-1&gt;=$C148)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148&amp;"")))&gt;0)),"／同じUに他の機器(横並びなら正常)","")&amp;IF(AND(M148&lt;&gt;"",COUNTIFS(回路定義!$A:$A,A148,回路定義!$B:$B,M148)=0),"／回路1が定義にない","")&amp;IF(AND(P148&lt;&gt;"",COUNTIFS(回路定義!$A:$A,A148,回路定義!$B:$B,P148)=0),"／回路2が定義にない","")&amp;IF(AND(S148&lt;&gt;"",COUNTIFS(回路定義!$A:$A,A148,回路定義!$B:$B,S148)=0),"／回路3が定義にない",""))="","",MID(IF(AND(Y148=0,NOT(SUMPRODUCT(--ISNUMBER(SEARCH({"棚板","棚","アングル","ｱﾝｸﾞﾙ","使用不可","ケーブル","ｹｰﾌﾞﾙ","PatchPnael","パッチ","引き出し","引出","ブランク","ﾌﾞﾗﾝｸ","マネージ","ﾏﾈｰｼﾞ","PDU","ONU"},$F148&amp;"")))&gt;0),NOT(SUMPRODUCT(--ISNUMBER(SEARCH({"電源オフ","未投入","停止","未使用","撤去"},$X148&amp;"")))&gt;0)),"／電力が未記入","")&amp;IF(AND(NOT(ISNUMBER(J148)),NOT(SUMPRODUCT(--ISNUMBER(SEARCH({"棚板","棚","アングル","ｱﾝｸﾞﾙ","使用不可","ケーブル","ｹｰﾌﾞﾙ","PatchPnael","パッチ","引き出し","引出","ブランク","ﾌﾞﾗﾝｸ","マネージ","ﾏﾈｰｼﾞ","PDU","ONU"},$F148&amp;"")))&gt;0)),"／重量が未記入","")&amp;IF(AND(K148&lt;&gt;"",NOT(ISNUMBER(K148))),"／電圧が数値でない","")&amp;IF(AND(N148&lt;&gt;"",NOT(ISNUMBER(N148))),"／電流が数値でない","")&amp;IF(AND(C148&lt;&gt;"",C148&lt;1),"／開始Uが1未満","")&amp;IF(AND(E148&lt;&gt;"",E148&gt;IFERROR(VLOOKUP(A148,ラック定義!$A:$B,2,FALSE),47)),"／総Uをはみ出す","")&amp;IF(AND(A148&lt;&gt;"",COUNTIF(ラック定義!$A:$A,A148)=0),"／ラックが定義にない","")&amp;IF(AND(SUMPRODUCT((機器台帳!$A$2:$A$400=$A148)*((機器台帳!$B$2:$B$400=$B148)+(機器台帳!$B$2:$B$400="両面")+($B148="両面")&gt;0)*(機器台帳!$C$2:$C$400&lt;=$C148+$D148-1)*(機器台帳!$C$2:$C$400+機器台帳!$D$2:$D$400-1&gt;=$C148)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148&amp;"")))&gt;0)),"／同じUに他の機器(横並びなら正常)","")&amp;IF(AND(M148&lt;&gt;"",COUNTIFS(回路定義!$A:$A,A148,回路定義!$B:$B,M148)=0),"／回路1が定義にない","")&amp;IF(AND(P148&lt;&gt;"",COUNTIFS(回路定義!$A:$A,A148,回路定義!$B:$B,P148)=0),"／回路2が定義にない","")&amp;IF(AND(S148&lt;&gt;"",COUNTIFS(回路定義!$A:$A,A148,回路定義!$B:$B,S148)=0),"／回路3が定義にない",""),2,300)))</f>
        <v/>
      </c>
    </row>
    <row r="149">
      <c r="A149" s="5" t="inlineStr">
        <is>
          <t>E24-S8-5</t>
        </is>
      </c>
      <c r="B149" s="5" t="inlineStr">
        <is>
          <t>前面</t>
        </is>
      </c>
      <c r="C149" s="5" t="n">
        <v>13</v>
      </c>
      <c r="D149" s="5" t="n">
        <v>1</v>
      </c>
      <c r="E149" s="6">
        <f>IF(C149="","",C149+D149-1)</f>
        <v/>
      </c>
      <c r="F149" s="5" t="inlineStr">
        <is>
          <t>XC450</t>
        </is>
      </c>
      <c r="G149" s="5" t="inlineStr">
        <is>
          <t>H2309519</t>
        </is>
      </c>
      <c r="H149" s="5" t="inlineStr"/>
      <c r="I149" s="5" t="inlineStr">
        <is>
          <t>HCI</t>
        </is>
      </c>
      <c r="J149" s="5" t="n">
        <v>10</v>
      </c>
      <c r="K149" s="5" t="n">
        <v>100</v>
      </c>
      <c r="L149" s="5" t="n">
        <v>2</v>
      </c>
      <c r="M149" s="5" t="inlineStr">
        <is>
          <t>100V 20A （1）</t>
        </is>
      </c>
      <c r="N149" s="5" t="n">
        <v>1.5</v>
      </c>
      <c r="O149" s="5" t="n">
        <v>2</v>
      </c>
      <c r="P149" s="5" t="n"/>
      <c r="Q149" s="5" t="n"/>
      <c r="R149" s="5" t="n"/>
      <c r="S149" s="5" t="n"/>
      <c r="T149" s="5" t="n"/>
      <c r="U149" s="5" t="n"/>
      <c r="V149" s="5" t="inlineStr"/>
      <c r="W149" s="5" t="inlineStr"/>
      <c r="X149" s="5" t="inlineStr"/>
      <c r="Y149" s="6">
        <f>COUNT(N149,Q149,T149)</f>
        <v/>
      </c>
      <c r="Z149" s="6">
        <f>IF(OR(K149="",NOT(ISNUMBER(K149))),"",K149*SUM(N149,Q149,T149))</f>
        <v/>
      </c>
      <c r="AA149" s="6">
        <f>IF(OR(Y149=0,N149=""),"",N149/Y149)</f>
        <v/>
      </c>
      <c r="AB149" s="6">
        <f>IF(OR(Y149=0,Q149=""),"",Q149/Y149)</f>
        <v/>
      </c>
      <c r="AC149" s="6">
        <f>IF(OR(Y149=0,T149=""),"",T149/Y149)</f>
        <v/>
      </c>
      <c r="AD149" s="6">
        <f>IF(F149="","",IF((IF(AND(Y149=0,NOT(SUMPRODUCT(--ISNUMBER(SEARCH({"棚板","棚","アングル","ｱﾝｸﾞﾙ","使用不可","ケーブル","ｹｰﾌﾞﾙ","PatchPnael","パッチ","引き出し","引出","ブランク","ﾌﾞﾗﾝｸ","マネージ","ﾏﾈｰｼﾞ","PDU","ONU"},$F149&amp;"")))&gt;0),NOT(SUMPRODUCT(--ISNUMBER(SEARCH({"電源オフ","未投入","停止","未使用","撤去"},$X149&amp;"")))&gt;0)),"／電力が未記入","")&amp;IF(AND(NOT(ISNUMBER(J149)),NOT(SUMPRODUCT(--ISNUMBER(SEARCH({"棚板","棚","アングル","ｱﾝｸﾞﾙ","使用不可","ケーブル","ｹｰﾌﾞﾙ","PatchPnael","パッチ","引き出し","引出","ブランク","ﾌﾞﾗﾝｸ","マネージ","ﾏﾈｰｼﾞ","PDU","ONU"},$F149&amp;"")))&gt;0)),"／重量が未記入","")&amp;IF(AND(K149&lt;&gt;"",NOT(ISNUMBER(K149))),"／電圧が数値でない","")&amp;IF(AND(N149&lt;&gt;"",NOT(ISNUMBER(N149))),"／電流が数値でない","")&amp;IF(AND(C149&lt;&gt;"",C149&lt;1),"／開始Uが1未満","")&amp;IF(AND(E149&lt;&gt;"",E149&gt;IFERROR(VLOOKUP(A149,ラック定義!$A:$B,2,FALSE),47)),"／総Uをはみ出す","")&amp;IF(AND(A149&lt;&gt;"",COUNTIF(ラック定義!$A:$A,A149)=0),"／ラックが定義にない","")&amp;IF(AND(SUMPRODUCT((機器台帳!$A$2:$A$400=$A149)*((機器台帳!$B$2:$B$400=$B149)+(機器台帳!$B$2:$B$400="両面")+($B149="両面")&gt;0)*(機器台帳!$C$2:$C$400&lt;=$C149+$D149-1)*(機器台帳!$C$2:$C$400+機器台帳!$D$2:$D$400-1&gt;=$C149)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149&amp;"")))&gt;0)),"／同じUに他の機器(横並びなら正常)","")&amp;IF(AND(M149&lt;&gt;"",COUNTIFS(回路定義!$A:$A,A149,回路定義!$B:$B,M149)=0),"／回路1が定義にない","")&amp;IF(AND(P149&lt;&gt;"",COUNTIFS(回路定義!$A:$A,A149,回路定義!$B:$B,P149)=0),"／回路2が定義にない","")&amp;IF(AND(S149&lt;&gt;"",COUNTIFS(回路定義!$A:$A,A149,回路定義!$B:$B,S149)=0),"／回路3が定義にない",""))="","",MID(IF(AND(Y149=0,NOT(SUMPRODUCT(--ISNUMBER(SEARCH({"棚板","棚","アングル","ｱﾝｸﾞﾙ","使用不可","ケーブル","ｹｰﾌﾞﾙ","PatchPnael","パッチ","引き出し","引出","ブランク","ﾌﾞﾗﾝｸ","マネージ","ﾏﾈｰｼﾞ","PDU","ONU"},$F149&amp;"")))&gt;0),NOT(SUMPRODUCT(--ISNUMBER(SEARCH({"電源オフ","未投入","停止","未使用","撤去"},$X149&amp;"")))&gt;0)),"／電力が未記入","")&amp;IF(AND(NOT(ISNUMBER(J149)),NOT(SUMPRODUCT(--ISNUMBER(SEARCH({"棚板","棚","アングル","ｱﾝｸﾞﾙ","使用不可","ケーブル","ｹｰﾌﾞﾙ","PatchPnael","パッチ","引き出し","引出","ブランク","ﾌﾞﾗﾝｸ","マネージ","ﾏﾈｰｼﾞ","PDU","ONU"},$F149&amp;"")))&gt;0)),"／重量が未記入","")&amp;IF(AND(K149&lt;&gt;"",NOT(ISNUMBER(K149))),"／電圧が数値でない","")&amp;IF(AND(N149&lt;&gt;"",NOT(ISNUMBER(N149))),"／電流が数値でない","")&amp;IF(AND(C149&lt;&gt;"",C149&lt;1),"／開始Uが1未満","")&amp;IF(AND(E149&lt;&gt;"",E149&gt;IFERROR(VLOOKUP(A149,ラック定義!$A:$B,2,FALSE),47)),"／総Uをはみ出す","")&amp;IF(AND(A149&lt;&gt;"",COUNTIF(ラック定義!$A:$A,A149)=0),"／ラックが定義にない","")&amp;IF(AND(SUMPRODUCT((機器台帳!$A$2:$A$400=$A149)*((機器台帳!$B$2:$B$400=$B149)+(機器台帳!$B$2:$B$400="両面")+($B149="両面")&gt;0)*(機器台帳!$C$2:$C$400&lt;=$C149+$D149-1)*(機器台帳!$C$2:$C$400+機器台帳!$D$2:$D$400-1&gt;=$C149)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149&amp;"")))&gt;0)),"／同じUに他の機器(横並びなら正常)","")&amp;IF(AND(M149&lt;&gt;"",COUNTIFS(回路定義!$A:$A,A149,回路定義!$B:$B,M149)=0),"／回路1が定義にない","")&amp;IF(AND(P149&lt;&gt;"",COUNTIFS(回路定義!$A:$A,A149,回路定義!$B:$B,P149)=0),"／回路2が定義にない","")&amp;IF(AND(S149&lt;&gt;"",COUNTIFS(回路定義!$A:$A,A149,回路定義!$B:$B,S149)=0),"／回路3が定義にない",""),2,300)))</f>
        <v/>
      </c>
    </row>
    <row r="150">
      <c r="A150" s="5" t="inlineStr">
        <is>
          <t>E24-S8-5</t>
        </is>
      </c>
      <c r="B150" s="5" t="inlineStr">
        <is>
          <t>背面</t>
        </is>
      </c>
      <c r="C150" s="5" t="n">
        <v>13</v>
      </c>
      <c r="D150" s="5" t="n">
        <v>1</v>
      </c>
      <c r="E150" s="6">
        <f>IF(C150="","",C150+D150-1)</f>
        <v/>
      </c>
      <c r="F150" s="5" t="inlineStr">
        <is>
          <t>XC450</t>
        </is>
      </c>
      <c r="G150" s="5" t="inlineStr">
        <is>
          <t>H23099519</t>
        </is>
      </c>
      <c r="H150" s="5" t="inlineStr"/>
      <c r="I150" s="5" t="inlineStr">
        <is>
          <t>HCI</t>
        </is>
      </c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inlineStr"/>
      <c r="W150" s="5" t="inlineStr"/>
      <c r="X150" s="5" t="inlineStr"/>
      <c r="Y150" s="6">
        <f>COUNT(N150,Q150,T150)</f>
        <v/>
      </c>
      <c r="Z150" s="6">
        <f>IF(OR(K150="",NOT(ISNUMBER(K150))),"",K150*SUM(N150,Q150,T150))</f>
        <v/>
      </c>
      <c r="AA150" s="6">
        <f>IF(OR(Y150=0,N150=""),"",N150/Y150)</f>
        <v/>
      </c>
      <c r="AB150" s="6">
        <f>IF(OR(Y150=0,Q150=""),"",Q150/Y150)</f>
        <v/>
      </c>
      <c r="AC150" s="6">
        <f>IF(OR(Y150=0,T150=""),"",T150/Y150)</f>
        <v/>
      </c>
      <c r="AD150" s="6">
        <f>IF(F150="","",IF((IF(AND(Y150=0,NOT(SUMPRODUCT(--ISNUMBER(SEARCH({"棚板","棚","アングル","ｱﾝｸﾞﾙ","使用不可","ケーブル","ｹｰﾌﾞﾙ","PatchPnael","パッチ","引き出し","引出","ブランク","ﾌﾞﾗﾝｸ","マネージ","ﾏﾈｰｼﾞ","PDU","ONU"},$F150&amp;"")))&gt;0),NOT(SUMPRODUCT(--ISNUMBER(SEARCH({"電源オフ","未投入","停止","未使用","撤去"},$X150&amp;"")))&gt;0)),"／電力が未記入","")&amp;IF(AND(NOT(ISNUMBER(J150)),NOT(SUMPRODUCT(--ISNUMBER(SEARCH({"棚板","棚","アングル","ｱﾝｸﾞﾙ","使用不可","ケーブル","ｹｰﾌﾞﾙ","PatchPnael","パッチ","引き出し","引出","ブランク","ﾌﾞﾗﾝｸ","マネージ","ﾏﾈｰｼﾞ","PDU","ONU"},$F150&amp;"")))&gt;0)),"／重量が未記入","")&amp;IF(AND(K150&lt;&gt;"",NOT(ISNUMBER(K150))),"／電圧が数値でない","")&amp;IF(AND(N150&lt;&gt;"",NOT(ISNUMBER(N150))),"／電流が数値でない","")&amp;IF(AND(C150&lt;&gt;"",C150&lt;1),"／開始Uが1未満","")&amp;IF(AND(E150&lt;&gt;"",E150&gt;IFERROR(VLOOKUP(A150,ラック定義!$A:$B,2,FALSE),47)),"／総Uをはみ出す","")&amp;IF(AND(A150&lt;&gt;"",COUNTIF(ラック定義!$A:$A,A150)=0),"／ラックが定義にない","")&amp;IF(AND(SUMPRODUCT((機器台帳!$A$2:$A$400=$A150)*((機器台帳!$B$2:$B$400=$B150)+(機器台帳!$B$2:$B$400="両面")+($B150="両面")&gt;0)*(機器台帳!$C$2:$C$400&lt;=$C150+$D150-1)*(機器台帳!$C$2:$C$400+機器台帳!$D$2:$D$400-1&gt;=$C150)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150&amp;"")))&gt;0)),"／同じUに他の機器(横並びなら正常)","")&amp;IF(AND(M150&lt;&gt;"",COUNTIFS(回路定義!$A:$A,A150,回路定義!$B:$B,M150)=0),"／回路1が定義にない","")&amp;IF(AND(P150&lt;&gt;"",COUNTIFS(回路定義!$A:$A,A150,回路定義!$B:$B,P150)=0),"／回路2が定義にない","")&amp;IF(AND(S150&lt;&gt;"",COUNTIFS(回路定義!$A:$A,A150,回路定義!$B:$B,S150)=0),"／回路3が定義にない",""))="","",MID(IF(AND(Y150=0,NOT(SUMPRODUCT(--ISNUMBER(SEARCH({"棚板","棚","アングル","ｱﾝｸﾞﾙ","使用不可","ケーブル","ｹｰﾌﾞﾙ","PatchPnael","パッチ","引き出し","引出","ブランク","ﾌﾞﾗﾝｸ","マネージ","ﾏﾈｰｼﾞ","PDU","ONU"},$F150&amp;"")))&gt;0),NOT(SUMPRODUCT(--ISNUMBER(SEARCH({"電源オフ","未投入","停止","未使用","撤去"},$X150&amp;"")))&gt;0)),"／電力が未記入","")&amp;IF(AND(NOT(ISNUMBER(J150)),NOT(SUMPRODUCT(--ISNUMBER(SEARCH({"棚板","棚","アングル","ｱﾝｸﾞﾙ","使用不可","ケーブル","ｹｰﾌﾞﾙ","PatchPnael","パッチ","引き出し","引出","ブランク","ﾌﾞﾗﾝｸ","マネージ","ﾏﾈｰｼﾞ","PDU","ONU"},$F150&amp;"")))&gt;0)),"／重量が未記入","")&amp;IF(AND(K150&lt;&gt;"",NOT(ISNUMBER(K150))),"／電圧が数値でない","")&amp;IF(AND(N150&lt;&gt;"",NOT(ISNUMBER(N150))),"／電流が数値でない","")&amp;IF(AND(C150&lt;&gt;"",C150&lt;1),"／開始Uが1未満","")&amp;IF(AND(E150&lt;&gt;"",E150&gt;IFERROR(VLOOKUP(A150,ラック定義!$A:$B,2,FALSE),47)),"／総Uをはみ出す","")&amp;IF(AND(A150&lt;&gt;"",COUNTIF(ラック定義!$A:$A,A150)=0),"／ラックが定義にない","")&amp;IF(AND(SUMPRODUCT((機器台帳!$A$2:$A$400=$A150)*((機器台帳!$B$2:$B$400=$B150)+(機器台帳!$B$2:$B$400="両面")+($B150="両面")&gt;0)*(機器台帳!$C$2:$C$400&lt;=$C150+$D150-1)*(機器台帳!$C$2:$C$400+機器台帳!$D$2:$D$400-1&gt;=$C150)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150&amp;"")))&gt;0)),"／同じUに他の機器(横並びなら正常)","")&amp;IF(AND(M150&lt;&gt;"",COUNTIFS(回路定義!$A:$A,A150,回路定義!$B:$B,M150)=0),"／回路1が定義にない","")&amp;IF(AND(P150&lt;&gt;"",COUNTIFS(回路定義!$A:$A,A150,回路定義!$B:$B,P150)=0),"／回路2が定義にない","")&amp;IF(AND(S150&lt;&gt;"",COUNTIFS(回路定義!$A:$A,A150,回路定義!$B:$B,S150)=0),"／回路3が定義にない",""),2,300)))</f>
        <v/>
      </c>
    </row>
    <row r="151">
      <c r="A151" s="5" t="inlineStr">
        <is>
          <t>E24-S6-1</t>
        </is>
      </c>
      <c r="B151" s="5" t="inlineStr">
        <is>
          <t>両面</t>
        </is>
      </c>
      <c r="C151" s="5" t="n">
        <v>26</v>
      </c>
      <c r="D151" s="5" t="n">
        <v>1</v>
      </c>
      <c r="E151" s="6">
        <f>IF(C151="","",C151+D151-1)</f>
        <v/>
      </c>
      <c r="F151" s="5" t="inlineStr">
        <is>
          <t>C9300</t>
        </is>
      </c>
      <c r="G151" s="5" t="inlineStr">
        <is>
          <t>H1707967</t>
        </is>
      </c>
      <c r="H151" s="5" t="inlineStr"/>
      <c r="I151" s="5" t="inlineStr"/>
      <c r="J151" s="5" t="n">
        <v>7.4</v>
      </c>
      <c r="K151" s="5" t="n">
        <v>100</v>
      </c>
      <c r="L151" s="5" t="n">
        <v>1</v>
      </c>
      <c r="M151" s="5" t="inlineStr">
        <is>
          <t>100V 20A （1）</t>
        </is>
      </c>
      <c r="N151" s="5" t="n">
        <v>4</v>
      </c>
      <c r="O151" s="5" t="n">
        <v>1</v>
      </c>
      <c r="P151" s="5" t="n"/>
      <c r="Q151" s="5" t="n"/>
      <c r="R151" s="5" t="n"/>
      <c r="S151" s="5" t="n"/>
      <c r="T151" s="5" t="n"/>
      <c r="U151" s="5" t="n"/>
      <c r="V151" s="5" t="inlineStr">
        <is>
          <t>○</t>
        </is>
      </c>
      <c r="W151" s="5" t="inlineStr"/>
      <c r="X151" s="5" t="inlineStr"/>
      <c r="Y151" s="6">
        <f>COUNT(N151,Q151,T151)</f>
        <v/>
      </c>
      <c r="Z151" s="6">
        <f>IF(OR(K151="",NOT(ISNUMBER(K151))),"",K151*SUM(N151,Q151,T151))</f>
        <v/>
      </c>
      <c r="AA151" s="6">
        <f>IF(OR(Y151=0,N151=""),"",N151/Y151)</f>
        <v/>
      </c>
      <c r="AB151" s="6">
        <f>IF(OR(Y151=0,Q151=""),"",Q151/Y151)</f>
        <v/>
      </c>
      <c r="AC151" s="6">
        <f>IF(OR(Y151=0,T151=""),"",T151/Y151)</f>
        <v/>
      </c>
      <c r="AD151" s="6">
        <f>IF(F151="","",IF((IF(AND(Y151=0,NOT(SUMPRODUCT(--ISNUMBER(SEARCH({"棚板","棚","アングル","ｱﾝｸﾞﾙ","使用不可","ケーブル","ｹｰﾌﾞﾙ","PatchPnael","パッチ","引き出し","引出","ブランク","ﾌﾞﾗﾝｸ","マネージ","ﾏﾈｰｼﾞ","PDU","ONU"},$F151&amp;"")))&gt;0),NOT(SUMPRODUCT(--ISNUMBER(SEARCH({"電源オフ","未投入","停止","未使用","撤去"},$X151&amp;"")))&gt;0)),"／電力が未記入","")&amp;IF(AND(NOT(ISNUMBER(J151)),NOT(SUMPRODUCT(--ISNUMBER(SEARCH({"棚板","棚","アングル","ｱﾝｸﾞﾙ","使用不可","ケーブル","ｹｰﾌﾞﾙ","PatchPnael","パッチ","引き出し","引出","ブランク","ﾌﾞﾗﾝｸ","マネージ","ﾏﾈｰｼﾞ","PDU","ONU"},$F151&amp;"")))&gt;0)),"／重量が未記入","")&amp;IF(AND(K151&lt;&gt;"",NOT(ISNUMBER(K151))),"／電圧が数値でない","")&amp;IF(AND(N151&lt;&gt;"",NOT(ISNUMBER(N151))),"／電流が数値でない","")&amp;IF(AND(C151&lt;&gt;"",C151&lt;1),"／開始Uが1未満","")&amp;IF(AND(E151&lt;&gt;"",E151&gt;IFERROR(VLOOKUP(A151,ラック定義!$A:$B,2,FALSE),47)),"／総Uをはみ出す","")&amp;IF(AND(A151&lt;&gt;"",COUNTIF(ラック定義!$A:$A,A151)=0),"／ラックが定義にない","")&amp;IF(AND(SUMPRODUCT((機器台帳!$A$2:$A$400=$A151)*((機器台帳!$B$2:$B$400=$B151)+(機器台帳!$B$2:$B$400="両面")+($B151="両面")&gt;0)*(機器台帳!$C$2:$C$400&lt;=$C151+$D151-1)*(機器台帳!$C$2:$C$400+機器台帳!$D$2:$D$400-1&gt;=$C151)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151&amp;"")))&gt;0)),"／同じUに他の機器(横並びなら正常)","")&amp;IF(AND(M151&lt;&gt;"",COUNTIFS(回路定義!$A:$A,A151,回路定義!$B:$B,M151)=0),"／回路1が定義にない","")&amp;IF(AND(P151&lt;&gt;"",COUNTIFS(回路定義!$A:$A,A151,回路定義!$B:$B,P151)=0),"／回路2が定義にない","")&amp;IF(AND(S151&lt;&gt;"",COUNTIFS(回路定義!$A:$A,A151,回路定義!$B:$B,S151)=0),"／回路3が定義にない",""))="","",MID(IF(AND(Y151=0,NOT(SUMPRODUCT(--ISNUMBER(SEARCH({"棚板","棚","アングル","ｱﾝｸﾞﾙ","使用不可","ケーブル","ｹｰﾌﾞﾙ","PatchPnael","パッチ","引き出し","引出","ブランク","ﾌﾞﾗﾝｸ","マネージ","ﾏﾈｰｼﾞ","PDU","ONU"},$F151&amp;"")))&gt;0),NOT(SUMPRODUCT(--ISNUMBER(SEARCH({"電源オフ","未投入","停止","未使用","撤去"},$X151&amp;"")))&gt;0)),"／電力が未記入","")&amp;IF(AND(NOT(ISNUMBER(J151)),NOT(SUMPRODUCT(--ISNUMBER(SEARCH({"棚板","棚","アングル","ｱﾝｸﾞﾙ","使用不可","ケーブル","ｹｰﾌﾞﾙ","PatchPnael","パッチ","引き出し","引出","ブランク","ﾌﾞﾗﾝｸ","マネージ","ﾏﾈｰｼﾞ","PDU","ONU"},$F151&amp;"")))&gt;0)),"／重量が未記入","")&amp;IF(AND(K151&lt;&gt;"",NOT(ISNUMBER(K151))),"／電圧が数値でない","")&amp;IF(AND(N151&lt;&gt;"",NOT(ISNUMBER(N151))),"／電流が数値でない","")&amp;IF(AND(C151&lt;&gt;"",C151&lt;1),"／開始Uが1未満","")&amp;IF(AND(E151&lt;&gt;"",E151&gt;IFERROR(VLOOKUP(A151,ラック定義!$A:$B,2,FALSE),47)),"／総Uをはみ出す","")&amp;IF(AND(A151&lt;&gt;"",COUNTIF(ラック定義!$A:$A,A151)=0),"／ラックが定義にない","")&amp;IF(AND(SUMPRODUCT((機器台帳!$A$2:$A$400=$A151)*((機器台帳!$B$2:$B$400=$B151)+(機器台帳!$B$2:$B$400="両面")+($B151="両面")&gt;0)*(機器台帳!$C$2:$C$400&lt;=$C151+$D151-1)*(機器台帳!$C$2:$C$400+機器台帳!$D$2:$D$400-1&gt;=$C151)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151&amp;"")))&gt;0)),"／同じUに他の機器(横並びなら正常)","")&amp;IF(AND(M151&lt;&gt;"",COUNTIFS(回路定義!$A:$A,A151,回路定義!$B:$B,M151)=0),"／回路1が定義にない","")&amp;IF(AND(P151&lt;&gt;"",COUNTIFS(回路定義!$A:$A,A151,回路定義!$B:$B,P151)=0),"／回路2が定義にない","")&amp;IF(AND(S151&lt;&gt;"",COUNTIFS(回路定義!$A:$A,A151,回路定義!$B:$B,S151)=0),"／回路3が定義にない",""),2,300)))</f>
        <v/>
      </c>
    </row>
    <row r="152">
      <c r="A152" s="5" t="inlineStr">
        <is>
          <t>E24-S6-1</t>
        </is>
      </c>
      <c r="B152" s="5" t="inlineStr">
        <is>
          <t>両面</t>
        </is>
      </c>
      <c r="C152" s="5" t="n">
        <v>25</v>
      </c>
      <c r="D152" s="5" t="n">
        <v>1</v>
      </c>
      <c r="E152" s="6">
        <f>IF(C152="","",C152+D152-1)</f>
        <v/>
      </c>
      <c r="F152" s="5" t="inlineStr">
        <is>
          <t>C9300</t>
        </is>
      </c>
      <c r="G152" s="5" t="inlineStr">
        <is>
          <t>H1707965</t>
        </is>
      </c>
      <c r="H152" s="5" t="inlineStr"/>
      <c r="I152" s="5" t="inlineStr"/>
      <c r="J152" s="5" t="n">
        <v>7.4</v>
      </c>
      <c r="K152" s="5" t="n">
        <v>100</v>
      </c>
      <c r="L152" s="5" t="n">
        <v>1</v>
      </c>
      <c r="M152" s="5" t="inlineStr">
        <is>
          <t>100V 20A （2）</t>
        </is>
      </c>
      <c r="N152" s="5" t="n">
        <v>4</v>
      </c>
      <c r="O152" s="5" t="n">
        <v>1</v>
      </c>
      <c r="P152" s="5" t="n"/>
      <c r="Q152" s="5" t="n"/>
      <c r="R152" s="5" t="n"/>
      <c r="S152" s="5" t="n"/>
      <c r="T152" s="5" t="n"/>
      <c r="U152" s="5" t="n"/>
      <c r="V152" s="5" t="inlineStr">
        <is>
          <t>○</t>
        </is>
      </c>
      <c r="W152" s="5" t="inlineStr"/>
      <c r="X152" s="5" t="inlineStr"/>
      <c r="Y152" s="6">
        <f>COUNT(N152,Q152,T152)</f>
        <v/>
      </c>
      <c r="Z152" s="6">
        <f>IF(OR(K152="",NOT(ISNUMBER(K152))),"",K152*SUM(N152,Q152,T152))</f>
        <v/>
      </c>
      <c r="AA152" s="6">
        <f>IF(OR(Y152=0,N152=""),"",N152/Y152)</f>
        <v/>
      </c>
      <c r="AB152" s="6">
        <f>IF(OR(Y152=0,Q152=""),"",Q152/Y152)</f>
        <v/>
      </c>
      <c r="AC152" s="6">
        <f>IF(OR(Y152=0,T152=""),"",T152/Y152)</f>
        <v/>
      </c>
      <c r="AD152" s="6">
        <f>IF(F152="","",IF((IF(AND(Y152=0,NOT(SUMPRODUCT(--ISNUMBER(SEARCH({"棚板","棚","アングル","ｱﾝｸﾞﾙ","使用不可","ケーブル","ｹｰﾌﾞﾙ","PatchPnael","パッチ","引き出し","引出","ブランク","ﾌﾞﾗﾝｸ","マネージ","ﾏﾈｰｼﾞ","PDU","ONU"},$F152&amp;"")))&gt;0),NOT(SUMPRODUCT(--ISNUMBER(SEARCH({"電源オフ","未投入","停止","未使用","撤去"},$X152&amp;"")))&gt;0)),"／電力が未記入","")&amp;IF(AND(NOT(ISNUMBER(J152)),NOT(SUMPRODUCT(--ISNUMBER(SEARCH({"棚板","棚","アングル","ｱﾝｸﾞﾙ","使用不可","ケーブル","ｹｰﾌﾞﾙ","PatchPnael","パッチ","引き出し","引出","ブランク","ﾌﾞﾗﾝｸ","マネージ","ﾏﾈｰｼﾞ","PDU","ONU"},$F152&amp;"")))&gt;0)),"／重量が未記入","")&amp;IF(AND(K152&lt;&gt;"",NOT(ISNUMBER(K152))),"／電圧が数値でない","")&amp;IF(AND(N152&lt;&gt;"",NOT(ISNUMBER(N152))),"／電流が数値でない","")&amp;IF(AND(C152&lt;&gt;"",C152&lt;1),"／開始Uが1未満","")&amp;IF(AND(E152&lt;&gt;"",E152&gt;IFERROR(VLOOKUP(A152,ラック定義!$A:$B,2,FALSE),47)),"／総Uをはみ出す","")&amp;IF(AND(A152&lt;&gt;"",COUNTIF(ラック定義!$A:$A,A152)=0),"／ラックが定義にない","")&amp;IF(AND(SUMPRODUCT((機器台帳!$A$2:$A$400=$A152)*((機器台帳!$B$2:$B$400=$B152)+(機器台帳!$B$2:$B$400="両面")+($B152="両面")&gt;0)*(機器台帳!$C$2:$C$400&lt;=$C152+$D152-1)*(機器台帳!$C$2:$C$400+機器台帳!$D$2:$D$400-1&gt;=$C152)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152&amp;"")))&gt;0)),"／同じUに他の機器(横並びなら正常)","")&amp;IF(AND(M152&lt;&gt;"",COUNTIFS(回路定義!$A:$A,A152,回路定義!$B:$B,M152)=0),"／回路1が定義にない","")&amp;IF(AND(P152&lt;&gt;"",COUNTIFS(回路定義!$A:$A,A152,回路定義!$B:$B,P152)=0),"／回路2が定義にない","")&amp;IF(AND(S152&lt;&gt;"",COUNTIFS(回路定義!$A:$A,A152,回路定義!$B:$B,S152)=0),"／回路3が定義にない",""))="","",MID(IF(AND(Y152=0,NOT(SUMPRODUCT(--ISNUMBER(SEARCH({"棚板","棚","アングル","ｱﾝｸﾞﾙ","使用不可","ケーブル","ｹｰﾌﾞﾙ","PatchPnael","パッチ","引き出し","引出","ブランク","ﾌﾞﾗﾝｸ","マネージ","ﾏﾈｰｼﾞ","PDU","ONU"},$F152&amp;"")))&gt;0),NOT(SUMPRODUCT(--ISNUMBER(SEARCH({"電源オフ","未投入","停止","未使用","撤去"},$X152&amp;"")))&gt;0)),"／電力が未記入","")&amp;IF(AND(NOT(ISNUMBER(J152)),NOT(SUMPRODUCT(--ISNUMBER(SEARCH({"棚板","棚","アングル","ｱﾝｸﾞﾙ","使用不可","ケーブル","ｹｰﾌﾞﾙ","PatchPnael","パッチ","引き出し","引出","ブランク","ﾌﾞﾗﾝｸ","マネージ","ﾏﾈｰｼﾞ","PDU","ONU"},$F152&amp;"")))&gt;0)),"／重量が未記入","")&amp;IF(AND(K152&lt;&gt;"",NOT(ISNUMBER(K152))),"／電圧が数値でない","")&amp;IF(AND(N152&lt;&gt;"",NOT(ISNUMBER(N152))),"／電流が数値でない","")&amp;IF(AND(C152&lt;&gt;"",C152&lt;1),"／開始Uが1未満","")&amp;IF(AND(E152&lt;&gt;"",E152&gt;IFERROR(VLOOKUP(A152,ラック定義!$A:$B,2,FALSE),47)),"／総Uをはみ出す","")&amp;IF(AND(A152&lt;&gt;"",COUNTIF(ラック定義!$A:$A,A152)=0),"／ラックが定義にない","")&amp;IF(AND(SUMPRODUCT((機器台帳!$A$2:$A$400=$A152)*((機器台帳!$B$2:$B$400=$B152)+(機器台帳!$B$2:$B$400="両面")+($B152="両面")&gt;0)*(機器台帳!$C$2:$C$400&lt;=$C152+$D152-1)*(機器台帳!$C$2:$C$400+機器台帳!$D$2:$D$400-1&gt;=$C152)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152&amp;"")))&gt;0)),"／同じUに他の機器(横並びなら正常)","")&amp;IF(AND(M152&lt;&gt;"",COUNTIFS(回路定義!$A:$A,A152,回路定義!$B:$B,M152)=0),"／回路1が定義にない","")&amp;IF(AND(P152&lt;&gt;"",COUNTIFS(回路定義!$A:$A,A152,回路定義!$B:$B,P152)=0),"／回路2が定義にない","")&amp;IF(AND(S152&lt;&gt;"",COUNTIFS(回路定義!$A:$A,A152,回路定義!$B:$B,S152)=0),"／回路3が定義にない",""),2,300)))</f>
        <v/>
      </c>
    </row>
    <row r="153">
      <c r="A153" s="5" t="inlineStr">
        <is>
          <t>E24-S6-1</t>
        </is>
      </c>
      <c r="B153" s="5" t="inlineStr">
        <is>
          <t>両面</t>
        </is>
      </c>
      <c r="C153" s="5" t="n">
        <v>21</v>
      </c>
      <c r="D153" s="5" t="n">
        <v>1</v>
      </c>
      <c r="E153" s="6">
        <f>IF(C153="","",C153+D153-1)</f>
        <v/>
      </c>
      <c r="F153" s="5" t="inlineStr">
        <is>
          <t>XC660</t>
        </is>
      </c>
      <c r="G153" s="5" t="inlineStr">
        <is>
          <t>H2413137</t>
        </is>
      </c>
      <c r="H153" s="5" t="inlineStr">
        <is>
          <t>Nutanix</t>
        </is>
      </c>
      <c r="I153" s="5" t="inlineStr"/>
      <c r="J153" s="5" t="n">
        <v>9.5</v>
      </c>
      <c r="K153" s="5" t="n">
        <v>100</v>
      </c>
      <c r="L153" s="5" t="n">
        <v>1</v>
      </c>
      <c r="M153" s="5" t="inlineStr">
        <is>
          <t>100V 20A （1）</t>
        </is>
      </c>
      <c r="N153" s="5" t="n">
        <v>3</v>
      </c>
      <c r="O153" s="5" t="n">
        <v>2</v>
      </c>
      <c r="P153" s="5" t="n"/>
      <c r="Q153" s="5" t="n"/>
      <c r="R153" s="5" t="n"/>
      <c r="S153" s="5" t="n"/>
      <c r="T153" s="5" t="n"/>
      <c r="U153" s="5" t="n"/>
      <c r="V153" s="5" t="inlineStr">
        <is>
          <t>○</t>
        </is>
      </c>
      <c r="W153" s="5" t="inlineStr"/>
      <c r="X153" s="5" t="inlineStr"/>
      <c r="Y153" s="6">
        <f>COUNT(N153,Q153,T153)</f>
        <v/>
      </c>
      <c r="Z153" s="6">
        <f>IF(OR(K153="",NOT(ISNUMBER(K153))),"",K153*SUM(N153,Q153,T153))</f>
        <v/>
      </c>
      <c r="AA153" s="6">
        <f>IF(OR(Y153=0,N153=""),"",N153/Y153)</f>
        <v/>
      </c>
      <c r="AB153" s="6">
        <f>IF(OR(Y153=0,Q153=""),"",Q153/Y153)</f>
        <v/>
      </c>
      <c r="AC153" s="6">
        <f>IF(OR(Y153=0,T153=""),"",T153/Y153)</f>
        <v/>
      </c>
      <c r="AD153" s="6">
        <f>IF(F153="","",IF((IF(AND(Y153=0,NOT(SUMPRODUCT(--ISNUMBER(SEARCH({"棚板","棚","アングル","ｱﾝｸﾞﾙ","使用不可","ケーブル","ｹｰﾌﾞﾙ","PatchPnael","パッチ","引き出し","引出","ブランク","ﾌﾞﾗﾝｸ","マネージ","ﾏﾈｰｼﾞ","PDU","ONU"},$F153&amp;"")))&gt;0),NOT(SUMPRODUCT(--ISNUMBER(SEARCH({"電源オフ","未投入","停止","未使用","撤去"},$X153&amp;"")))&gt;0)),"／電力が未記入","")&amp;IF(AND(NOT(ISNUMBER(J153)),NOT(SUMPRODUCT(--ISNUMBER(SEARCH({"棚板","棚","アングル","ｱﾝｸﾞﾙ","使用不可","ケーブル","ｹｰﾌﾞﾙ","PatchPnael","パッチ","引き出し","引出","ブランク","ﾌﾞﾗﾝｸ","マネージ","ﾏﾈｰｼﾞ","PDU","ONU"},$F153&amp;"")))&gt;0)),"／重量が未記入","")&amp;IF(AND(K153&lt;&gt;"",NOT(ISNUMBER(K153))),"／電圧が数値でない","")&amp;IF(AND(N153&lt;&gt;"",NOT(ISNUMBER(N153))),"／電流が数値でない","")&amp;IF(AND(C153&lt;&gt;"",C153&lt;1),"／開始Uが1未満","")&amp;IF(AND(E153&lt;&gt;"",E153&gt;IFERROR(VLOOKUP(A153,ラック定義!$A:$B,2,FALSE),47)),"／総Uをはみ出す","")&amp;IF(AND(A153&lt;&gt;"",COUNTIF(ラック定義!$A:$A,A153)=0),"／ラックが定義にない","")&amp;IF(AND(SUMPRODUCT((機器台帳!$A$2:$A$400=$A153)*((機器台帳!$B$2:$B$400=$B153)+(機器台帳!$B$2:$B$400="両面")+($B153="両面")&gt;0)*(機器台帳!$C$2:$C$400&lt;=$C153+$D153-1)*(機器台帳!$C$2:$C$400+機器台帳!$D$2:$D$400-1&gt;=$C153)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153&amp;"")))&gt;0)),"／同じUに他の機器(横並びなら正常)","")&amp;IF(AND(M153&lt;&gt;"",COUNTIFS(回路定義!$A:$A,A153,回路定義!$B:$B,M153)=0),"／回路1が定義にない","")&amp;IF(AND(P153&lt;&gt;"",COUNTIFS(回路定義!$A:$A,A153,回路定義!$B:$B,P153)=0),"／回路2が定義にない","")&amp;IF(AND(S153&lt;&gt;"",COUNTIFS(回路定義!$A:$A,A153,回路定義!$B:$B,S153)=0),"／回路3が定義にない",""))="","",MID(IF(AND(Y153=0,NOT(SUMPRODUCT(--ISNUMBER(SEARCH({"棚板","棚","アングル","ｱﾝｸﾞﾙ","使用不可","ケーブル","ｹｰﾌﾞﾙ","PatchPnael","パッチ","引き出し","引出","ブランク","ﾌﾞﾗﾝｸ","マネージ","ﾏﾈｰｼﾞ","PDU","ONU"},$F153&amp;"")))&gt;0),NOT(SUMPRODUCT(--ISNUMBER(SEARCH({"電源オフ","未投入","停止","未使用","撤去"},$X153&amp;"")))&gt;0)),"／電力が未記入","")&amp;IF(AND(NOT(ISNUMBER(J153)),NOT(SUMPRODUCT(--ISNUMBER(SEARCH({"棚板","棚","アングル","ｱﾝｸﾞﾙ","使用不可","ケーブル","ｹｰﾌﾞﾙ","PatchPnael","パッチ","引き出し","引出","ブランク","ﾌﾞﾗﾝｸ","マネージ","ﾏﾈｰｼﾞ","PDU","ONU"},$F153&amp;"")))&gt;0)),"／重量が未記入","")&amp;IF(AND(K153&lt;&gt;"",NOT(ISNUMBER(K153))),"／電圧が数値でない","")&amp;IF(AND(N153&lt;&gt;"",NOT(ISNUMBER(N153))),"／電流が数値でない","")&amp;IF(AND(C153&lt;&gt;"",C153&lt;1),"／開始Uが1未満","")&amp;IF(AND(E153&lt;&gt;"",E153&gt;IFERROR(VLOOKUP(A153,ラック定義!$A:$B,2,FALSE),47)),"／総Uをはみ出す","")&amp;IF(AND(A153&lt;&gt;"",COUNTIF(ラック定義!$A:$A,A153)=0),"／ラックが定義にない","")&amp;IF(AND(SUMPRODUCT((機器台帳!$A$2:$A$400=$A153)*((機器台帳!$B$2:$B$400=$B153)+(機器台帳!$B$2:$B$400="両面")+($B153="両面")&gt;0)*(機器台帳!$C$2:$C$400&lt;=$C153+$D153-1)*(機器台帳!$C$2:$C$400+機器台帳!$D$2:$D$400-1&gt;=$C153)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153&amp;"")))&gt;0)),"／同じUに他の機器(横並びなら正常)","")&amp;IF(AND(M153&lt;&gt;"",COUNTIFS(回路定義!$A:$A,A153,回路定義!$B:$B,M153)=0),"／回路1が定義にない","")&amp;IF(AND(P153&lt;&gt;"",COUNTIFS(回路定義!$A:$A,A153,回路定義!$B:$B,P153)=0),"／回路2が定義にない","")&amp;IF(AND(S153&lt;&gt;"",COUNTIFS(回路定義!$A:$A,A153,回路定義!$B:$B,S153)=0),"／回路3が定義にない",""),2,300)))</f>
        <v/>
      </c>
    </row>
    <row r="154">
      <c r="A154" s="5" t="inlineStr">
        <is>
          <t>E24-S6-1</t>
        </is>
      </c>
      <c r="B154" s="5" t="inlineStr">
        <is>
          <t>両面</t>
        </is>
      </c>
      <c r="C154" s="5" t="n">
        <v>20</v>
      </c>
      <c r="D154" s="5" t="n">
        <v>1</v>
      </c>
      <c r="E154" s="6">
        <f>IF(C154="","",C154+D154-1)</f>
        <v/>
      </c>
      <c r="F154" s="5" t="inlineStr">
        <is>
          <t>XC660</t>
        </is>
      </c>
      <c r="G154" s="5" t="inlineStr">
        <is>
          <t>H2413138</t>
        </is>
      </c>
      <c r="H154" s="5" t="inlineStr">
        <is>
          <t>Nutanix</t>
        </is>
      </c>
      <c r="I154" s="5" t="inlineStr"/>
      <c r="J154" s="5" t="n">
        <v>9.5</v>
      </c>
      <c r="K154" s="5" t="n">
        <v>100</v>
      </c>
      <c r="L154" s="5" t="n">
        <v>1</v>
      </c>
      <c r="M154" s="5" t="inlineStr">
        <is>
          <t>100V 20A （1）</t>
        </is>
      </c>
      <c r="N154" s="5" t="n">
        <v>3</v>
      </c>
      <c r="O154" s="5" t="n">
        <v>2</v>
      </c>
      <c r="P154" s="5" t="n"/>
      <c r="Q154" s="5" t="n"/>
      <c r="R154" s="5" t="n"/>
      <c r="S154" s="5" t="n"/>
      <c r="T154" s="5" t="n"/>
      <c r="U154" s="5" t="n"/>
      <c r="V154" s="5" t="inlineStr">
        <is>
          <t>○</t>
        </is>
      </c>
      <c r="W154" s="5" t="inlineStr"/>
      <c r="X154" s="5" t="inlineStr"/>
      <c r="Y154" s="6">
        <f>COUNT(N154,Q154,T154)</f>
        <v/>
      </c>
      <c r="Z154" s="6">
        <f>IF(OR(K154="",NOT(ISNUMBER(K154))),"",K154*SUM(N154,Q154,T154))</f>
        <v/>
      </c>
      <c r="AA154" s="6">
        <f>IF(OR(Y154=0,N154=""),"",N154/Y154)</f>
        <v/>
      </c>
      <c r="AB154" s="6">
        <f>IF(OR(Y154=0,Q154=""),"",Q154/Y154)</f>
        <v/>
      </c>
      <c r="AC154" s="6">
        <f>IF(OR(Y154=0,T154=""),"",T154/Y154)</f>
        <v/>
      </c>
      <c r="AD154" s="6">
        <f>IF(F154="","",IF((IF(AND(Y154=0,NOT(SUMPRODUCT(--ISNUMBER(SEARCH({"棚板","棚","アングル","ｱﾝｸﾞﾙ","使用不可","ケーブル","ｹｰﾌﾞﾙ","PatchPnael","パッチ","引き出し","引出","ブランク","ﾌﾞﾗﾝｸ","マネージ","ﾏﾈｰｼﾞ","PDU","ONU"},$F154&amp;"")))&gt;0),NOT(SUMPRODUCT(--ISNUMBER(SEARCH({"電源オフ","未投入","停止","未使用","撤去"},$X154&amp;"")))&gt;0)),"／電力が未記入","")&amp;IF(AND(NOT(ISNUMBER(J154)),NOT(SUMPRODUCT(--ISNUMBER(SEARCH({"棚板","棚","アングル","ｱﾝｸﾞﾙ","使用不可","ケーブル","ｹｰﾌﾞﾙ","PatchPnael","パッチ","引き出し","引出","ブランク","ﾌﾞﾗﾝｸ","マネージ","ﾏﾈｰｼﾞ","PDU","ONU"},$F154&amp;"")))&gt;0)),"／重量が未記入","")&amp;IF(AND(K154&lt;&gt;"",NOT(ISNUMBER(K154))),"／電圧が数値でない","")&amp;IF(AND(N154&lt;&gt;"",NOT(ISNUMBER(N154))),"／電流が数値でない","")&amp;IF(AND(C154&lt;&gt;"",C154&lt;1),"／開始Uが1未満","")&amp;IF(AND(E154&lt;&gt;"",E154&gt;IFERROR(VLOOKUP(A154,ラック定義!$A:$B,2,FALSE),47)),"／総Uをはみ出す","")&amp;IF(AND(A154&lt;&gt;"",COUNTIF(ラック定義!$A:$A,A154)=0),"／ラックが定義にない","")&amp;IF(AND(SUMPRODUCT((機器台帳!$A$2:$A$400=$A154)*((機器台帳!$B$2:$B$400=$B154)+(機器台帳!$B$2:$B$400="両面")+($B154="両面")&gt;0)*(機器台帳!$C$2:$C$400&lt;=$C154+$D154-1)*(機器台帳!$C$2:$C$400+機器台帳!$D$2:$D$400-1&gt;=$C154)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154&amp;"")))&gt;0)),"／同じUに他の機器(横並びなら正常)","")&amp;IF(AND(M154&lt;&gt;"",COUNTIFS(回路定義!$A:$A,A154,回路定義!$B:$B,M154)=0),"／回路1が定義にない","")&amp;IF(AND(P154&lt;&gt;"",COUNTIFS(回路定義!$A:$A,A154,回路定義!$B:$B,P154)=0),"／回路2が定義にない","")&amp;IF(AND(S154&lt;&gt;"",COUNTIFS(回路定義!$A:$A,A154,回路定義!$B:$B,S154)=0),"／回路3が定義にない",""))="","",MID(IF(AND(Y154=0,NOT(SUMPRODUCT(--ISNUMBER(SEARCH({"棚板","棚","アングル","ｱﾝｸﾞﾙ","使用不可","ケーブル","ｹｰﾌﾞﾙ","PatchPnael","パッチ","引き出し","引出","ブランク","ﾌﾞﾗﾝｸ","マネージ","ﾏﾈｰｼﾞ","PDU","ONU"},$F154&amp;"")))&gt;0),NOT(SUMPRODUCT(--ISNUMBER(SEARCH({"電源オフ","未投入","停止","未使用","撤去"},$X154&amp;"")))&gt;0)),"／電力が未記入","")&amp;IF(AND(NOT(ISNUMBER(J154)),NOT(SUMPRODUCT(--ISNUMBER(SEARCH({"棚板","棚","アングル","ｱﾝｸﾞﾙ","使用不可","ケーブル","ｹｰﾌﾞﾙ","PatchPnael","パッチ","引き出し","引出","ブランク","ﾌﾞﾗﾝｸ","マネージ","ﾏﾈｰｼﾞ","PDU","ONU"},$F154&amp;"")))&gt;0)),"／重量が未記入","")&amp;IF(AND(K154&lt;&gt;"",NOT(ISNUMBER(K154))),"／電圧が数値でない","")&amp;IF(AND(N154&lt;&gt;"",NOT(ISNUMBER(N154))),"／電流が数値でない","")&amp;IF(AND(C154&lt;&gt;"",C154&lt;1),"／開始Uが1未満","")&amp;IF(AND(E154&lt;&gt;"",E154&gt;IFERROR(VLOOKUP(A154,ラック定義!$A:$B,2,FALSE),47)),"／総Uをはみ出す","")&amp;IF(AND(A154&lt;&gt;"",COUNTIF(ラック定義!$A:$A,A154)=0),"／ラックが定義にない","")&amp;IF(AND(SUMPRODUCT((機器台帳!$A$2:$A$400=$A154)*((機器台帳!$B$2:$B$400=$B154)+(機器台帳!$B$2:$B$400="両面")+($B154="両面")&gt;0)*(機器台帳!$C$2:$C$400&lt;=$C154+$D154-1)*(機器台帳!$C$2:$C$400+機器台帳!$D$2:$D$400-1&gt;=$C154)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154&amp;"")))&gt;0)),"／同じUに他の機器(横並びなら正常)","")&amp;IF(AND(M154&lt;&gt;"",COUNTIFS(回路定義!$A:$A,A154,回路定義!$B:$B,M154)=0),"／回路1が定義にない","")&amp;IF(AND(P154&lt;&gt;"",COUNTIFS(回路定義!$A:$A,A154,回路定義!$B:$B,P154)=0),"／回路2が定義にない","")&amp;IF(AND(S154&lt;&gt;"",COUNTIFS(回路定義!$A:$A,A154,回路定義!$B:$B,S154)=0),"／回路3が定義にない",""),2,300)))</f>
        <v/>
      </c>
    </row>
    <row r="155">
      <c r="A155" s="5" t="inlineStr">
        <is>
          <t>E24-S6-1</t>
        </is>
      </c>
      <c r="B155" s="5" t="inlineStr">
        <is>
          <t>両面</t>
        </is>
      </c>
      <c r="C155" s="5" t="n">
        <v>19</v>
      </c>
      <c r="D155" s="5" t="n">
        <v>1</v>
      </c>
      <c r="E155" s="6">
        <f>IF(C155="","",C155+D155-1)</f>
        <v/>
      </c>
      <c r="F155" s="5" t="inlineStr">
        <is>
          <t>XC660</t>
        </is>
      </c>
      <c r="G155" s="5" t="inlineStr">
        <is>
          <t>H2413139</t>
        </is>
      </c>
      <c r="H155" s="5" t="inlineStr">
        <is>
          <t>Nutanix</t>
        </is>
      </c>
      <c r="I155" s="5" t="inlineStr"/>
      <c r="J155" s="5" t="n">
        <v>9.5</v>
      </c>
      <c r="K155" s="5" t="n">
        <v>100</v>
      </c>
      <c r="L155" s="5" t="n">
        <v>1</v>
      </c>
      <c r="M155" s="5" t="inlineStr">
        <is>
          <t>100V 20A （1）</t>
        </is>
      </c>
      <c r="N155" s="5" t="n">
        <v>3</v>
      </c>
      <c r="O155" s="5" t="n">
        <v>2</v>
      </c>
      <c r="P155" s="5" t="n"/>
      <c r="Q155" s="5" t="n"/>
      <c r="R155" s="5" t="n"/>
      <c r="S155" s="5" t="n"/>
      <c r="T155" s="5" t="n"/>
      <c r="U155" s="5" t="n"/>
      <c r="V155" s="5" t="inlineStr">
        <is>
          <t>○</t>
        </is>
      </c>
      <c r="W155" s="5" t="inlineStr"/>
      <c r="X155" s="5" t="inlineStr"/>
      <c r="Y155" s="6">
        <f>COUNT(N155,Q155,T155)</f>
        <v/>
      </c>
      <c r="Z155" s="6">
        <f>IF(OR(K155="",NOT(ISNUMBER(K155))),"",K155*SUM(N155,Q155,T155))</f>
        <v/>
      </c>
      <c r="AA155" s="6">
        <f>IF(OR(Y155=0,N155=""),"",N155/Y155)</f>
        <v/>
      </c>
      <c r="AB155" s="6">
        <f>IF(OR(Y155=0,Q155=""),"",Q155/Y155)</f>
        <v/>
      </c>
      <c r="AC155" s="6">
        <f>IF(OR(Y155=0,T155=""),"",T155/Y155)</f>
        <v/>
      </c>
      <c r="AD155" s="6">
        <f>IF(F155="","",IF((IF(AND(Y155=0,NOT(SUMPRODUCT(--ISNUMBER(SEARCH({"棚板","棚","アングル","ｱﾝｸﾞﾙ","使用不可","ケーブル","ｹｰﾌﾞﾙ","PatchPnael","パッチ","引き出し","引出","ブランク","ﾌﾞﾗﾝｸ","マネージ","ﾏﾈｰｼﾞ","PDU","ONU"},$F155&amp;"")))&gt;0),NOT(SUMPRODUCT(--ISNUMBER(SEARCH({"電源オフ","未投入","停止","未使用","撤去"},$X155&amp;"")))&gt;0)),"／電力が未記入","")&amp;IF(AND(NOT(ISNUMBER(J155)),NOT(SUMPRODUCT(--ISNUMBER(SEARCH({"棚板","棚","アングル","ｱﾝｸﾞﾙ","使用不可","ケーブル","ｹｰﾌﾞﾙ","PatchPnael","パッチ","引き出し","引出","ブランク","ﾌﾞﾗﾝｸ","マネージ","ﾏﾈｰｼﾞ","PDU","ONU"},$F155&amp;"")))&gt;0)),"／重量が未記入","")&amp;IF(AND(K155&lt;&gt;"",NOT(ISNUMBER(K155))),"／電圧が数値でない","")&amp;IF(AND(N155&lt;&gt;"",NOT(ISNUMBER(N155))),"／電流が数値でない","")&amp;IF(AND(C155&lt;&gt;"",C155&lt;1),"／開始Uが1未満","")&amp;IF(AND(E155&lt;&gt;"",E155&gt;IFERROR(VLOOKUP(A155,ラック定義!$A:$B,2,FALSE),47)),"／総Uをはみ出す","")&amp;IF(AND(A155&lt;&gt;"",COUNTIF(ラック定義!$A:$A,A155)=0),"／ラックが定義にない","")&amp;IF(AND(SUMPRODUCT((機器台帳!$A$2:$A$400=$A155)*((機器台帳!$B$2:$B$400=$B155)+(機器台帳!$B$2:$B$400="両面")+($B155="両面")&gt;0)*(機器台帳!$C$2:$C$400&lt;=$C155+$D155-1)*(機器台帳!$C$2:$C$400+機器台帳!$D$2:$D$400-1&gt;=$C155)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155&amp;"")))&gt;0)),"／同じUに他の機器(横並びなら正常)","")&amp;IF(AND(M155&lt;&gt;"",COUNTIFS(回路定義!$A:$A,A155,回路定義!$B:$B,M155)=0),"／回路1が定義にない","")&amp;IF(AND(P155&lt;&gt;"",COUNTIFS(回路定義!$A:$A,A155,回路定義!$B:$B,P155)=0),"／回路2が定義にない","")&amp;IF(AND(S155&lt;&gt;"",COUNTIFS(回路定義!$A:$A,A155,回路定義!$B:$B,S155)=0),"／回路3が定義にない",""))="","",MID(IF(AND(Y155=0,NOT(SUMPRODUCT(--ISNUMBER(SEARCH({"棚板","棚","アングル","ｱﾝｸﾞﾙ","使用不可","ケーブル","ｹｰﾌﾞﾙ","PatchPnael","パッチ","引き出し","引出","ブランク","ﾌﾞﾗﾝｸ","マネージ","ﾏﾈｰｼﾞ","PDU","ONU"},$F155&amp;"")))&gt;0),NOT(SUMPRODUCT(--ISNUMBER(SEARCH({"電源オフ","未投入","停止","未使用","撤去"},$X155&amp;"")))&gt;0)),"／電力が未記入","")&amp;IF(AND(NOT(ISNUMBER(J155)),NOT(SUMPRODUCT(--ISNUMBER(SEARCH({"棚板","棚","アングル","ｱﾝｸﾞﾙ","使用不可","ケーブル","ｹｰﾌﾞﾙ","PatchPnael","パッチ","引き出し","引出","ブランク","ﾌﾞﾗﾝｸ","マネージ","ﾏﾈｰｼﾞ","PDU","ONU"},$F155&amp;"")))&gt;0)),"／重量が未記入","")&amp;IF(AND(K155&lt;&gt;"",NOT(ISNUMBER(K155))),"／電圧が数値でない","")&amp;IF(AND(N155&lt;&gt;"",NOT(ISNUMBER(N155))),"／電流が数値でない","")&amp;IF(AND(C155&lt;&gt;"",C155&lt;1),"／開始Uが1未満","")&amp;IF(AND(E155&lt;&gt;"",E155&gt;IFERROR(VLOOKUP(A155,ラック定義!$A:$B,2,FALSE),47)),"／総Uをはみ出す","")&amp;IF(AND(A155&lt;&gt;"",COUNTIF(ラック定義!$A:$A,A155)=0),"／ラックが定義にない","")&amp;IF(AND(SUMPRODUCT((機器台帳!$A$2:$A$400=$A155)*((機器台帳!$B$2:$B$400=$B155)+(機器台帳!$B$2:$B$400="両面")+($B155="両面")&gt;0)*(機器台帳!$C$2:$C$400&lt;=$C155+$D155-1)*(機器台帳!$C$2:$C$400+機器台帳!$D$2:$D$400-1&gt;=$C155)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155&amp;"")))&gt;0)),"／同じUに他の機器(横並びなら正常)","")&amp;IF(AND(M155&lt;&gt;"",COUNTIFS(回路定義!$A:$A,A155,回路定義!$B:$B,M155)=0),"／回路1が定義にない","")&amp;IF(AND(P155&lt;&gt;"",COUNTIFS(回路定義!$A:$A,A155,回路定義!$B:$B,P155)=0),"／回路2が定義にない","")&amp;IF(AND(S155&lt;&gt;"",COUNTIFS(回路定義!$A:$A,A155,回路定義!$B:$B,S155)=0),"／回路3が定義にない",""),2,300)))</f>
        <v/>
      </c>
    </row>
    <row r="156">
      <c r="A156" s="5" t="inlineStr">
        <is>
          <t>E24-S6-1</t>
        </is>
      </c>
      <c r="B156" s="5" t="inlineStr">
        <is>
          <t>両面</t>
        </is>
      </c>
      <c r="C156" s="5" t="n">
        <v>17</v>
      </c>
      <c r="D156" s="5" t="n">
        <v>1</v>
      </c>
      <c r="E156" s="6">
        <f>IF(C156="","",C156+D156-1)</f>
        <v/>
      </c>
      <c r="F156" s="5" t="inlineStr">
        <is>
          <t>XC430</t>
        </is>
      </c>
      <c r="G156" s="5" t="inlineStr">
        <is>
          <t>H1607661</t>
        </is>
      </c>
      <c r="H156" s="5" t="inlineStr">
        <is>
          <t>Nutanix</t>
        </is>
      </c>
      <c r="I156" s="5" t="inlineStr"/>
      <c r="J156" s="5" t="n">
        <v>9.5</v>
      </c>
      <c r="K156" s="5" t="n">
        <v>100</v>
      </c>
      <c r="L156" s="5" t="n">
        <v>2</v>
      </c>
      <c r="M156" s="5" t="inlineStr">
        <is>
          <t>100V 20A （2）</t>
        </is>
      </c>
      <c r="N156" s="5" t="n">
        <v>3</v>
      </c>
      <c r="O156" s="5" t="n">
        <v>2</v>
      </c>
      <c r="P156" s="5" t="n"/>
      <c r="Q156" s="5" t="n"/>
      <c r="R156" s="5" t="n"/>
      <c r="S156" s="5" t="n"/>
      <c r="T156" s="5" t="n"/>
      <c r="U156" s="5" t="n"/>
      <c r="V156" s="5" t="inlineStr">
        <is>
          <t>○</t>
        </is>
      </c>
      <c r="W156" s="5" t="inlineStr"/>
      <c r="X156" s="5" t="inlineStr"/>
      <c r="Y156" s="6">
        <f>COUNT(N156,Q156,T156)</f>
        <v/>
      </c>
      <c r="Z156" s="6">
        <f>IF(OR(K156="",NOT(ISNUMBER(K156))),"",K156*SUM(N156,Q156,T156))</f>
        <v/>
      </c>
      <c r="AA156" s="6">
        <f>IF(OR(Y156=0,N156=""),"",N156/Y156)</f>
        <v/>
      </c>
      <c r="AB156" s="6">
        <f>IF(OR(Y156=0,Q156=""),"",Q156/Y156)</f>
        <v/>
      </c>
      <c r="AC156" s="6">
        <f>IF(OR(Y156=0,T156=""),"",T156/Y156)</f>
        <v/>
      </c>
      <c r="AD156" s="6">
        <f>IF(F156="","",IF((IF(AND(Y156=0,NOT(SUMPRODUCT(--ISNUMBER(SEARCH({"棚板","棚","アングル","ｱﾝｸﾞﾙ","使用不可","ケーブル","ｹｰﾌﾞﾙ","PatchPnael","パッチ","引き出し","引出","ブランク","ﾌﾞﾗﾝｸ","マネージ","ﾏﾈｰｼﾞ","PDU","ONU"},$F156&amp;"")))&gt;0),NOT(SUMPRODUCT(--ISNUMBER(SEARCH({"電源オフ","未投入","停止","未使用","撤去"},$X156&amp;"")))&gt;0)),"／電力が未記入","")&amp;IF(AND(NOT(ISNUMBER(J156)),NOT(SUMPRODUCT(--ISNUMBER(SEARCH({"棚板","棚","アングル","ｱﾝｸﾞﾙ","使用不可","ケーブル","ｹｰﾌﾞﾙ","PatchPnael","パッチ","引き出し","引出","ブランク","ﾌﾞﾗﾝｸ","マネージ","ﾏﾈｰｼﾞ","PDU","ONU"},$F156&amp;"")))&gt;0)),"／重量が未記入","")&amp;IF(AND(K156&lt;&gt;"",NOT(ISNUMBER(K156))),"／電圧が数値でない","")&amp;IF(AND(N156&lt;&gt;"",NOT(ISNUMBER(N156))),"／電流が数値でない","")&amp;IF(AND(C156&lt;&gt;"",C156&lt;1),"／開始Uが1未満","")&amp;IF(AND(E156&lt;&gt;"",E156&gt;IFERROR(VLOOKUP(A156,ラック定義!$A:$B,2,FALSE),47)),"／総Uをはみ出す","")&amp;IF(AND(A156&lt;&gt;"",COUNTIF(ラック定義!$A:$A,A156)=0),"／ラックが定義にない","")&amp;IF(AND(SUMPRODUCT((機器台帳!$A$2:$A$400=$A156)*((機器台帳!$B$2:$B$400=$B156)+(機器台帳!$B$2:$B$400="両面")+($B156="両面")&gt;0)*(機器台帳!$C$2:$C$400&lt;=$C156+$D156-1)*(機器台帳!$C$2:$C$400+機器台帳!$D$2:$D$400-1&gt;=$C156)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156&amp;"")))&gt;0)),"／同じUに他の機器(横並びなら正常)","")&amp;IF(AND(M156&lt;&gt;"",COUNTIFS(回路定義!$A:$A,A156,回路定義!$B:$B,M156)=0),"／回路1が定義にない","")&amp;IF(AND(P156&lt;&gt;"",COUNTIFS(回路定義!$A:$A,A156,回路定義!$B:$B,P156)=0),"／回路2が定義にない","")&amp;IF(AND(S156&lt;&gt;"",COUNTIFS(回路定義!$A:$A,A156,回路定義!$B:$B,S156)=0),"／回路3が定義にない",""))="","",MID(IF(AND(Y156=0,NOT(SUMPRODUCT(--ISNUMBER(SEARCH({"棚板","棚","アングル","ｱﾝｸﾞﾙ","使用不可","ケーブル","ｹｰﾌﾞﾙ","PatchPnael","パッチ","引き出し","引出","ブランク","ﾌﾞﾗﾝｸ","マネージ","ﾏﾈｰｼﾞ","PDU","ONU"},$F156&amp;"")))&gt;0),NOT(SUMPRODUCT(--ISNUMBER(SEARCH({"電源オフ","未投入","停止","未使用","撤去"},$X156&amp;"")))&gt;0)),"／電力が未記入","")&amp;IF(AND(NOT(ISNUMBER(J156)),NOT(SUMPRODUCT(--ISNUMBER(SEARCH({"棚板","棚","アングル","ｱﾝｸﾞﾙ","使用不可","ケーブル","ｹｰﾌﾞﾙ","PatchPnael","パッチ","引き出し","引出","ブランク","ﾌﾞﾗﾝｸ","マネージ","ﾏﾈｰｼﾞ","PDU","ONU"},$F156&amp;"")))&gt;0)),"／重量が未記入","")&amp;IF(AND(K156&lt;&gt;"",NOT(ISNUMBER(K156))),"／電圧が数値でない","")&amp;IF(AND(N156&lt;&gt;"",NOT(ISNUMBER(N156))),"／電流が数値でない","")&amp;IF(AND(C156&lt;&gt;"",C156&lt;1),"／開始Uが1未満","")&amp;IF(AND(E156&lt;&gt;"",E156&gt;IFERROR(VLOOKUP(A156,ラック定義!$A:$B,2,FALSE),47)),"／総Uをはみ出す","")&amp;IF(AND(A156&lt;&gt;"",COUNTIF(ラック定義!$A:$A,A156)=0),"／ラックが定義にない","")&amp;IF(AND(SUMPRODUCT((機器台帳!$A$2:$A$400=$A156)*((機器台帳!$B$2:$B$400=$B156)+(機器台帳!$B$2:$B$400="両面")+($B156="両面")&gt;0)*(機器台帳!$C$2:$C$400&lt;=$C156+$D156-1)*(機器台帳!$C$2:$C$400+機器台帳!$D$2:$D$400-1&gt;=$C156)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156&amp;"")))&gt;0)),"／同じUに他の機器(横並びなら正常)","")&amp;IF(AND(M156&lt;&gt;"",COUNTIFS(回路定義!$A:$A,A156,回路定義!$B:$B,M156)=0),"／回路1が定義にない","")&amp;IF(AND(P156&lt;&gt;"",COUNTIFS(回路定義!$A:$A,A156,回路定義!$B:$B,P156)=0),"／回路2が定義にない","")&amp;IF(AND(S156&lt;&gt;"",COUNTIFS(回路定義!$A:$A,A156,回路定義!$B:$B,S156)=0),"／回路3が定義にない",""),2,300)))</f>
        <v/>
      </c>
    </row>
    <row r="157">
      <c r="A157" s="5" t="inlineStr">
        <is>
          <t>E24-S6-1</t>
        </is>
      </c>
      <c r="B157" s="5" t="inlineStr">
        <is>
          <t>両面</t>
        </is>
      </c>
      <c r="C157" s="5" t="n">
        <v>16</v>
      </c>
      <c r="D157" s="5" t="n">
        <v>1</v>
      </c>
      <c r="E157" s="6">
        <f>IF(C157="","",C157+D157-1)</f>
        <v/>
      </c>
      <c r="F157" s="5" t="inlineStr">
        <is>
          <t>XC430</t>
        </is>
      </c>
      <c r="G157" s="5" t="inlineStr">
        <is>
          <t>H1607943</t>
        </is>
      </c>
      <c r="H157" s="5" t="inlineStr">
        <is>
          <t>Nutanix</t>
        </is>
      </c>
      <c r="I157" s="5" t="inlineStr"/>
      <c r="J157" s="5" t="n">
        <v>9.5</v>
      </c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inlineStr">
        <is>
          <t>○</t>
        </is>
      </c>
      <c r="W157" s="5" t="inlineStr"/>
      <c r="X157" s="5" t="inlineStr">
        <is>
          <t>電源オフ</t>
        </is>
      </c>
      <c r="Y157" s="6">
        <f>COUNT(N157,Q157,T157)</f>
        <v/>
      </c>
      <c r="Z157" s="6">
        <f>IF(OR(K157="",NOT(ISNUMBER(K157))),"",K157*SUM(N157,Q157,T157))</f>
        <v/>
      </c>
      <c r="AA157" s="6">
        <f>IF(OR(Y157=0,N157=""),"",N157/Y157)</f>
        <v/>
      </c>
      <c r="AB157" s="6">
        <f>IF(OR(Y157=0,Q157=""),"",Q157/Y157)</f>
        <v/>
      </c>
      <c r="AC157" s="6">
        <f>IF(OR(Y157=0,T157=""),"",T157/Y157)</f>
        <v/>
      </c>
      <c r="AD157" s="6">
        <f>IF(F157="","",IF((IF(AND(Y157=0,NOT(SUMPRODUCT(--ISNUMBER(SEARCH({"棚板","棚","アングル","ｱﾝｸﾞﾙ","使用不可","ケーブル","ｹｰﾌﾞﾙ","PatchPnael","パッチ","引き出し","引出","ブランク","ﾌﾞﾗﾝｸ","マネージ","ﾏﾈｰｼﾞ","PDU","ONU"},$F157&amp;"")))&gt;0),NOT(SUMPRODUCT(--ISNUMBER(SEARCH({"電源オフ","未投入","停止","未使用","撤去"},$X157&amp;"")))&gt;0)),"／電力が未記入","")&amp;IF(AND(NOT(ISNUMBER(J157)),NOT(SUMPRODUCT(--ISNUMBER(SEARCH({"棚板","棚","アングル","ｱﾝｸﾞﾙ","使用不可","ケーブル","ｹｰﾌﾞﾙ","PatchPnael","パッチ","引き出し","引出","ブランク","ﾌﾞﾗﾝｸ","マネージ","ﾏﾈｰｼﾞ","PDU","ONU"},$F157&amp;"")))&gt;0)),"／重量が未記入","")&amp;IF(AND(K157&lt;&gt;"",NOT(ISNUMBER(K157))),"／電圧が数値でない","")&amp;IF(AND(N157&lt;&gt;"",NOT(ISNUMBER(N157))),"／電流が数値でない","")&amp;IF(AND(C157&lt;&gt;"",C157&lt;1),"／開始Uが1未満","")&amp;IF(AND(E157&lt;&gt;"",E157&gt;IFERROR(VLOOKUP(A157,ラック定義!$A:$B,2,FALSE),47)),"／総Uをはみ出す","")&amp;IF(AND(A157&lt;&gt;"",COUNTIF(ラック定義!$A:$A,A157)=0),"／ラックが定義にない","")&amp;IF(AND(SUMPRODUCT((機器台帳!$A$2:$A$400=$A157)*((機器台帳!$B$2:$B$400=$B157)+(機器台帳!$B$2:$B$400="両面")+($B157="両面")&gt;0)*(機器台帳!$C$2:$C$400&lt;=$C157+$D157-1)*(機器台帳!$C$2:$C$400+機器台帳!$D$2:$D$400-1&gt;=$C157)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157&amp;"")))&gt;0)),"／同じUに他の機器(横並びなら正常)","")&amp;IF(AND(M157&lt;&gt;"",COUNTIFS(回路定義!$A:$A,A157,回路定義!$B:$B,M157)=0),"／回路1が定義にない","")&amp;IF(AND(P157&lt;&gt;"",COUNTIFS(回路定義!$A:$A,A157,回路定義!$B:$B,P157)=0),"／回路2が定義にない","")&amp;IF(AND(S157&lt;&gt;"",COUNTIFS(回路定義!$A:$A,A157,回路定義!$B:$B,S157)=0),"／回路3が定義にない",""))="","",MID(IF(AND(Y157=0,NOT(SUMPRODUCT(--ISNUMBER(SEARCH({"棚板","棚","アングル","ｱﾝｸﾞﾙ","使用不可","ケーブル","ｹｰﾌﾞﾙ","PatchPnael","パッチ","引き出し","引出","ブランク","ﾌﾞﾗﾝｸ","マネージ","ﾏﾈｰｼﾞ","PDU","ONU"},$F157&amp;"")))&gt;0),NOT(SUMPRODUCT(--ISNUMBER(SEARCH({"電源オフ","未投入","停止","未使用","撤去"},$X157&amp;"")))&gt;0)),"／電力が未記入","")&amp;IF(AND(NOT(ISNUMBER(J157)),NOT(SUMPRODUCT(--ISNUMBER(SEARCH({"棚板","棚","アングル","ｱﾝｸﾞﾙ","使用不可","ケーブル","ｹｰﾌﾞﾙ","PatchPnael","パッチ","引き出し","引出","ブランク","ﾌﾞﾗﾝｸ","マネージ","ﾏﾈｰｼﾞ","PDU","ONU"},$F157&amp;"")))&gt;0)),"／重量が未記入","")&amp;IF(AND(K157&lt;&gt;"",NOT(ISNUMBER(K157))),"／電圧が数値でない","")&amp;IF(AND(N157&lt;&gt;"",NOT(ISNUMBER(N157))),"／電流が数値でない","")&amp;IF(AND(C157&lt;&gt;"",C157&lt;1),"／開始Uが1未満","")&amp;IF(AND(E157&lt;&gt;"",E157&gt;IFERROR(VLOOKUP(A157,ラック定義!$A:$B,2,FALSE),47)),"／総Uをはみ出す","")&amp;IF(AND(A157&lt;&gt;"",COUNTIF(ラック定義!$A:$A,A157)=0),"／ラックが定義にない","")&amp;IF(AND(SUMPRODUCT((機器台帳!$A$2:$A$400=$A157)*((機器台帳!$B$2:$B$400=$B157)+(機器台帳!$B$2:$B$400="両面")+($B157="両面")&gt;0)*(機器台帳!$C$2:$C$400&lt;=$C157+$D157-1)*(機器台帳!$C$2:$C$400+機器台帳!$D$2:$D$400-1&gt;=$C157)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157&amp;"")))&gt;0)),"／同じUに他の機器(横並びなら正常)","")&amp;IF(AND(M157&lt;&gt;"",COUNTIFS(回路定義!$A:$A,A157,回路定義!$B:$B,M157)=0),"／回路1が定義にない","")&amp;IF(AND(P157&lt;&gt;"",COUNTIFS(回路定義!$A:$A,A157,回路定義!$B:$B,P157)=0),"／回路2が定義にない","")&amp;IF(AND(S157&lt;&gt;"",COUNTIFS(回路定義!$A:$A,A157,回路定義!$B:$B,S157)=0),"／回路3が定義にない",""),2,300)))</f>
        <v/>
      </c>
    </row>
    <row r="158">
      <c r="A158" s="5" t="inlineStr">
        <is>
          <t>E24-S6-1</t>
        </is>
      </c>
      <c r="B158" s="5" t="inlineStr">
        <is>
          <t>両面</t>
        </is>
      </c>
      <c r="C158" s="5" t="n">
        <v>15</v>
      </c>
      <c r="D158" s="5" t="n">
        <v>1</v>
      </c>
      <c r="E158" s="6">
        <f>IF(C158="","",C158+D158-1)</f>
        <v/>
      </c>
      <c r="F158" s="5" t="inlineStr">
        <is>
          <t>XC430</t>
        </is>
      </c>
      <c r="G158" s="5" t="inlineStr">
        <is>
          <t>H1607945</t>
        </is>
      </c>
      <c r="H158" s="5" t="inlineStr">
        <is>
          <t>Nutanix</t>
        </is>
      </c>
      <c r="I158" s="5" t="inlineStr"/>
      <c r="J158" s="5" t="n">
        <v>9.5</v>
      </c>
      <c r="K158" s="5" t="n">
        <v>100</v>
      </c>
      <c r="L158" s="5" t="n">
        <v>2</v>
      </c>
      <c r="M158" s="5" t="inlineStr">
        <is>
          <t>100V 20A （2）</t>
        </is>
      </c>
      <c r="N158" s="5" t="n">
        <v>3</v>
      </c>
      <c r="O158" s="5" t="n">
        <v>2</v>
      </c>
      <c r="P158" s="5" t="n"/>
      <c r="Q158" s="5" t="n"/>
      <c r="R158" s="5" t="n"/>
      <c r="S158" s="5" t="n"/>
      <c r="T158" s="5" t="n"/>
      <c r="U158" s="5" t="n"/>
      <c r="V158" s="5" t="inlineStr">
        <is>
          <t>○</t>
        </is>
      </c>
      <c r="W158" s="5" t="inlineStr"/>
      <c r="X158" s="5" t="inlineStr"/>
      <c r="Y158" s="6">
        <f>COUNT(N158,Q158,T158)</f>
        <v/>
      </c>
      <c r="Z158" s="6">
        <f>IF(OR(K158="",NOT(ISNUMBER(K158))),"",K158*SUM(N158,Q158,T158))</f>
        <v/>
      </c>
      <c r="AA158" s="6">
        <f>IF(OR(Y158=0,N158=""),"",N158/Y158)</f>
        <v/>
      </c>
      <c r="AB158" s="6">
        <f>IF(OR(Y158=0,Q158=""),"",Q158/Y158)</f>
        <v/>
      </c>
      <c r="AC158" s="6">
        <f>IF(OR(Y158=0,T158=""),"",T158/Y158)</f>
        <v/>
      </c>
      <c r="AD158" s="6">
        <f>IF(F158="","",IF((IF(AND(Y158=0,NOT(SUMPRODUCT(--ISNUMBER(SEARCH({"棚板","棚","アングル","ｱﾝｸﾞﾙ","使用不可","ケーブル","ｹｰﾌﾞﾙ","PatchPnael","パッチ","引き出し","引出","ブランク","ﾌﾞﾗﾝｸ","マネージ","ﾏﾈｰｼﾞ","PDU","ONU"},$F158&amp;"")))&gt;0),NOT(SUMPRODUCT(--ISNUMBER(SEARCH({"電源オフ","未投入","停止","未使用","撤去"},$X158&amp;"")))&gt;0)),"／電力が未記入","")&amp;IF(AND(NOT(ISNUMBER(J158)),NOT(SUMPRODUCT(--ISNUMBER(SEARCH({"棚板","棚","アングル","ｱﾝｸﾞﾙ","使用不可","ケーブル","ｹｰﾌﾞﾙ","PatchPnael","パッチ","引き出し","引出","ブランク","ﾌﾞﾗﾝｸ","マネージ","ﾏﾈｰｼﾞ","PDU","ONU"},$F158&amp;"")))&gt;0)),"／重量が未記入","")&amp;IF(AND(K158&lt;&gt;"",NOT(ISNUMBER(K158))),"／電圧が数値でない","")&amp;IF(AND(N158&lt;&gt;"",NOT(ISNUMBER(N158))),"／電流が数値でない","")&amp;IF(AND(C158&lt;&gt;"",C158&lt;1),"／開始Uが1未満","")&amp;IF(AND(E158&lt;&gt;"",E158&gt;IFERROR(VLOOKUP(A158,ラック定義!$A:$B,2,FALSE),47)),"／総Uをはみ出す","")&amp;IF(AND(A158&lt;&gt;"",COUNTIF(ラック定義!$A:$A,A158)=0),"／ラックが定義にない","")&amp;IF(AND(SUMPRODUCT((機器台帳!$A$2:$A$400=$A158)*((機器台帳!$B$2:$B$400=$B158)+(機器台帳!$B$2:$B$400="両面")+($B158="両面")&gt;0)*(機器台帳!$C$2:$C$400&lt;=$C158+$D158-1)*(機器台帳!$C$2:$C$400+機器台帳!$D$2:$D$400-1&gt;=$C158)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158&amp;"")))&gt;0)),"／同じUに他の機器(横並びなら正常)","")&amp;IF(AND(M158&lt;&gt;"",COUNTIFS(回路定義!$A:$A,A158,回路定義!$B:$B,M158)=0),"／回路1が定義にない","")&amp;IF(AND(P158&lt;&gt;"",COUNTIFS(回路定義!$A:$A,A158,回路定義!$B:$B,P158)=0),"／回路2が定義にない","")&amp;IF(AND(S158&lt;&gt;"",COUNTIFS(回路定義!$A:$A,A158,回路定義!$B:$B,S158)=0),"／回路3が定義にない",""))="","",MID(IF(AND(Y158=0,NOT(SUMPRODUCT(--ISNUMBER(SEARCH({"棚板","棚","アングル","ｱﾝｸﾞﾙ","使用不可","ケーブル","ｹｰﾌﾞﾙ","PatchPnael","パッチ","引き出し","引出","ブランク","ﾌﾞﾗﾝｸ","マネージ","ﾏﾈｰｼﾞ","PDU","ONU"},$F158&amp;"")))&gt;0),NOT(SUMPRODUCT(--ISNUMBER(SEARCH({"電源オフ","未投入","停止","未使用","撤去"},$X158&amp;"")))&gt;0)),"／電力が未記入","")&amp;IF(AND(NOT(ISNUMBER(J158)),NOT(SUMPRODUCT(--ISNUMBER(SEARCH({"棚板","棚","アングル","ｱﾝｸﾞﾙ","使用不可","ケーブル","ｹｰﾌﾞﾙ","PatchPnael","パッチ","引き出し","引出","ブランク","ﾌﾞﾗﾝｸ","マネージ","ﾏﾈｰｼﾞ","PDU","ONU"},$F158&amp;"")))&gt;0)),"／重量が未記入","")&amp;IF(AND(K158&lt;&gt;"",NOT(ISNUMBER(K158))),"／電圧が数値でない","")&amp;IF(AND(N158&lt;&gt;"",NOT(ISNUMBER(N158))),"／電流が数値でない","")&amp;IF(AND(C158&lt;&gt;"",C158&lt;1),"／開始Uが1未満","")&amp;IF(AND(E158&lt;&gt;"",E158&gt;IFERROR(VLOOKUP(A158,ラック定義!$A:$B,2,FALSE),47)),"／総Uをはみ出す","")&amp;IF(AND(A158&lt;&gt;"",COUNTIF(ラック定義!$A:$A,A158)=0),"／ラックが定義にない","")&amp;IF(AND(SUMPRODUCT((機器台帳!$A$2:$A$400=$A158)*((機器台帳!$B$2:$B$400=$B158)+(機器台帳!$B$2:$B$400="両面")+($B158="両面")&gt;0)*(機器台帳!$C$2:$C$400&lt;=$C158+$D158-1)*(機器台帳!$C$2:$C$400+機器台帳!$D$2:$D$400-1&gt;=$C158)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158&amp;"")))&gt;0)),"／同じUに他の機器(横並びなら正常)","")&amp;IF(AND(M158&lt;&gt;"",COUNTIFS(回路定義!$A:$A,A158,回路定義!$B:$B,M158)=0),"／回路1が定義にない","")&amp;IF(AND(P158&lt;&gt;"",COUNTIFS(回路定義!$A:$A,A158,回路定義!$B:$B,P158)=0),"／回路2が定義にない","")&amp;IF(AND(S158&lt;&gt;"",COUNTIFS(回路定義!$A:$A,A158,回路定義!$B:$B,S158)=0),"／回路3が定義にない",""),2,300)))</f>
        <v/>
      </c>
    </row>
    <row r="159">
      <c r="A159" s="5" t="inlineStr">
        <is>
          <t>E24-S6-1</t>
        </is>
      </c>
      <c r="B159" s="5" t="inlineStr">
        <is>
          <t>両面</t>
        </is>
      </c>
      <c r="C159" s="5" t="n">
        <v>14</v>
      </c>
      <c r="D159" s="5" t="n">
        <v>1</v>
      </c>
      <c r="E159" s="6">
        <f>IF(C159="","",C159+D159-1)</f>
        <v/>
      </c>
      <c r="F159" s="5" t="inlineStr">
        <is>
          <t>XC430</t>
        </is>
      </c>
      <c r="G159" s="5" t="inlineStr">
        <is>
          <t>H1607944</t>
        </is>
      </c>
      <c r="H159" s="5" t="inlineStr">
        <is>
          <t>Nutanix</t>
        </is>
      </c>
      <c r="I159" s="5" t="inlineStr"/>
      <c r="J159" s="5" t="n">
        <v>9.5</v>
      </c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inlineStr">
        <is>
          <t>○</t>
        </is>
      </c>
      <c r="W159" s="5" t="inlineStr"/>
      <c r="X159" s="5" t="inlineStr">
        <is>
          <t>電源オフ</t>
        </is>
      </c>
      <c r="Y159" s="6">
        <f>COUNT(N159,Q159,T159)</f>
        <v/>
      </c>
      <c r="Z159" s="6">
        <f>IF(OR(K159="",NOT(ISNUMBER(K159))),"",K159*SUM(N159,Q159,T159))</f>
        <v/>
      </c>
      <c r="AA159" s="6">
        <f>IF(OR(Y159=0,N159=""),"",N159/Y159)</f>
        <v/>
      </c>
      <c r="AB159" s="6">
        <f>IF(OR(Y159=0,Q159=""),"",Q159/Y159)</f>
        <v/>
      </c>
      <c r="AC159" s="6">
        <f>IF(OR(Y159=0,T159=""),"",T159/Y159)</f>
        <v/>
      </c>
      <c r="AD159" s="6">
        <f>IF(F159="","",IF((IF(AND(Y159=0,NOT(SUMPRODUCT(--ISNUMBER(SEARCH({"棚板","棚","アングル","ｱﾝｸﾞﾙ","使用不可","ケーブル","ｹｰﾌﾞﾙ","PatchPnael","パッチ","引き出し","引出","ブランク","ﾌﾞﾗﾝｸ","マネージ","ﾏﾈｰｼﾞ","PDU","ONU"},$F159&amp;"")))&gt;0),NOT(SUMPRODUCT(--ISNUMBER(SEARCH({"電源オフ","未投入","停止","未使用","撤去"},$X159&amp;"")))&gt;0)),"／電力が未記入","")&amp;IF(AND(NOT(ISNUMBER(J159)),NOT(SUMPRODUCT(--ISNUMBER(SEARCH({"棚板","棚","アングル","ｱﾝｸﾞﾙ","使用不可","ケーブル","ｹｰﾌﾞﾙ","PatchPnael","パッチ","引き出し","引出","ブランク","ﾌﾞﾗﾝｸ","マネージ","ﾏﾈｰｼﾞ","PDU","ONU"},$F159&amp;"")))&gt;0)),"／重量が未記入","")&amp;IF(AND(K159&lt;&gt;"",NOT(ISNUMBER(K159))),"／電圧が数値でない","")&amp;IF(AND(N159&lt;&gt;"",NOT(ISNUMBER(N159))),"／電流が数値でない","")&amp;IF(AND(C159&lt;&gt;"",C159&lt;1),"／開始Uが1未満","")&amp;IF(AND(E159&lt;&gt;"",E159&gt;IFERROR(VLOOKUP(A159,ラック定義!$A:$B,2,FALSE),47)),"／総Uをはみ出す","")&amp;IF(AND(A159&lt;&gt;"",COUNTIF(ラック定義!$A:$A,A159)=0),"／ラックが定義にない","")&amp;IF(AND(SUMPRODUCT((機器台帳!$A$2:$A$400=$A159)*((機器台帳!$B$2:$B$400=$B159)+(機器台帳!$B$2:$B$400="両面")+($B159="両面")&gt;0)*(機器台帳!$C$2:$C$400&lt;=$C159+$D159-1)*(機器台帳!$C$2:$C$400+機器台帳!$D$2:$D$400-1&gt;=$C159)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159&amp;"")))&gt;0)),"／同じUに他の機器(横並びなら正常)","")&amp;IF(AND(M159&lt;&gt;"",COUNTIFS(回路定義!$A:$A,A159,回路定義!$B:$B,M159)=0),"／回路1が定義にない","")&amp;IF(AND(P159&lt;&gt;"",COUNTIFS(回路定義!$A:$A,A159,回路定義!$B:$B,P159)=0),"／回路2が定義にない","")&amp;IF(AND(S159&lt;&gt;"",COUNTIFS(回路定義!$A:$A,A159,回路定義!$B:$B,S159)=0),"／回路3が定義にない",""))="","",MID(IF(AND(Y159=0,NOT(SUMPRODUCT(--ISNUMBER(SEARCH({"棚板","棚","アングル","ｱﾝｸﾞﾙ","使用不可","ケーブル","ｹｰﾌﾞﾙ","PatchPnael","パッチ","引き出し","引出","ブランク","ﾌﾞﾗﾝｸ","マネージ","ﾏﾈｰｼﾞ","PDU","ONU"},$F159&amp;"")))&gt;0),NOT(SUMPRODUCT(--ISNUMBER(SEARCH({"電源オフ","未投入","停止","未使用","撤去"},$X159&amp;"")))&gt;0)),"／電力が未記入","")&amp;IF(AND(NOT(ISNUMBER(J159)),NOT(SUMPRODUCT(--ISNUMBER(SEARCH({"棚板","棚","アングル","ｱﾝｸﾞﾙ","使用不可","ケーブル","ｹｰﾌﾞﾙ","PatchPnael","パッチ","引き出し","引出","ブランク","ﾌﾞﾗﾝｸ","マネージ","ﾏﾈｰｼﾞ","PDU","ONU"},$F159&amp;"")))&gt;0)),"／重量が未記入","")&amp;IF(AND(K159&lt;&gt;"",NOT(ISNUMBER(K159))),"／電圧が数値でない","")&amp;IF(AND(N159&lt;&gt;"",NOT(ISNUMBER(N159))),"／電流が数値でない","")&amp;IF(AND(C159&lt;&gt;"",C159&lt;1),"／開始Uが1未満","")&amp;IF(AND(E159&lt;&gt;"",E159&gt;IFERROR(VLOOKUP(A159,ラック定義!$A:$B,2,FALSE),47)),"／総Uをはみ出す","")&amp;IF(AND(A159&lt;&gt;"",COUNTIF(ラック定義!$A:$A,A159)=0),"／ラックが定義にない","")&amp;IF(AND(SUMPRODUCT((機器台帳!$A$2:$A$400=$A159)*((機器台帳!$B$2:$B$400=$B159)+(機器台帳!$B$2:$B$400="両面")+($B159="両面")&gt;0)*(機器台帳!$C$2:$C$400&lt;=$C159+$D159-1)*(機器台帳!$C$2:$C$400+機器台帳!$D$2:$D$400-1&gt;=$C159)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159&amp;"")))&gt;0)),"／同じUに他の機器(横並びなら正常)","")&amp;IF(AND(M159&lt;&gt;"",COUNTIFS(回路定義!$A:$A,A159,回路定義!$B:$B,M159)=0),"／回路1が定義にない","")&amp;IF(AND(P159&lt;&gt;"",COUNTIFS(回路定義!$A:$A,A159,回路定義!$B:$B,P159)=0),"／回路2が定義にない","")&amp;IF(AND(S159&lt;&gt;"",COUNTIFS(回路定義!$A:$A,A159,回路定義!$B:$B,S159)=0),"／回路3が定義にない",""),2,300)))</f>
        <v/>
      </c>
    </row>
    <row r="160">
      <c r="A160" s="5" t="inlineStr">
        <is>
          <t>E24-S6-1</t>
        </is>
      </c>
      <c r="B160" s="5" t="inlineStr">
        <is>
          <t>両面</t>
        </is>
      </c>
      <c r="C160" s="5" t="n">
        <v>13</v>
      </c>
      <c r="D160" s="5" t="n">
        <v>1</v>
      </c>
      <c r="E160" s="6">
        <f>IF(C160="","",C160+D160-1)</f>
        <v/>
      </c>
      <c r="F160" s="5" t="inlineStr">
        <is>
          <t>CE6810</t>
        </is>
      </c>
      <c r="G160" s="5" t="inlineStr">
        <is>
          <t>H1703076</t>
        </is>
      </c>
      <c r="H160" s="5" t="inlineStr"/>
      <c r="I160" s="5" t="inlineStr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inlineStr">
        <is>
          <t>○</t>
        </is>
      </c>
      <c r="W160" s="5" t="inlineStr"/>
      <c r="X160" s="5" t="inlineStr"/>
      <c r="Y160" s="6">
        <f>COUNT(N160,Q160,T160)</f>
        <v/>
      </c>
      <c r="Z160" s="6">
        <f>IF(OR(K160="",NOT(ISNUMBER(K160))),"",K160*SUM(N160,Q160,T160))</f>
        <v/>
      </c>
      <c r="AA160" s="6">
        <f>IF(OR(Y160=0,N160=""),"",N160/Y160)</f>
        <v/>
      </c>
      <c r="AB160" s="6">
        <f>IF(OR(Y160=0,Q160=""),"",Q160/Y160)</f>
        <v/>
      </c>
      <c r="AC160" s="6">
        <f>IF(OR(Y160=0,T160=""),"",T160/Y160)</f>
        <v/>
      </c>
      <c r="AD160" s="6">
        <f>IF(F160="","",IF((IF(AND(Y160=0,NOT(SUMPRODUCT(--ISNUMBER(SEARCH({"棚板","棚","アングル","ｱﾝｸﾞﾙ","使用不可","ケーブル","ｹｰﾌﾞﾙ","PatchPnael","パッチ","引き出し","引出","ブランク","ﾌﾞﾗﾝｸ","マネージ","ﾏﾈｰｼﾞ","PDU","ONU"},$F160&amp;"")))&gt;0),NOT(SUMPRODUCT(--ISNUMBER(SEARCH({"電源オフ","未投入","停止","未使用","撤去"},$X160&amp;"")))&gt;0)),"／電力が未記入","")&amp;IF(AND(NOT(ISNUMBER(J160)),NOT(SUMPRODUCT(--ISNUMBER(SEARCH({"棚板","棚","アングル","ｱﾝｸﾞﾙ","使用不可","ケーブル","ｹｰﾌﾞﾙ","PatchPnael","パッチ","引き出し","引出","ブランク","ﾌﾞﾗﾝｸ","マネージ","ﾏﾈｰｼﾞ","PDU","ONU"},$F160&amp;"")))&gt;0)),"／重量が未記入","")&amp;IF(AND(K160&lt;&gt;"",NOT(ISNUMBER(K160))),"／電圧が数値でない","")&amp;IF(AND(N160&lt;&gt;"",NOT(ISNUMBER(N160))),"／電流が数値でない","")&amp;IF(AND(C160&lt;&gt;"",C160&lt;1),"／開始Uが1未満","")&amp;IF(AND(E160&lt;&gt;"",E160&gt;IFERROR(VLOOKUP(A160,ラック定義!$A:$B,2,FALSE),47)),"／総Uをはみ出す","")&amp;IF(AND(A160&lt;&gt;"",COUNTIF(ラック定義!$A:$A,A160)=0),"／ラックが定義にない","")&amp;IF(AND(SUMPRODUCT((機器台帳!$A$2:$A$400=$A160)*((機器台帳!$B$2:$B$400=$B160)+(機器台帳!$B$2:$B$400="両面")+($B160="両面")&gt;0)*(機器台帳!$C$2:$C$400&lt;=$C160+$D160-1)*(機器台帳!$C$2:$C$400+機器台帳!$D$2:$D$400-1&gt;=$C160)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160&amp;"")))&gt;0)),"／同じUに他の機器(横並びなら正常)","")&amp;IF(AND(M160&lt;&gt;"",COUNTIFS(回路定義!$A:$A,A160,回路定義!$B:$B,M160)=0),"／回路1が定義にない","")&amp;IF(AND(P160&lt;&gt;"",COUNTIFS(回路定義!$A:$A,A160,回路定義!$B:$B,P160)=0),"／回路2が定義にない","")&amp;IF(AND(S160&lt;&gt;"",COUNTIFS(回路定義!$A:$A,A160,回路定義!$B:$B,S160)=0),"／回路3が定義にない",""))="","",MID(IF(AND(Y160=0,NOT(SUMPRODUCT(--ISNUMBER(SEARCH({"棚板","棚","アングル","ｱﾝｸﾞﾙ","使用不可","ケーブル","ｹｰﾌﾞﾙ","PatchPnael","パッチ","引き出し","引出","ブランク","ﾌﾞﾗﾝｸ","マネージ","ﾏﾈｰｼﾞ","PDU","ONU"},$F160&amp;"")))&gt;0),NOT(SUMPRODUCT(--ISNUMBER(SEARCH({"電源オフ","未投入","停止","未使用","撤去"},$X160&amp;"")))&gt;0)),"／電力が未記入","")&amp;IF(AND(NOT(ISNUMBER(J160)),NOT(SUMPRODUCT(--ISNUMBER(SEARCH({"棚板","棚","アングル","ｱﾝｸﾞﾙ","使用不可","ケーブル","ｹｰﾌﾞﾙ","PatchPnael","パッチ","引き出し","引出","ブランク","ﾌﾞﾗﾝｸ","マネージ","ﾏﾈｰｼﾞ","PDU","ONU"},$F160&amp;"")))&gt;0)),"／重量が未記入","")&amp;IF(AND(K160&lt;&gt;"",NOT(ISNUMBER(K160))),"／電圧が数値でない","")&amp;IF(AND(N160&lt;&gt;"",NOT(ISNUMBER(N160))),"／電流が数値でない","")&amp;IF(AND(C160&lt;&gt;"",C160&lt;1),"／開始Uが1未満","")&amp;IF(AND(E160&lt;&gt;"",E160&gt;IFERROR(VLOOKUP(A160,ラック定義!$A:$B,2,FALSE),47)),"／総Uをはみ出す","")&amp;IF(AND(A160&lt;&gt;"",COUNTIF(ラック定義!$A:$A,A160)=0),"／ラックが定義にない","")&amp;IF(AND(SUMPRODUCT((機器台帳!$A$2:$A$400=$A160)*((機器台帳!$B$2:$B$400=$B160)+(機器台帳!$B$2:$B$400="両面")+($B160="両面")&gt;0)*(機器台帳!$C$2:$C$400&lt;=$C160+$D160-1)*(機器台帳!$C$2:$C$400+機器台帳!$D$2:$D$400-1&gt;=$C160)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160&amp;"")))&gt;0)),"／同じUに他の機器(横並びなら正常)","")&amp;IF(AND(M160&lt;&gt;"",COUNTIFS(回路定義!$A:$A,A160,回路定義!$B:$B,M160)=0),"／回路1が定義にない","")&amp;IF(AND(P160&lt;&gt;"",COUNTIFS(回路定義!$A:$A,A160,回路定義!$B:$B,P160)=0),"／回路2が定義にない","")&amp;IF(AND(S160&lt;&gt;"",COUNTIFS(回路定義!$A:$A,A160,回路定義!$B:$B,S160)=0),"／回路3が定義にない",""),2,300)))</f>
        <v/>
      </c>
    </row>
    <row r="161">
      <c r="A161" s="5" t="inlineStr">
        <is>
          <t>E24-S6-1</t>
        </is>
      </c>
      <c r="B161" s="5" t="inlineStr">
        <is>
          <t>両面</t>
        </is>
      </c>
      <c r="C161" s="5" t="n">
        <v>12</v>
      </c>
      <c r="D161" s="5" t="n">
        <v>1</v>
      </c>
      <c r="E161" s="6">
        <f>IF(C161="","",C161+D161-1)</f>
        <v/>
      </c>
      <c r="F161" s="5" t="inlineStr">
        <is>
          <t>S4128F</t>
        </is>
      </c>
      <c r="G161" s="5" t="inlineStr">
        <is>
          <t>H1902243</t>
        </is>
      </c>
      <c r="H161" s="5" t="inlineStr">
        <is>
          <t>Nutanix</t>
        </is>
      </c>
      <c r="I161" s="5" t="inlineStr"/>
      <c r="J161" s="5" t="n">
        <v>9</v>
      </c>
      <c r="K161" s="5" t="n">
        <v>100</v>
      </c>
      <c r="L161" s="5" t="n">
        <v>1</v>
      </c>
      <c r="M161" s="5" t="inlineStr">
        <is>
          <t>100V 20A （2）</t>
        </is>
      </c>
      <c r="N161" s="5" t="n">
        <v>1.6</v>
      </c>
      <c r="O161" s="5" t="n">
        <v>1</v>
      </c>
      <c r="P161" s="5" t="n"/>
      <c r="Q161" s="5" t="n"/>
      <c r="R161" s="5" t="n"/>
      <c r="S161" s="5" t="n"/>
      <c r="T161" s="5" t="n"/>
      <c r="U161" s="5" t="n"/>
      <c r="V161" s="5" t="inlineStr">
        <is>
          <t>○</t>
        </is>
      </c>
      <c r="W161" s="5" t="inlineStr"/>
      <c r="X161" s="5" t="inlineStr"/>
      <c r="Y161" s="6">
        <f>COUNT(N161,Q161,T161)</f>
        <v/>
      </c>
      <c r="Z161" s="6">
        <f>IF(OR(K161="",NOT(ISNUMBER(K161))),"",K161*SUM(N161,Q161,T161))</f>
        <v/>
      </c>
      <c r="AA161" s="6">
        <f>IF(OR(Y161=0,N161=""),"",N161/Y161)</f>
        <v/>
      </c>
      <c r="AB161" s="6">
        <f>IF(OR(Y161=0,Q161=""),"",Q161/Y161)</f>
        <v/>
      </c>
      <c r="AC161" s="6">
        <f>IF(OR(Y161=0,T161=""),"",T161/Y161)</f>
        <v/>
      </c>
      <c r="AD161" s="6">
        <f>IF(F161="","",IF((IF(AND(Y161=0,NOT(SUMPRODUCT(--ISNUMBER(SEARCH({"棚板","棚","アングル","ｱﾝｸﾞﾙ","使用不可","ケーブル","ｹｰﾌﾞﾙ","PatchPnael","パッチ","引き出し","引出","ブランク","ﾌﾞﾗﾝｸ","マネージ","ﾏﾈｰｼﾞ","PDU","ONU"},$F161&amp;"")))&gt;0),NOT(SUMPRODUCT(--ISNUMBER(SEARCH({"電源オフ","未投入","停止","未使用","撤去"},$X161&amp;"")))&gt;0)),"／電力が未記入","")&amp;IF(AND(NOT(ISNUMBER(J161)),NOT(SUMPRODUCT(--ISNUMBER(SEARCH({"棚板","棚","アングル","ｱﾝｸﾞﾙ","使用不可","ケーブル","ｹｰﾌﾞﾙ","PatchPnael","パッチ","引き出し","引出","ブランク","ﾌﾞﾗﾝｸ","マネージ","ﾏﾈｰｼﾞ","PDU","ONU"},$F161&amp;"")))&gt;0)),"／重量が未記入","")&amp;IF(AND(K161&lt;&gt;"",NOT(ISNUMBER(K161))),"／電圧が数値でない","")&amp;IF(AND(N161&lt;&gt;"",NOT(ISNUMBER(N161))),"／電流が数値でない","")&amp;IF(AND(C161&lt;&gt;"",C161&lt;1),"／開始Uが1未満","")&amp;IF(AND(E161&lt;&gt;"",E161&gt;IFERROR(VLOOKUP(A161,ラック定義!$A:$B,2,FALSE),47)),"／総Uをはみ出す","")&amp;IF(AND(A161&lt;&gt;"",COUNTIF(ラック定義!$A:$A,A161)=0),"／ラックが定義にない","")&amp;IF(AND(SUMPRODUCT((機器台帳!$A$2:$A$400=$A161)*((機器台帳!$B$2:$B$400=$B161)+(機器台帳!$B$2:$B$400="両面")+($B161="両面")&gt;0)*(機器台帳!$C$2:$C$400&lt;=$C161+$D161-1)*(機器台帳!$C$2:$C$400+機器台帳!$D$2:$D$400-1&gt;=$C161)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161&amp;"")))&gt;0)),"／同じUに他の機器(横並びなら正常)","")&amp;IF(AND(M161&lt;&gt;"",COUNTIFS(回路定義!$A:$A,A161,回路定義!$B:$B,M161)=0),"／回路1が定義にない","")&amp;IF(AND(P161&lt;&gt;"",COUNTIFS(回路定義!$A:$A,A161,回路定義!$B:$B,P161)=0),"／回路2が定義にない","")&amp;IF(AND(S161&lt;&gt;"",COUNTIFS(回路定義!$A:$A,A161,回路定義!$B:$B,S161)=0),"／回路3が定義にない",""))="","",MID(IF(AND(Y161=0,NOT(SUMPRODUCT(--ISNUMBER(SEARCH({"棚板","棚","アングル","ｱﾝｸﾞﾙ","使用不可","ケーブル","ｹｰﾌﾞﾙ","PatchPnael","パッチ","引き出し","引出","ブランク","ﾌﾞﾗﾝｸ","マネージ","ﾏﾈｰｼﾞ","PDU","ONU"},$F161&amp;"")))&gt;0),NOT(SUMPRODUCT(--ISNUMBER(SEARCH({"電源オフ","未投入","停止","未使用","撤去"},$X161&amp;"")))&gt;0)),"／電力が未記入","")&amp;IF(AND(NOT(ISNUMBER(J161)),NOT(SUMPRODUCT(--ISNUMBER(SEARCH({"棚板","棚","アングル","ｱﾝｸﾞﾙ","使用不可","ケーブル","ｹｰﾌﾞﾙ","PatchPnael","パッチ","引き出し","引出","ブランク","ﾌﾞﾗﾝｸ","マネージ","ﾏﾈｰｼﾞ","PDU","ONU"},$F161&amp;"")))&gt;0)),"／重量が未記入","")&amp;IF(AND(K161&lt;&gt;"",NOT(ISNUMBER(K161))),"／電圧が数値でない","")&amp;IF(AND(N161&lt;&gt;"",NOT(ISNUMBER(N161))),"／電流が数値でない","")&amp;IF(AND(C161&lt;&gt;"",C161&lt;1),"／開始Uが1未満","")&amp;IF(AND(E161&lt;&gt;"",E161&gt;IFERROR(VLOOKUP(A161,ラック定義!$A:$B,2,FALSE),47)),"／総Uをはみ出す","")&amp;IF(AND(A161&lt;&gt;"",COUNTIF(ラック定義!$A:$A,A161)=0),"／ラックが定義にない","")&amp;IF(AND(SUMPRODUCT((機器台帳!$A$2:$A$400=$A161)*((機器台帳!$B$2:$B$400=$B161)+(機器台帳!$B$2:$B$400="両面")+($B161="両面")&gt;0)*(機器台帳!$C$2:$C$400&lt;=$C161+$D161-1)*(機器台帳!$C$2:$C$400+機器台帳!$D$2:$D$400-1&gt;=$C161)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161&amp;"")))&gt;0)),"／同じUに他の機器(横並びなら正常)","")&amp;IF(AND(M161&lt;&gt;"",COUNTIFS(回路定義!$A:$A,A161,回路定義!$B:$B,M161)=0),"／回路1が定義にない","")&amp;IF(AND(P161&lt;&gt;"",COUNTIFS(回路定義!$A:$A,A161,回路定義!$B:$B,P161)=0),"／回路2が定義にない","")&amp;IF(AND(S161&lt;&gt;"",COUNTIFS(回路定義!$A:$A,A161,回路定義!$B:$B,S161)=0),"／回路3が定義にない",""),2,300)))</f>
        <v/>
      </c>
    </row>
    <row r="162">
      <c r="A162" s="5" t="inlineStr">
        <is>
          <t>E24-S6-1</t>
        </is>
      </c>
      <c r="B162" s="5" t="inlineStr">
        <is>
          <t>両面</t>
        </is>
      </c>
      <c r="C162" s="5" t="n">
        <v>2</v>
      </c>
      <c r="D162" s="5" t="n">
        <v>3</v>
      </c>
      <c r="E162" s="6">
        <f>IF(C162="","",C162+D162-1)</f>
        <v/>
      </c>
      <c r="F162" s="5" t="inlineStr">
        <is>
          <t>使用不可</t>
        </is>
      </c>
      <c r="G162" s="5" t="inlineStr"/>
      <c r="H162" s="5" t="inlineStr"/>
      <c r="I162" s="5" t="inlineStr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inlineStr"/>
      <c r="W162" s="5" t="inlineStr"/>
      <c r="X162" s="5" t="inlineStr"/>
      <c r="Y162" s="6">
        <f>COUNT(N162,Q162,T162)</f>
        <v/>
      </c>
      <c r="Z162" s="6">
        <f>IF(OR(K162="",NOT(ISNUMBER(K162))),"",K162*SUM(N162,Q162,T162))</f>
        <v/>
      </c>
      <c r="AA162" s="6">
        <f>IF(OR(Y162=0,N162=""),"",N162/Y162)</f>
        <v/>
      </c>
      <c r="AB162" s="6">
        <f>IF(OR(Y162=0,Q162=""),"",Q162/Y162)</f>
        <v/>
      </c>
      <c r="AC162" s="6">
        <f>IF(OR(Y162=0,T162=""),"",T162/Y162)</f>
        <v/>
      </c>
      <c r="AD162" s="6">
        <f>IF(F162="","",IF((IF(AND(Y162=0,NOT(SUMPRODUCT(--ISNUMBER(SEARCH({"棚板","棚","アングル","ｱﾝｸﾞﾙ","使用不可","ケーブル","ｹｰﾌﾞﾙ","PatchPnael","パッチ","引き出し","引出","ブランク","ﾌﾞﾗﾝｸ","マネージ","ﾏﾈｰｼﾞ","PDU","ONU"},$F162&amp;"")))&gt;0),NOT(SUMPRODUCT(--ISNUMBER(SEARCH({"電源オフ","未投入","停止","未使用","撤去"},$X162&amp;"")))&gt;0)),"／電力が未記入","")&amp;IF(AND(NOT(ISNUMBER(J162)),NOT(SUMPRODUCT(--ISNUMBER(SEARCH({"棚板","棚","アングル","ｱﾝｸﾞﾙ","使用不可","ケーブル","ｹｰﾌﾞﾙ","PatchPnael","パッチ","引き出し","引出","ブランク","ﾌﾞﾗﾝｸ","マネージ","ﾏﾈｰｼﾞ","PDU","ONU"},$F162&amp;"")))&gt;0)),"／重量が未記入","")&amp;IF(AND(K162&lt;&gt;"",NOT(ISNUMBER(K162))),"／電圧が数値でない","")&amp;IF(AND(N162&lt;&gt;"",NOT(ISNUMBER(N162))),"／電流が数値でない","")&amp;IF(AND(C162&lt;&gt;"",C162&lt;1),"／開始Uが1未満","")&amp;IF(AND(E162&lt;&gt;"",E162&gt;IFERROR(VLOOKUP(A162,ラック定義!$A:$B,2,FALSE),47)),"／総Uをはみ出す","")&amp;IF(AND(A162&lt;&gt;"",COUNTIF(ラック定義!$A:$A,A162)=0),"／ラックが定義にない","")&amp;IF(AND(SUMPRODUCT((機器台帳!$A$2:$A$400=$A162)*((機器台帳!$B$2:$B$400=$B162)+(機器台帳!$B$2:$B$400="両面")+($B162="両面")&gt;0)*(機器台帳!$C$2:$C$400&lt;=$C162+$D162-1)*(機器台帳!$C$2:$C$400+機器台帳!$D$2:$D$400-1&gt;=$C162)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162&amp;"")))&gt;0)),"／同じUに他の機器(横並びなら正常)","")&amp;IF(AND(M162&lt;&gt;"",COUNTIFS(回路定義!$A:$A,A162,回路定義!$B:$B,M162)=0),"／回路1が定義にない","")&amp;IF(AND(P162&lt;&gt;"",COUNTIFS(回路定義!$A:$A,A162,回路定義!$B:$B,P162)=0),"／回路2が定義にない","")&amp;IF(AND(S162&lt;&gt;"",COUNTIFS(回路定義!$A:$A,A162,回路定義!$B:$B,S162)=0),"／回路3が定義にない",""))="","",MID(IF(AND(Y162=0,NOT(SUMPRODUCT(--ISNUMBER(SEARCH({"棚板","棚","アングル","ｱﾝｸﾞﾙ","使用不可","ケーブル","ｹｰﾌﾞﾙ","PatchPnael","パッチ","引き出し","引出","ブランク","ﾌﾞﾗﾝｸ","マネージ","ﾏﾈｰｼﾞ","PDU","ONU"},$F162&amp;"")))&gt;0),NOT(SUMPRODUCT(--ISNUMBER(SEARCH({"電源オフ","未投入","停止","未使用","撤去"},$X162&amp;"")))&gt;0)),"／電力が未記入","")&amp;IF(AND(NOT(ISNUMBER(J162)),NOT(SUMPRODUCT(--ISNUMBER(SEARCH({"棚板","棚","アングル","ｱﾝｸﾞﾙ","使用不可","ケーブル","ｹｰﾌﾞﾙ","PatchPnael","パッチ","引き出し","引出","ブランク","ﾌﾞﾗﾝｸ","マネージ","ﾏﾈｰｼﾞ","PDU","ONU"},$F162&amp;"")))&gt;0)),"／重量が未記入","")&amp;IF(AND(K162&lt;&gt;"",NOT(ISNUMBER(K162))),"／電圧が数値でない","")&amp;IF(AND(N162&lt;&gt;"",NOT(ISNUMBER(N162))),"／電流が数値でない","")&amp;IF(AND(C162&lt;&gt;"",C162&lt;1),"／開始Uが1未満","")&amp;IF(AND(E162&lt;&gt;"",E162&gt;IFERROR(VLOOKUP(A162,ラック定義!$A:$B,2,FALSE),47)),"／総Uをはみ出す","")&amp;IF(AND(A162&lt;&gt;"",COUNTIF(ラック定義!$A:$A,A162)=0),"／ラックが定義にない","")&amp;IF(AND(SUMPRODUCT((機器台帳!$A$2:$A$400=$A162)*((機器台帳!$B$2:$B$400=$B162)+(機器台帳!$B$2:$B$400="両面")+($B162="両面")&gt;0)*(機器台帳!$C$2:$C$400&lt;=$C162+$D162-1)*(機器台帳!$C$2:$C$400+機器台帳!$D$2:$D$400-1&gt;=$C162)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162&amp;"")))&gt;0)),"／同じUに他の機器(横並びなら正常)","")&amp;IF(AND(M162&lt;&gt;"",COUNTIFS(回路定義!$A:$A,A162,回路定義!$B:$B,M162)=0),"／回路1が定義にない","")&amp;IF(AND(P162&lt;&gt;"",COUNTIFS(回路定義!$A:$A,A162,回路定義!$B:$B,P162)=0),"／回路2が定義にない","")&amp;IF(AND(S162&lt;&gt;"",COUNTIFS(回路定義!$A:$A,A162,回路定義!$B:$B,S162)=0),"／回路3が定義にない",""),2,300)))</f>
        <v/>
      </c>
    </row>
    <row r="163">
      <c r="A163" s="5" t="inlineStr">
        <is>
          <t>E24-S6-1</t>
        </is>
      </c>
      <c r="B163" s="5" t="inlineStr">
        <is>
          <t>前面</t>
        </is>
      </c>
      <c r="C163" s="5" t="n">
        <v>47</v>
      </c>
      <c r="D163" s="5" t="n">
        <v>1</v>
      </c>
      <c r="E163" s="6">
        <f>IF(C163="","",C163+D163-1)</f>
        <v/>
      </c>
      <c r="F163" s="5" t="inlineStr">
        <is>
          <t>ｹｰﾌﾞﾙﾏﾈｰｼﾞﾒﾝﾄ</t>
        </is>
      </c>
      <c r="G163" s="5" t="inlineStr"/>
      <c r="H163" s="5" t="inlineStr"/>
      <c r="I163" s="5" t="inlineStr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inlineStr"/>
      <c r="W163" s="5" t="inlineStr"/>
      <c r="X163" s="5" t="inlineStr"/>
      <c r="Y163" s="6">
        <f>COUNT(N163,Q163,T163)</f>
        <v/>
      </c>
      <c r="Z163" s="6">
        <f>IF(OR(K163="",NOT(ISNUMBER(K163))),"",K163*SUM(N163,Q163,T163))</f>
        <v/>
      </c>
      <c r="AA163" s="6">
        <f>IF(OR(Y163=0,N163=""),"",N163/Y163)</f>
        <v/>
      </c>
      <c r="AB163" s="6">
        <f>IF(OR(Y163=0,Q163=""),"",Q163/Y163)</f>
        <v/>
      </c>
      <c r="AC163" s="6">
        <f>IF(OR(Y163=0,T163=""),"",T163/Y163)</f>
        <v/>
      </c>
      <c r="AD163" s="6">
        <f>IF(F163="","",IF((IF(AND(Y163=0,NOT(SUMPRODUCT(--ISNUMBER(SEARCH({"棚板","棚","アングル","ｱﾝｸﾞﾙ","使用不可","ケーブル","ｹｰﾌﾞﾙ","PatchPnael","パッチ","引き出し","引出","ブランク","ﾌﾞﾗﾝｸ","マネージ","ﾏﾈｰｼﾞ","PDU","ONU"},$F163&amp;"")))&gt;0),NOT(SUMPRODUCT(--ISNUMBER(SEARCH({"電源オフ","未投入","停止","未使用","撤去"},$X163&amp;"")))&gt;0)),"／電力が未記入","")&amp;IF(AND(NOT(ISNUMBER(J163)),NOT(SUMPRODUCT(--ISNUMBER(SEARCH({"棚板","棚","アングル","ｱﾝｸﾞﾙ","使用不可","ケーブル","ｹｰﾌﾞﾙ","PatchPnael","パッチ","引き出し","引出","ブランク","ﾌﾞﾗﾝｸ","マネージ","ﾏﾈｰｼﾞ","PDU","ONU"},$F163&amp;"")))&gt;0)),"／重量が未記入","")&amp;IF(AND(K163&lt;&gt;"",NOT(ISNUMBER(K163))),"／電圧が数値でない","")&amp;IF(AND(N163&lt;&gt;"",NOT(ISNUMBER(N163))),"／電流が数値でない","")&amp;IF(AND(C163&lt;&gt;"",C163&lt;1),"／開始Uが1未満","")&amp;IF(AND(E163&lt;&gt;"",E163&gt;IFERROR(VLOOKUP(A163,ラック定義!$A:$B,2,FALSE),47)),"／総Uをはみ出す","")&amp;IF(AND(A163&lt;&gt;"",COUNTIF(ラック定義!$A:$A,A163)=0),"／ラックが定義にない","")&amp;IF(AND(SUMPRODUCT((機器台帳!$A$2:$A$400=$A163)*((機器台帳!$B$2:$B$400=$B163)+(機器台帳!$B$2:$B$400="両面")+($B163="両面")&gt;0)*(機器台帳!$C$2:$C$400&lt;=$C163+$D163-1)*(機器台帳!$C$2:$C$400+機器台帳!$D$2:$D$400-1&gt;=$C163)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163&amp;"")))&gt;0)),"／同じUに他の機器(横並びなら正常)","")&amp;IF(AND(M163&lt;&gt;"",COUNTIFS(回路定義!$A:$A,A163,回路定義!$B:$B,M163)=0),"／回路1が定義にない","")&amp;IF(AND(P163&lt;&gt;"",COUNTIFS(回路定義!$A:$A,A163,回路定義!$B:$B,P163)=0),"／回路2が定義にない","")&amp;IF(AND(S163&lt;&gt;"",COUNTIFS(回路定義!$A:$A,A163,回路定義!$B:$B,S163)=0),"／回路3が定義にない",""))="","",MID(IF(AND(Y163=0,NOT(SUMPRODUCT(--ISNUMBER(SEARCH({"棚板","棚","アングル","ｱﾝｸﾞﾙ","使用不可","ケーブル","ｹｰﾌﾞﾙ","PatchPnael","パッチ","引き出し","引出","ブランク","ﾌﾞﾗﾝｸ","マネージ","ﾏﾈｰｼﾞ","PDU","ONU"},$F163&amp;"")))&gt;0),NOT(SUMPRODUCT(--ISNUMBER(SEARCH({"電源オフ","未投入","停止","未使用","撤去"},$X163&amp;"")))&gt;0)),"／電力が未記入","")&amp;IF(AND(NOT(ISNUMBER(J163)),NOT(SUMPRODUCT(--ISNUMBER(SEARCH({"棚板","棚","アングル","ｱﾝｸﾞﾙ","使用不可","ケーブル","ｹｰﾌﾞﾙ","PatchPnael","パッチ","引き出し","引出","ブランク","ﾌﾞﾗﾝｸ","マネージ","ﾏﾈｰｼﾞ","PDU","ONU"},$F163&amp;"")))&gt;0)),"／重量が未記入","")&amp;IF(AND(K163&lt;&gt;"",NOT(ISNUMBER(K163))),"／電圧が数値でない","")&amp;IF(AND(N163&lt;&gt;"",NOT(ISNUMBER(N163))),"／電流が数値でない","")&amp;IF(AND(C163&lt;&gt;"",C163&lt;1),"／開始Uが1未満","")&amp;IF(AND(E163&lt;&gt;"",E163&gt;IFERROR(VLOOKUP(A163,ラック定義!$A:$B,2,FALSE),47)),"／総Uをはみ出す","")&amp;IF(AND(A163&lt;&gt;"",COUNTIF(ラック定義!$A:$A,A163)=0),"／ラックが定義にない","")&amp;IF(AND(SUMPRODUCT((機器台帳!$A$2:$A$400=$A163)*((機器台帳!$B$2:$B$400=$B163)+(機器台帳!$B$2:$B$400="両面")+($B163="両面")&gt;0)*(機器台帳!$C$2:$C$400&lt;=$C163+$D163-1)*(機器台帳!$C$2:$C$400+機器台帳!$D$2:$D$400-1&gt;=$C163)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163&amp;"")))&gt;0)),"／同じUに他の機器(横並びなら正常)","")&amp;IF(AND(M163&lt;&gt;"",COUNTIFS(回路定義!$A:$A,A163,回路定義!$B:$B,M163)=0),"／回路1が定義にない","")&amp;IF(AND(P163&lt;&gt;"",COUNTIFS(回路定義!$A:$A,A163,回路定義!$B:$B,P163)=0),"／回路2が定義にない","")&amp;IF(AND(S163&lt;&gt;"",COUNTIFS(回路定義!$A:$A,A163,回路定義!$B:$B,S163)=0),"／回路3が定義にない",""),2,300)))</f>
        <v/>
      </c>
    </row>
    <row r="164">
      <c r="A164" s="5" t="inlineStr">
        <is>
          <t>E24-S6-1</t>
        </is>
      </c>
      <c r="B164" s="5" t="inlineStr">
        <is>
          <t>背面</t>
        </is>
      </c>
      <c r="C164" s="5" t="n">
        <v>47</v>
      </c>
      <c r="D164" s="5" t="n">
        <v>1</v>
      </c>
      <c r="E164" s="6">
        <f>IF(C164="","",C164+D164-1)</f>
        <v/>
      </c>
      <c r="F164" s="5" t="inlineStr">
        <is>
          <t>UTP 12port PatchPnael(背面)</t>
        </is>
      </c>
      <c r="G164" s="5" t="inlineStr"/>
      <c r="H164" s="5" t="inlineStr"/>
      <c r="I164" s="5" t="inlineStr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inlineStr"/>
      <c r="W164" s="5" t="inlineStr"/>
      <c r="X164" s="5" t="inlineStr"/>
      <c r="Y164" s="6">
        <f>COUNT(N164,Q164,T164)</f>
        <v/>
      </c>
      <c r="Z164" s="6">
        <f>IF(OR(K164="",NOT(ISNUMBER(K164))),"",K164*SUM(N164,Q164,T164))</f>
        <v/>
      </c>
      <c r="AA164" s="6">
        <f>IF(OR(Y164=0,N164=""),"",N164/Y164)</f>
        <v/>
      </c>
      <c r="AB164" s="6">
        <f>IF(OR(Y164=0,Q164=""),"",Q164/Y164)</f>
        <v/>
      </c>
      <c r="AC164" s="6">
        <f>IF(OR(Y164=0,T164=""),"",T164/Y164)</f>
        <v/>
      </c>
      <c r="AD164" s="6">
        <f>IF(F164="","",IF((IF(AND(Y164=0,NOT(SUMPRODUCT(--ISNUMBER(SEARCH({"棚板","棚","アングル","ｱﾝｸﾞﾙ","使用不可","ケーブル","ｹｰﾌﾞﾙ","PatchPnael","パッチ","引き出し","引出","ブランク","ﾌﾞﾗﾝｸ","マネージ","ﾏﾈｰｼﾞ","PDU","ONU"},$F164&amp;"")))&gt;0),NOT(SUMPRODUCT(--ISNUMBER(SEARCH({"電源オフ","未投入","停止","未使用","撤去"},$X164&amp;"")))&gt;0)),"／電力が未記入","")&amp;IF(AND(NOT(ISNUMBER(J164)),NOT(SUMPRODUCT(--ISNUMBER(SEARCH({"棚板","棚","アングル","ｱﾝｸﾞﾙ","使用不可","ケーブル","ｹｰﾌﾞﾙ","PatchPnael","パッチ","引き出し","引出","ブランク","ﾌﾞﾗﾝｸ","マネージ","ﾏﾈｰｼﾞ","PDU","ONU"},$F164&amp;"")))&gt;0)),"／重量が未記入","")&amp;IF(AND(K164&lt;&gt;"",NOT(ISNUMBER(K164))),"／電圧が数値でない","")&amp;IF(AND(N164&lt;&gt;"",NOT(ISNUMBER(N164))),"／電流が数値でない","")&amp;IF(AND(C164&lt;&gt;"",C164&lt;1),"／開始Uが1未満","")&amp;IF(AND(E164&lt;&gt;"",E164&gt;IFERROR(VLOOKUP(A164,ラック定義!$A:$B,2,FALSE),47)),"／総Uをはみ出す","")&amp;IF(AND(A164&lt;&gt;"",COUNTIF(ラック定義!$A:$A,A164)=0),"／ラックが定義にない","")&amp;IF(AND(SUMPRODUCT((機器台帳!$A$2:$A$400=$A164)*((機器台帳!$B$2:$B$400=$B164)+(機器台帳!$B$2:$B$400="両面")+($B164="両面")&gt;0)*(機器台帳!$C$2:$C$400&lt;=$C164+$D164-1)*(機器台帳!$C$2:$C$400+機器台帳!$D$2:$D$400-1&gt;=$C164)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164&amp;"")))&gt;0)),"／同じUに他の機器(横並びなら正常)","")&amp;IF(AND(M164&lt;&gt;"",COUNTIFS(回路定義!$A:$A,A164,回路定義!$B:$B,M164)=0),"／回路1が定義にない","")&amp;IF(AND(P164&lt;&gt;"",COUNTIFS(回路定義!$A:$A,A164,回路定義!$B:$B,P164)=0),"／回路2が定義にない","")&amp;IF(AND(S164&lt;&gt;"",COUNTIFS(回路定義!$A:$A,A164,回路定義!$B:$B,S164)=0),"／回路3が定義にない",""))="","",MID(IF(AND(Y164=0,NOT(SUMPRODUCT(--ISNUMBER(SEARCH({"棚板","棚","アングル","ｱﾝｸﾞﾙ","使用不可","ケーブル","ｹｰﾌﾞﾙ","PatchPnael","パッチ","引き出し","引出","ブランク","ﾌﾞﾗﾝｸ","マネージ","ﾏﾈｰｼﾞ","PDU","ONU"},$F164&amp;"")))&gt;0),NOT(SUMPRODUCT(--ISNUMBER(SEARCH({"電源オフ","未投入","停止","未使用","撤去"},$X164&amp;"")))&gt;0)),"／電力が未記入","")&amp;IF(AND(NOT(ISNUMBER(J164)),NOT(SUMPRODUCT(--ISNUMBER(SEARCH({"棚板","棚","アングル","ｱﾝｸﾞﾙ","使用不可","ケーブル","ｹｰﾌﾞﾙ","PatchPnael","パッチ","引き出し","引出","ブランク","ﾌﾞﾗﾝｸ","マネージ","ﾏﾈｰｼﾞ","PDU","ONU"},$F164&amp;"")))&gt;0)),"／重量が未記入","")&amp;IF(AND(K164&lt;&gt;"",NOT(ISNUMBER(K164))),"／電圧が数値でない","")&amp;IF(AND(N164&lt;&gt;"",NOT(ISNUMBER(N164))),"／電流が数値でない","")&amp;IF(AND(C164&lt;&gt;"",C164&lt;1),"／開始Uが1未満","")&amp;IF(AND(E164&lt;&gt;"",E164&gt;IFERROR(VLOOKUP(A164,ラック定義!$A:$B,2,FALSE),47)),"／総Uをはみ出す","")&amp;IF(AND(A164&lt;&gt;"",COUNTIF(ラック定義!$A:$A,A164)=0),"／ラックが定義にない","")&amp;IF(AND(SUMPRODUCT((機器台帳!$A$2:$A$400=$A164)*((機器台帳!$B$2:$B$400=$B164)+(機器台帳!$B$2:$B$400="両面")+($B164="両面")&gt;0)*(機器台帳!$C$2:$C$400&lt;=$C164+$D164-1)*(機器台帳!$C$2:$C$400+機器台帳!$D$2:$D$400-1&gt;=$C164)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164&amp;"")))&gt;0)),"／同じUに他の機器(横並びなら正常)","")&amp;IF(AND(M164&lt;&gt;"",COUNTIFS(回路定義!$A:$A,A164,回路定義!$B:$B,M164)=0),"／回路1が定義にない","")&amp;IF(AND(P164&lt;&gt;"",COUNTIFS(回路定義!$A:$A,A164,回路定義!$B:$B,P164)=0),"／回路2が定義にない","")&amp;IF(AND(S164&lt;&gt;"",COUNTIFS(回路定義!$A:$A,A164,回路定義!$B:$B,S164)=0),"／回路3が定義にない",""),2,300)))</f>
        <v/>
      </c>
    </row>
    <row r="165">
      <c r="A165" s="5" t="inlineStr">
        <is>
          <t>E24-S6-1</t>
        </is>
      </c>
      <c r="B165" s="5" t="inlineStr">
        <is>
          <t>前面</t>
        </is>
      </c>
      <c r="C165" s="5" t="n">
        <v>46</v>
      </c>
      <c r="D165" s="5" t="n">
        <v>1</v>
      </c>
      <c r="E165" s="6">
        <f>IF(C165="","",C165+D165-1)</f>
        <v/>
      </c>
      <c r="F165" s="5" t="inlineStr">
        <is>
          <t>UTP 12port PatchPnael(前面)</t>
        </is>
      </c>
      <c r="G165" s="5" t="inlineStr"/>
      <c r="H165" s="5" t="inlineStr"/>
      <c r="I165" s="5" t="inlineStr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inlineStr"/>
      <c r="W165" s="5" t="inlineStr"/>
      <c r="X165" s="5" t="inlineStr"/>
      <c r="Y165" s="6">
        <f>COUNT(N165,Q165,T165)</f>
        <v/>
      </c>
      <c r="Z165" s="6">
        <f>IF(OR(K165="",NOT(ISNUMBER(K165))),"",K165*SUM(N165,Q165,T165))</f>
        <v/>
      </c>
      <c r="AA165" s="6">
        <f>IF(OR(Y165=0,N165=""),"",N165/Y165)</f>
        <v/>
      </c>
      <c r="AB165" s="6">
        <f>IF(OR(Y165=0,Q165=""),"",Q165/Y165)</f>
        <v/>
      </c>
      <c r="AC165" s="6">
        <f>IF(OR(Y165=0,T165=""),"",T165/Y165)</f>
        <v/>
      </c>
      <c r="AD165" s="6">
        <f>IF(F165="","",IF((IF(AND(Y165=0,NOT(SUMPRODUCT(--ISNUMBER(SEARCH({"棚板","棚","アングル","ｱﾝｸﾞﾙ","使用不可","ケーブル","ｹｰﾌﾞﾙ","PatchPnael","パッチ","引き出し","引出","ブランク","ﾌﾞﾗﾝｸ","マネージ","ﾏﾈｰｼﾞ","PDU","ONU"},$F165&amp;"")))&gt;0),NOT(SUMPRODUCT(--ISNUMBER(SEARCH({"電源オフ","未投入","停止","未使用","撤去"},$X165&amp;"")))&gt;0)),"／電力が未記入","")&amp;IF(AND(NOT(ISNUMBER(J165)),NOT(SUMPRODUCT(--ISNUMBER(SEARCH({"棚板","棚","アングル","ｱﾝｸﾞﾙ","使用不可","ケーブル","ｹｰﾌﾞﾙ","PatchPnael","パッチ","引き出し","引出","ブランク","ﾌﾞﾗﾝｸ","マネージ","ﾏﾈｰｼﾞ","PDU","ONU"},$F165&amp;"")))&gt;0)),"／重量が未記入","")&amp;IF(AND(K165&lt;&gt;"",NOT(ISNUMBER(K165))),"／電圧が数値でない","")&amp;IF(AND(N165&lt;&gt;"",NOT(ISNUMBER(N165))),"／電流が数値でない","")&amp;IF(AND(C165&lt;&gt;"",C165&lt;1),"／開始Uが1未満","")&amp;IF(AND(E165&lt;&gt;"",E165&gt;IFERROR(VLOOKUP(A165,ラック定義!$A:$B,2,FALSE),47)),"／総Uをはみ出す","")&amp;IF(AND(A165&lt;&gt;"",COUNTIF(ラック定義!$A:$A,A165)=0),"／ラックが定義にない","")&amp;IF(AND(SUMPRODUCT((機器台帳!$A$2:$A$400=$A165)*((機器台帳!$B$2:$B$400=$B165)+(機器台帳!$B$2:$B$400="両面")+($B165="両面")&gt;0)*(機器台帳!$C$2:$C$400&lt;=$C165+$D165-1)*(機器台帳!$C$2:$C$400+機器台帳!$D$2:$D$400-1&gt;=$C165)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165&amp;"")))&gt;0)),"／同じUに他の機器(横並びなら正常)","")&amp;IF(AND(M165&lt;&gt;"",COUNTIFS(回路定義!$A:$A,A165,回路定義!$B:$B,M165)=0),"／回路1が定義にない","")&amp;IF(AND(P165&lt;&gt;"",COUNTIFS(回路定義!$A:$A,A165,回路定義!$B:$B,P165)=0),"／回路2が定義にない","")&amp;IF(AND(S165&lt;&gt;"",COUNTIFS(回路定義!$A:$A,A165,回路定義!$B:$B,S165)=0),"／回路3が定義にない",""))="","",MID(IF(AND(Y165=0,NOT(SUMPRODUCT(--ISNUMBER(SEARCH({"棚板","棚","アングル","ｱﾝｸﾞﾙ","使用不可","ケーブル","ｹｰﾌﾞﾙ","PatchPnael","パッチ","引き出し","引出","ブランク","ﾌﾞﾗﾝｸ","マネージ","ﾏﾈｰｼﾞ","PDU","ONU"},$F165&amp;"")))&gt;0),NOT(SUMPRODUCT(--ISNUMBER(SEARCH({"電源オフ","未投入","停止","未使用","撤去"},$X165&amp;"")))&gt;0)),"／電力が未記入","")&amp;IF(AND(NOT(ISNUMBER(J165)),NOT(SUMPRODUCT(--ISNUMBER(SEARCH({"棚板","棚","アングル","ｱﾝｸﾞﾙ","使用不可","ケーブル","ｹｰﾌﾞﾙ","PatchPnael","パッチ","引き出し","引出","ブランク","ﾌﾞﾗﾝｸ","マネージ","ﾏﾈｰｼﾞ","PDU","ONU"},$F165&amp;"")))&gt;0)),"／重量が未記入","")&amp;IF(AND(K165&lt;&gt;"",NOT(ISNUMBER(K165))),"／電圧が数値でない","")&amp;IF(AND(N165&lt;&gt;"",NOT(ISNUMBER(N165))),"／電流が数値でない","")&amp;IF(AND(C165&lt;&gt;"",C165&lt;1),"／開始Uが1未満","")&amp;IF(AND(E165&lt;&gt;"",E165&gt;IFERROR(VLOOKUP(A165,ラック定義!$A:$B,2,FALSE),47)),"／総Uをはみ出す","")&amp;IF(AND(A165&lt;&gt;"",COUNTIF(ラック定義!$A:$A,A165)=0),"／ラックが定義にない","")&amp;IF(AND(SUMPRODUCT((機器台帳!$A$2:$A$400=$A165)*((機器台帳!$B$2:$B$400=$B165)+(機器台帳!$B$2:$B$400="両面")+($B165="両面")&gt;0)*(機器台帳!$C$2:$C$400&lt;=$C165+$D165-1)*(機器台帳!$C$2:$C$400+機器台帳!$D$2:$D$400-1&gt;=$C165)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165&amp;"")))&gt;0)),"／同じUに他の機器(横並びなら正常)","")&amp;IF(AND(M165&lt;&gt;"",COUNTIFS(回路定義!$A:$A,A165,回路定義!$B:$B,M165)=0),"／回路1が定義にない","")&amp;IF(AND(P165&lt;&gt;"",COUNTIFS(回路定義!$A:$A,A165,回路定義!$B:$B,P165)=0),"／回路2が定義にない","")&amp;IF(AND(S165&lt;&gt;"",COUNTIFS(回路定義!$A:$A,A165,回路定義!$B:$B,S165)=0),"／回路3が定義にない",""),2,300)))</f>
        <v/>
      </c>
    </row>
    <row r="166">
      <c r="A166" s="5" t="inlineStr">
        <is>
          <t>E24-S6-1</t>
        </is>
      </c>
      <c r="B166" s="5" t="inlineStr">
        <is>
          <t>背面</t>
        </is>
      </c>
      <c r="C166" s="5" t="n">
        <v>24</v>
      </c>
      <c r="D166" s="5" t="n">
        <v>1</v>
      </c>
      <c r="E166" s="6">
        <f>IF(C166="","",C166+D166-1)</f>
        <v/>
      </c>
      <c r="F166" s="5" t="inlineStr">
        <is>
          <t>DNA CENTER</t>
        </is>
      </c>
      <c r="G166" s="5" t="inlineStr">
        <is>
          <t>H1808620</t>
        </is>
      </c>
      <c r="H166" s="5" t="inlineStr"/>
      <c r="I166" s="5" t="inlineStr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inlineStr"/>
      <c r="W166" s="5" t="inlineStr"/>
      <c r="X166" s="5" t="inlineStr"/>
      <c r="Y166" s="6">
        <f>COUNT(N166,Q166,T166)</f>
        <v/>
      </c>
      <c r="Z166" s="6">
        <f>IF(OR(K166="",NOT(ISNUMBER(K166))),"",K166*SUM(N166,Q166,T166))</f>
        <v/>
      </c>
      <c r="AA166" s="6">
        <f>IF(OR(Y166=0,N166=""),"",N166/Y166)</f>
        <v/>
      </c>
      <c r="AB166" s="6">
        <f>IF(OR(Y166=0,Q166=""),"",Q166/Y166)</f>
        <v/>
      </c>
      <c r="AC166" s="6">
        <f>IF(OR(Y166=0,T166=""),"",T166/Y166)</f>
        <v/>
      </c>
      <c r="AD166" s="6">
        <f>IF(F166="","",IF((IF(AND(Y166=0,NOT(SUMPRODUCT(--ISNUMBER(SEARCH({"棚板","棚","アングル","ｱﾝｸﾞﾙ","使用不可","ケーブル","ｹｰﾌﾞﾙ","PatchPnael","パッチ","引き出し","引出","ブランク","ﾌﾞﾗﾝｸ","マネージ","ﾏﾈｰｼﾞ","PDU","ONU"},$F166&amp;"")))&gt;0),NOT(SUMPRODUCT(--ISNUMBER(SEARCH({"電源オフ","未投入","停止","未使用","撤去"},$X166&amp;"")))&gt;0)),"／電力が未記入","")&amp;IF(AND(NOT(ISNUMBER(J166)),NOT(SUMPRODUCT(--ISNUMBER(SEARCH({"棚板","棚","アングル","ｱﾝｸﾞﾙ","使用不可","ケーブル","ｹｰﾌﾞﾙ","PatchPnael","パッチ","引き出し","引出","ブランク","ﾌﾞﾗﾝｸ","マネージ","ﾏﾈｰｼﾞ","PDU","ONU"},$F166&amp;"")))&gt;0)),"／重量が未記入","")&amp;IF(AND(K166&lt;&gt;"",NOT(ISNUMBER(K166))),"／電圧が数値でない","")&amp;IF(AND(N166&lt;&gt;"",NOT(ISNUMBER(N166))),"／電流が数値でない","")&amp;IF(AND(C166&lt;&gt;"",C166&lt;1),"／開始Uが1未満","")&amp;IF(AND(E166&lt;&gt;"",E166&gt;IFERROR(VLOOKUP(A166,ラック定義!$A:$B,2,FALSE),47)),"／総Uをはみ出す","")&amp;IF(AND(A166&lt;&gt;"",COUNTIF(ラック定義!$A:$A,A166)=0),"／ラックが定義にない","")&amp;IF(AND(SUMPRODUCT((機器台帳!$A$2:$A$400=$A166)*((機器台帳!$B$2:$B$400=$B166)+(機器台帳!$B$2:$B$400="両面")+($B166="両面")&gt;0)*(機器台帳!$C$2:$C$400&lt;=$C166+$D166-1)*(機器台帳!$C$2:$C$400+機器台帳!$D$2:$D$400-1&gt;=$C166)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166&amp;"")))&gt;0)),"／同じUに他の機器(横並びなら正常)","")&amp;IF(AND(M166&lt;&gt;"",COUNTIFS(回路定義!$A:$A,A166,回路定義!$B:$B,M166)=0),"／回路1が定義にない","")&amp;IF(AND(P166&lt;&gt;"",COUNTIFS(回路定義!$A:$A,A166,回路定義!$B:$B,P166)=0),"／回路2が定義にない","")&amp;IF(AND(S166&lt;&gt;"",COUNTIFS(回路定義!$A:$A,A166,回路定義!$B:$B,S166)=0),"／回路3が定義にない",""))="","",MID(IF(AND(Y166=0,NOT(SUMPRODUCT(--ISNUMBER(SEARCH({"棚板","棚","アングル","ｱﾝｸﾞﾙ","使用不可","ケーブル","ｹｰﾌﾞﾙ","PatchPnael","パッチ","引き出し","引出","ブランク","ﾌﾞﾗﾝｸ","マネージ","ﾏﾈｰｼﾞ","PDU","ONU"},$F166&amp;"")))&gt;0),NOT(SUMPRODUCT(--ISNUMBER(SEARCH({"電源オフ","未投入","停止","未使用","撤去"},$X166&amp;"")))&gt;0)),"／電力が未記入","")&amp;IF(AND(NOT(ISNUMBER(J166)),NOT(SUMPRODUCT(--ISNUMBER(SEARCH({"棚板","棚","アングル","ｱﾝｸﾞﾙ","使用不可","ケーブル","ｹｰﾌﾞﾙ","PatchPnael","パッチ","引き出し","引出","ブランク","ﾌﾞﾗﾝｸ","マネージ","ﾏﾈｰｼﾞ","PDU","ONU"},$F166&amp;"")))&gt;0)),"／重量が未記入","")&amp;IF(AND(K166&lt;&gt;"",NOT(ISNUMBER(K166))),"／電圧が数値でない","")&amp;IF(AND(N166&lt;&gt;"",NOT(ISNUMBER(N166))),"／電流が数値でない","")&amp;IF(AND(C166&lt;&gt;"",C166&lt;1),"／開始Uが1未満","")&amp;IF(AND(E166&lt;&gt;"",E166&gt;IFERROR(VLOOKUP(A166,ラック定義!$A:$B,2,FALSE),47)),"／総Uをはみ出す","")&amp;IF(AND(A166&lt;&gt;"",COUNTIF(ラック定義!$A:$A,A166)=0),"／ラックが定義にない","")&amp;IF(AND(SUMPRODUCT((機器台帳!$A$2:$A$400=$A166)*((機器台帳!$B$2:$B$400=$B166)+(機器台帳!$B$2:$B$400="両面")+($B166="両面")&gt;0)*(機器台帳!$C$2:$C$400&lt;=$C166+$D166-1)*(機器台帳!$C$2:$C$400+機器台帳!$D$2:$D$400-1&gt;=$C166)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166&amp;"")))&gt;0)),"／同じUに他の機器(横並びなら正常)","")&amp;IF(AND(M166&lt;&gt;"",COUNTIFS(回路定義!$A:$A,A166,回路定義!$B:$B,M166)=0),"／回路1が定義にない","")&amp;IF(AND(P166&lt;&gt;"",COUNTIFS(回路定義!$A:$A,A166,回路定義!$B:$B,P166)=0),"／回路2が定義にない","")&amp;IF(AND(S166&lt;&gt;"",COUNTIFS(回路定義!$A:$A,A166,回路定義!$B:$B,S166)=0),"／回路3が定義にない",""),2,300)))</f>
        <v/>
      </c>
    </row>
    <row r="167">
      <c r="A167" s="5" t="inlineStr">
        <is>
          <t>E24-S6-1</t>
        </is>
      </c>
      <c r="B167" s="5" t="inlineStr">
        <is>
          <t>前面</t>
        </is>
      </c>
      <c r="C167" s="5" t="n">
        <v>5</v>
      </c>
      <c r="D167" s="5" t="n">
        <v>4</v>
      </c>
      <c r="E167" s="6">
        <f>IF(C167="","",C167+D167-1)</f>
        <v/>
      </c>
      <c r="F167" s="5" t="inlineStr">
        <is>
          <t>Precision 7960 Tower</t>
        </is>
      </c>
      <c r="G167" s="5" t="inlineStr">
        <is>
          <t>H2509430</t>
        </is>
      </c>
      <c r="H167" s="5" t="inlineStr"/>
      <c r="I167" s="5" t="inlineStr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inlineStr"/>
      <c r="W167" s="5" t="inlineStr"/>
      <c r="X167" s="5" t="inlineStr"/>
      <c r="Y167" s="6">
        <f>COUNT(N167,Q167,T167)</f>
        <v/>
      </c>
      <c r="Z167" s="6">
        <f>IF(OR(K167="",NOT(ISNUMBER(K167))),"",K167*SUM(N167,Q167,T167))</f>
        <v/>
      </c>
      <c r="AA167" s="6">
        <f>IF(OR(Y167=0,N167=""),"",N167/Y167)</f>
        <v/>
      </c>
      <c r="AB167" s="6">
        <f>IF(OR(Y167=0,Q167=""),"",Q167/Y167)</f>
        <v/>
      </c>
      <c r="AC167" s="6">
        <f>IF(OR(Y167=0,T167=""),"",T167/Y167)</f>
        <v/>
      </c>
      <c r="AD167" s="6">
        <f>IF(F167="","",IF((IF(AND(Y167=0,NOT(SUMPRODUCT(--ISNUMBER(SEARCH({"棚板","棚","アングル","ｱﾝｸﾞﾙ","使用不可","ケーブル","ｹｰﾌﾞﾙ","PatchPnael","パッチ","引き出し","引出","ブランク","ﾌﾞﾗﾝｸ","マネージ","ﾏﾈｰｼﾞ","PDU","ONU"},$F167&amp;"")))&gt;0),NOT(SUMPRODUCT(--ISNUMBER(SEARCH({"電源オフ","未投入","停止","未使用","撤去"},$X167&amp;"")))&gt;0)),"／電力が未記入","")&amp;IF(AND(NOT(ISNUMBER(J167)),NOT(SUMPRODUCT(--ISNUMBER(SEARCH({"棚板","棚","アングル","ｱﾝｸﾞﾙ","使用不可","ケーブル","ｹｰﾌﾞﾙ","PatchPnael","パッチ","引き出し","引出","ブランク","ﾌﾞﾗﾝｸ","マネージ","ﾏﾈｰｼﾞ","PDU","ONU"},$F167&amp;"")))&gt;0)),"／重量が未記入","")&amp;IF(AND(K167&lt;&gt;"",NOT(ISNUMBER(K167))),"／電圧が数値でない","")&amp;IF(AND(N167&lt;&gt;"",NOT(ISNUMBER(N167))),"／電流が数値でない","")&amp;IF(AND(C167&lt;&gt;"",C167&lt;1),"／開始Uが1未満","")&amp;IF(AND(E167&lt;&gt;"",E167&gt;IFERROR(VLOOKUP(A167,ラック定義!$A:$B,2,FALSE),47)),"／総Uをはみ出す","")&amp;IF(AND(A167&lt;&gt;"",COUNTIF(ラック定義!$A:$A,A167)=0),"／ラックが定義にない","")&amp;IF(AND(SUMPRODUCT((機器台帳!$A$2:$A$400=$A167)*((機器台帳!$B$2:$B$400=$B167)+(機器台帳!$B$2:$B$400="両面")+($B167="両面")&gt;0)*(機器台帳!$C$2:$C$400&lt;=$C167+$D167-1)*(機器台帳!$C$2:$C$400+機器台帳!$D$2:$D$400-1&gt;=$C167)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167&amp;"")))&gt;0)),"／同じUに他の機器(横並びなら正常)","")&amp;IF(AND(M167&lt;&gt;"",COUNTIFS(回路定義!$A:$A,A167,回路定義!$B:$B,M167)=0),"／回路1が定義にない","")&amp;IF(AND(P167&lt;&gt;"",COUNTIFS(回路定義!$A:$A,A167,回路定義!$B:$B,P167)=0),"／回路2が定義にない","")&amp;IF(AND(S167&lt;&gt;"",COUNTIFS(回路定義!$A:$A,A167,回路定義!$B:$B,S167)=0),"／回路3が定義にない",""))="","",MID(IF(AND(Y167=0,NOT(SUMPRODUCT(--ISNUMBER(SEARCH({"棚板","棚","アングル","ｱﾝｸﾞﾙ","使用不可","ケーブル","ｹｰﾌﾞﾙ","PatchPnael","パッチ","引き出し","引出","ブランク","ﾌﾞﾗﾝｸ","マネージ","ﾏﾈｰｼﾞ","PDU","ONU"},$F167&amp;"")))&gt;0),NOT(SUMPRODUCT(--ISNUMBER(SEARCH({"電源オフ","未投入","停止","未使用","撤去"},$X167&amp;"")))&gt;0)),"／電力が未記入","")&amp;IF(AND(NOT(ISNUMBER(J167)),NOT(SUMPRODUCT(--ISNUMBER(SEARCH({"棚板","棚","アングル","ｱﾝｸﾞﾙ","使用不可","ケーブル","ｹｰﾌﾞﾙ","PatchPnael","パッチ","引き出し","引出","ブランク","ﾌﾞﾗﾝｸ","マネージ","ﾏﾈｰｼﾞ","PDU","ONU"},$F167&amp;"")))&gt;0)),"／重量が未記入","")&amp;IF(AND(K167&lt;&gt;"",NOT(ISNUMBER(K167))),"／電圧が数値でない","")&amp;IF(AND(N167&lt;&gt;"",NOT(ISNUMBER(N167))),"／電流が数値でない","")&amp;IF(AND(C167&lt;&gt;"",C167&lt;1),"／開始Uが1未満","")&amp;IF(AND(E167&lt;&gt;"",E167&gt;IFERROR(VLOOKUP(A167,ラック定義!$A:$B,2,FALSE),47)),"／総Uをはみ出す","")&amp;IF(AND(A167&lt;&gt;"",COUNTIF(ラック定義!$A:$A,A167)=0),"／ラックが定義にない","")&amp;IF(AND(SUMPRODUCT((機器台帳!$A$2:$A$400=$A167)*((機器台帳!$B$2:$B$400=$B167)+(機器台帳!$B$2:$B$400="両面")+($B167="両面")&gt;0)*(機器台帳!$C$2:$C$400&lt;=$C167+$D167-1)*(機器台帳!$C$2:$C$400+機器台帳!$D$2:$D$400-1&gt;=$C167)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167&amp;"")))&gt;0)),"／同じUに他の機器(横並びなら正常)","")&amp;IF(AND(M167&lt;&gt;"",COUNTIFS(回路定義!$A:$A,A167,回路定義!$B:$B,M167)=0),"／回路1が定義にない","")&amp;IF(AND(P167&lt;&gt;"",COUNTIFS(回路定義!$A:$A,A167,回路定義!$B:$B,P167)=0),"／回路2が定義にない","")&amp;IF(AND(S167&lt;&gt;"",COUNTIFS(回路定義!$A:$A,A167,回路定義!$B:$B,S167)=0),"／回路3が定義にない",""),2,300)))</f>
        <v/>
      </c>
    </row>
    <row r="168">
      <c r="A168" s="5" t="n"/>
      <c r="B168" s="5" t="n"/>
      <c r="C168" s="5" t="n"/>
      <c r="D168" s="5" t="n"/>
      <c r="E168" s="6">
        <f>IF(C168="","",C168+D168-1)</f>
        <v/>
      </c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6">
        <f>COUNT(N168,Q168,T168)</f>
        <v/>
      </c>
      <c r="Z168" s="6">
        <f>IF(OR(K168="",NOT(ISNUMBER(K168))),"",K168*SUM(N168,Q168,T168))</f>
        <v/>
      </c>
      <c r="AA168" s="6">
        <f>IF(OR(Y168=0,N168=""),"",N168/Y168)</f>
        <v/>
      </c>
      <c r="AB168" s="6">
        <f>IF(OR(Y168=0,Q168=""),"",Q168/Y168)</f>
        <v/>
      </c>
      <c r="AC168" s="6">
        <f>IF(OR(Y168=0,T168=""),"",T168/Y168)</f>
        <v/>
      </c>
      <c r="AD168" s="6">
        <f>IF(F168="","",IF((IF(AND(Y168=0,NOT(SUMPRODUCT(--ISNUMBER(SEARCH({"棚板","棚","アングル","ｱﾝｸﾞﾙ","使用不可","ケーブル","ｹｰﾌﾞﾙ","PatchPnael","パッチ","引き出し","引出","ブランク","ﾌﾞﾗﾝｸ","マネージ","ﾏﾈｰｼﾞ","PDU","ONU"},$F168&amp;"")))&gt;0),NOT(SUMPRODUCT(--ISNUMBER(SEARCH({"電源オフ","未投入","停止","未使用","撤去"},$X168&amp;"")))&gt;0)),"／電力が未記入","")&amp;IF(AND(NOT(ISNUMBER(J168)),NOT(SUMPRODUCT(--ISNUMBER(SEARCH({"棚板","棚","アングル","ｱﾝｸﾞﾙ","使用不可","ケーブル","ｹｰﾌﾞﾙ","PatchPnael","パッチ","引き出し","引出","ブランク","ﾌﾞﾗﾝｸ","マネージ","ﾏﾈｰｼﾞ","PDU","ONU"},$F168&amp;"")))&gt;0)),"／重量が未記入","")&amp;IF(AND(K168&lt;&gt;"",NOT(ISNUMBER(K168))),"／電圧が数値でない","")&amp;IF(AND(N168&lt;&gt;"",NOT(ISNUMBER(N168))),"／電流が数値でない","")&amp;IF(AND(C168&lt;&gt;"",C168&lt;1),"／開始Uが1未満","")&amp;IF(AND(E168&lt;&gt;"",E168&gt;IFERROR(VLOOKUP(A168,ラック定義!$A:$B,2,FALSE),47)),"／総Uをはみ出す","")&amp;IF(AND(A168&lt;&gt;"",COUNTIF(ラック定義!$A:$A,A168)=0),"／ラックが定義にない","")&amp;IF(AND(SUMPRODUCT((機器台帳!$A$2:$A$400=$A168)*((機器台帳!$B$2:$B$400=$B168)+(機器台帳!$B$2:$B$400="両面")+($B168="両面")&gt;0)*(機器台帳!$C$2:$C$400&lt;=$C168+$D168-1)*(機器台帳!$C$2:$C$400+機器台帳!$D$2:$D$400-1&gt;=$C168)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168&amp;"")))&gt;0)),"／同じUに他の機器(横並びなら正常)","")&amp;IF(AND(M168&lt;&gt;"",COUNTIFS(回路定義!$A:$A,A168,回路定義!$B:$B,M168)=0),"／回路1が定義にない","")&amp;IF(AND(P168&lt;&gt;"",COUNTIFS(回路定義!$A:$A,A168,回路定義!$B:$B,P168)=0),"／回路2が定義にない","")&amp;IF(AND(S168&lt;&gt;"",COUNTIFS(回路定義!$A:$A,A168,回路定義!$B:$B,S168)=0),"／回路3が定義にない",""))="","",MID(IF(AND(Y168=0,NOT(SUMPRODUCT(--ISNUMBER(SEARCH({"棚板","棚","アングル","ｱﾝｸﾞﾙ","使用不可","ケーブル","ｹｰﾌﾞﾙ","PatchPnael","パッチ","引き出し","引出","ブランク","ﾌﾞﾗﾝｸ","マネージ","ﾏﾈｰｼﾞ","PDU","ONU"},$F168&amp;"")))&gt;0),NOT(SUMPRODUCT(--ISNUMBER(SEARCH({"電源オフ","未投入","停止","未使用","撤去"},$X168&amp;"")))&gt;0)),"／電力が未記入","")&amp;IF(AND(NOT(ISNUMBER(J168)),NOT(SUMPRODUCT(--ISNUMBER(SEARCH({"棚板","棚","アングル","ｱﾝｸﾞﾙ","使用不可","ケーブル","ｹｰﾌﾞﾙ","PatchPnael","パッチ","引き出し","引出","ブランク","ﾌﾞﾗﾝｸ","マネージ","ﾏﾈｰｼﾞ","PDU","ONU"},$F168&amp;"")))&gt;0)),"／重量が未記入","")&amp;IF(AND(K168&lt;&gt;"",NOT(ISNUMBER(K168))),"／電圧が数値でない","")&amp;IF(AND(N168&lt;&gt;"",NOT(ISNUMBER(N168))),"／電流が数値でない","")&amp;IF(AND(C168&lt;&gt;"",C168&lt;1),"／開始Uが1未満","")&amp;IF(AND(E168&lt;&gt;"",E168&gt;IFERROR(VLOOKUP(A168,ラック定義!$A:$B,2,FALSE),47)),"／総Uをはみ出す","")&amp;IF(AND(A168&lt;&gt;"",COUNTIF(ラック定義!$A:$A,A168)=0),"／ラックが定義にない","")&amp;IF(AND(SUMPRODUCT((機器台帳!$A$2:$A$400=$A168)*((機器台帳!$B$2:$B$400=$B168)+(機器台帳!$B$2:$B$400="両面")+($B168="両面")&gt;0)*(機器台帳!$C$2:$C$400&lt;=$C168+$D168-1)*(機器台帳!$C$2:$C$400+機器台帳!$D$2:$D$400-1&gt;=$C168)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168&amp;"")))&gt;0)),"／同じUに他の機器(横並びなら正常)","")&amp;IF(AND(M168&lt;&gt;"",COUNTIFS(回路定義!$A:$A,A168,回路定義!$B:$B,M168)=0),"／回路1が定義にない","")&amp;IF(AND(P168&lt;&gt;"",COUNTIFS(回路定義!$A:$A,A168,回路定義!$B:$B,P168)=0),"／回路2が定義にない","")&amp;IF(AND(S168&lt;&gt;"",COUNTIFS(回路定義!$A:$A,A168,回路定義!$B:$B,S168)=0),"／回路3が定義にない",""),2,300)))</f>
        <v/>
      </c>
    </row>
    <row r="169">
      <c r="A169" s="5" t="n"/>
      <c r="B169" s="5" t="n"/>
      <c r="C169" s="5" t="n"/>
      <c r="D169" s="5" t="n"/>
      <c r="E169" s="6">
        <f>IF(C169="","",C169+D169-1)</f>
        <v/>
      </c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6">
        <f>COUNT(N169,Q169,T169)</f>
        <v/>
      </c>
      <c r="Z169" s="6">
        <f>IF(OR(K169="",NOT(ISNUMBER(K169))),"",K169*SUM(N169,Q169,T169))</f>
        <v/>
      </c>
      <c r="AA169" s="6">
        <f>IF(OR(Y169=0,N169=""),"",N169/Y169)</f>
        <v/>
      </c>
      <c r="AB169" s="6">
        <f>IF(OR(Y169=0,Q169=""),"",Q169/Y169)</f>
        <v/>
      </c>
      <c r="AC169" s="6">
        <f>IF(OR(Y169=0,T169=""),"",T169/Y169)</f>
        <v/>
      </c>
      <c r="AD169" s="6">
        <f>IF(F169="","",IF((IF(AND(Y169=0,NOT(SUMPRODUCT(--ISNUMBER(SEARCH({"棚板","棚","アングル","ｱﾝｸﾞﾙ","使用不可","ケーブル","ｹｰﾌﾞﾙ","PatchPnael","パッチ","引き出し","引出","ブランク","ﾌﾞﾗﾝｸ","マネージ","ﾏﾈｰｼﾞ","PDU","ONU"},$F169&amp;"")))&gt;0),NOT(SUMPRODUCT(--ISNUMBER(SEARCH({"電源オフ","未投入","停止","未使用","撤去"},$X169&amp;"")))&gt;0)),"／電力が未記入","")&amp;IF(AND(NOT(ISNUMBER(J169)),NOT(SUMPRODUCT(--ISNUMBER(SEARCH({"棚板","棚","アングル","ｱﾝｸﾞﾙ","使用不可","ケーブル","ｹｰﾌﾞﾙ","PatchPnael","パッチ","引き出し","引出","ブランク","ﾌﾞﾗﾝｸ","マネージ","ﾏﾈｰｼﾞ","PDU","ONU"},$F169&amp;"")))&gt;0)),"／重量が未記入","")&amp;IF(AND(K169&lt;&gt;"",NOT(ISNUMBER(K169))),"／電圧が数値でない","")&amp;IF(AND(N169&lt;&gt;"",NOT(ISNUMBER(N169))),"／電流が数値でない","")&amp;IF(AND(C169&lt;&gt;"",C169&lt;1),"／開始Uが1未満","")&amp;IF(AND(E169&lt;&gt;"",E169&gt;IFERROR(VLOOKUP(A169,ラック定義!$A:$B,2,FALSE),47)),"／総Uをはみ出す","")&amp;IF(AND(A169&lt;&gt;"",COUNTIF(ラック定義!$A:$A,A169)=0),"／ラックが定義にない","")&amp;IF(AND(SUMPRODUCT((機器台帳!$A$2:$A$400=$A169)*((機器台帳!$B$2:$B$400=$B169)+(機器台帳!$B$2:$B$400="両面")+($B169="両面")&gt;0)*(機器台帳!$C$2:$C$400&lt;=$C169+$D169-1)*(機器台帳!$C$2:$C$400+機器台帳!$D$2:$D$400-1&gt;=$C169)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169&amp;"")))&gt;0)),"／同じUに他の機器(横並びなら正常)","")&amp;IF(AND(M169&lt;&gt;"",COUNTIFS(回路定義!$A:$A,A169,回路定義!$B:$B,M169)=0),"／回路1が定義にない","")&amp;IF(AND(P169&lt;&gt;"",COUNTIFS(回路定義!$A:$A,A169,回路定義!$B:$B,P169)=0),"／回路2が定義にない","")&amp;IF(AND(S169&lt;&gt;"",COUNTIFS(回路定義!$A:$A,A169,回路定義!$B:$B,S169)=0),"／回路3が定義にない",""))="","",MID(IF(AND(Y169=0,NOT(SUMPRODUCT(--ISNUMBER(SEARCH({"棚板","棚","アングル","ｱﾝｸﾞﾙ","使用不可","ケーブル","ｹｰﾌﾞﾙ","PatchPnael","パッチ","引き出し","引出","ブランク","ﾌﾞﾗﾝｸ","マネージ","ﾏﾈｰｼﾞ","PDU","ONU"},$F169&amp;"")))&gt;0),NOT(SUMPRODUCT(--ISNUMBER(SEARCH({"電源オフ","未投入","停止","未使用","撤去"},$X169&amp;"")))&gt;0)),"／電力が未記入","")&amp;IF(AND(NOT(ISNUMBER(J169)),NOT(SUMPRODUCT(--ISNUMBER(SEARCH({"棚板","棚","アングル","ｱﾝｸﾞﾙ","使用不可","ケーブル","ｹｰﾌﾞﾙ","PatchPnael","パッチ","引き出し","引出","ブランク","ﾌﾞﾗﾝｸ","マネージ","ﾏﾈｰｼﾞ","PDU","ONU"},$F169&amp;"")))&gt;0)),"／重量が未記入","")&amp;IF(AND(K169&lt;&gt;"",NOT(ISNUMBER(K169))),"／電圧が数値でない","")&amp;IF(AND(N169&lt;&gt;"",NOT(ISNUMBER(N169))),"／電流が数値でない","")&amp;IF(AND(C169&lt;&gt;"",C169&lt;1),"／開始Uが1未満","")&amp;IF(AND(E169&lt;&gt;"",E169&gt;IFERROR(VLOOKUP(A169,ラック定義!$A:$B,2,FALSE),47)),"／総Uをはみ出す","")&amp;IF(AND(A169&lt;&gt;"",COUNTIF(ラック定義!$A:$A,A169)=0),"／ラックが定義にない","")&amp;IF(AND(SUMPRODUCT((機器台帳!$A$2:$A$400=$A169)*((機器台帳!$B$2:$B$400=$B169)+(機器台帳!$B$2:$B$400="両面")+($B169="両面")&gt;0)*(機器台帳!$C$2:$C$400&lt;=$C169+$D169-1)*(機器台帳!$C$2:$C$400+機器台帳!$D$2:$D$400-1&gt;=$C169)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169&amp;"")))&gt;0)),"／同じUに他の機器(横並びなら正常)","")&amp;IF(AND(M169&lt;&gt;"",COUNTIFS(回路定義!$A:$A,A169,回路定義!$B:$B,M169)=0),"／回路1が定義にない","")&amp;IF(AND(P169&lt;&gt;"",COUNTIFS(回路定義!$A:$A,A169,回路定義!$B:$B,P169)=0),"／回路2が定義にない","")&amp;IF(AND(S169&lt;&gt;"",COUNTIFS(回路定義!$A:$A,A169,回路定義!$B:$B,S169)=0),"／回路3が定義にない",""),2,300)))</f>
        <v/>
      </c>
    </row>
    <row r="170">
      <c r="A170" s="5" t="n"/>
      <c r="B170" s="5" t="n"/>
      <c r="C170" s="5" t="n"/>
      <c r="D170" s="5" t="n"/>
      <c r="E170" s="6">
        <f>IF(C170="","",C170+D170-1)</f>
        <v/>
      </c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6">
        <f>COUNT(N170,Q170,T170)</f>
        <v/>
      </c>
      <c r="Z170" s="6">
        <f>IF(OR(K170="",NOT(ISNUMBER(K170))),"",K170*SUM(N170,Q170,T170))</f>
        <v/>
      </c>
      <c r="AA170" s="6">
        <f>IF(OR(Y170=0,N170=""),"",N170/Y170)</f>
        <v/>
      </c>
      <c r="AB170" s="6">
        <f>IF(OR(Y170=0,Q170=""),"",Q170/Y170)</f>
        <v/>
      </c>
      <c r="AC170" s="6">
        <f>IF(OR(Y170=0,T170=""),"",T170/Y170)</f>
        <v/>
      </c>
      <c r="AD170" s="6">
        <f>IF(F170="","",IF((IF(AND(Y170=0,NOT(SUMPRODUCT(--ISNUMBER(SEARCH({"棚板","棚","アングル","ｱﾝｸﾞﾙ","使用不可","ケーブル","ｹｰﾌﾞﾙ","PatchPnael","パッチ","引き出し","引出","ブランク","ﾌﾞﾗﾝｸ","マネージ","ﾏﾈｰｼﾞ","PDU","ONU"},$F170&amp;"")))&gt;0),NOT(SUMPRODUCT(--ISNUMBER(SEARCH({"電源オフ","未投入","停止","未使用","撤去"},$X170&amp;"")))&gt;0)),"／電力が未記入","")&amp;IF(AND(NOT(ISNUMBER(J170)),NOT(SUMPRODUCT(--ISNUMBER(SEARCH({"棚板","棚","アングル","ｱﾝｸﾞﾙ","使用不可","ケーブル","ｹｰﾌﾞﾙ","PatchPnael","パッチ","引き出し","引出","ブランク","ﾌﾞﾗﾝｸ","マネージ","ﾏﾈｰｼﾞ","PDU","ONU"},$F170&amp;"")))&gt;0)),"／重量が未記入","")&amp;IF(AND(K170&lt;&gt;"",NOT(ISNUMBER(K170))),"／電圧が数値でない","")&amp;IF(AND(N170&lt;&gt;"",NOT(ISNUMBER(N170))),"／電流が数値でない","")&amp;IF(AND(C170&lt;&gt;"",C170&lt;1),"／開始Uが1未満","")&amp;IF(AND(E170&lt;&gt;"",E170&gt;IFERROR(VLOOKUP(A170,ラック定義!$A:$B,2,FALSE),47)),"／総Uをはみ出す","")&amp;IF(AND(A170&lt;&gt;"",COUNTIF(ラック定義!$A:$A,A170)=0),"／ラックが定義にない","")&amp;IF(AND(SUMPRODUCT((機器台帳!$A$2:$A$400=$A170)*((機器台帳!$B$2:$B$400=$B170)+(機器台帳!$B$2:$B$400="両面")+($B170="両面")&gt;0)*(機器台帳!$C$2:$C$400&lt;=$C170+$D170-1)*(機器台帳!$C$2:$C$400+機器台帳!$D$2:$D$400-1&gt;=$C170)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170&amp;"")))&gt;0)),"／同じUに他の機器(横並びなら正常)","")&amp;IF(AND(M170&lt;&gt;"",COUNTIFS(回路定義!$A:$A,A170,回路定義!$B:$B,M170)=0),"／回路1が定義にない","")&amp;IF(AND(P170&lt;&gt;"",COUNTIFS(回路定義!$A:$A,A170,回路定義!$B:$B,P170)=0),"／回路2が定義にない","")&amp;IF(AND(S170&lt;&gt;"",COUNTIFS(回路定義!$A:$A,A170,回路定義!$B:$B,S170)=0),"／回路3が定義にない",""))="","",MID(IF(AND(Y170=0,NOT(SUMPRODUCT(--ISNUMBER(SEARCH({"棚板","棚","アングル","ｱﾝｸﾞﾙ","使用不可","ケーブル","ｹｰﾌﾞﾙ","PatchPnael","パッチ","引き出し","引出","ブランク","ﾌﾞﾗﾝｸ","マネージ","ﾏﾈｰｼﾞ","PDU","ONU"},$F170&amp;"")))&gt;0),NOT(SUMPRODUCT(--ISNUMBER(SEARCH({"電源オフ","未投入","停止","未使用","撤去"},$X170&amp;"")))&gt;0)),"／電力が未記入","")&amp;IF(AND(NOT(ISNUMBER(J170)),NOT(SUMPRODUCT(--ISNUMBER(SEARCH({"棚板","棚","アングル","ｱﾝｸﾞﾙ","使用不可","ケーブル","ｹｰﾌﾞﾙ","PatchPnael","パッチ","引き出し","引出","ブランク","ﾌﾞﾗﾝｸ","マネージ","ﾏﾈｰｼﾞ","PDU","ONU"},$F170&amp;"")))&gt;0)),"／重量が未記入","")&amp;IF(AND(K170&lt;&gt;"",NOT(ISNUMBER(K170))),"／電圧が数値でない","")&amp;IF(AND(N170&lt;&gt;"",NOT(ISNUMBER(N170))),"／電流が数値でない","")&amp;IF(AND(C170&lt;&gt;"",C170&lt;1),"／開始Uが1未満","")&amp;IF(AND(E170&lt;&gt;"",E170&gt;IFERROR(VLOOKUP(A170,ラック定義!$A:$B,2,FALSE),47)),"／総Uをはみ出す","")&amp;IF(AND(A170&lt;&gt;"",COUNTIF(ラック定義!$A:$A,A170)=0),"／ラックが定義にない","")&amp;IF(AND(SUMPRODUCT((機器台帳!$A$2:$A$400=$A170)*((機器台帳!$B$2:$B$400=$B170)+(機器台帳!$B$2:$B$400="両面")+($B170="両面")&gt;0)*(機器台帳!$C$2:$C$400&lt;=$C170+$D170-1)*(機器台帳!$C$2:$C$400+機器台帳!$D$2:$D$400-1&gt;=$C170)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170&amp;"")))&gt;0)),"／同じUに他の機器(横並びなら正常)","")&amp;IF(AND(M170&lt;&gt;"",COUNTIFS(回路定義!$A:$A,A170,回路定義!$B:$B,M170)=0),"／回路1が定義にない","")&amp;IF(AND(P170&lt;&gt;"",COUNTIFS(回路定義!$A:$A,A170,回路定義!$B:$B,P170)=0),"／回路2が定義にない","")&amp;IF(AND(S170&lt;&gt;"",COUNTIFS(回路定義!$A:$A,A170,回路定義!$B:$B,S170)=0),"／回路3が定義にない",""),2,300)))</f>
        <v/>
      </c>
    </row>
    <row r="171">
      <c r="A171" s="5" t="n"/>
      <c r="B171" s="5" t="n"/>
      <c r="C171" s="5" t="n"/>
      <c r="D171" s="5" t="n"/>
      <c r="E171" s="6">
        <f>IF(C171="","",C171+D171-1)</f>
        <v/>
      </c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6">
        <f>COUNT(N171,Q171,T171)</f>
        <v/>
      </c>
      <c r="Z171" s="6">
        <f>IF(OR(K171="",NOT(ISNUMBER(K171))),"",K171*SUM(N171,Q171,T171))</f>
        <v/>
      </c>
      <c r="AA171" s="6">
        <f>IF(OR(Y171=0,N171=""),"",N171/Y171)</f>
        <v/>
      </c>
      <c r="AB171" s="6">
        <f>IF(OR(Y171=0,Q171=""),"",Q171/Y171)</f>
        <v/>
      </c>
      <c r="AC171" s="6">
        <f>IF(OR(Y171=0,T171=""),"",T171/Y171)</f>
        <v/>
      </c>
      <c r="AD171" s="6">
        <f>IF(F171="","",IF((IF(AND(Y171=0,NOT(SUMPRODUCT(--ISNUMBER(SEARCH({"棚板","棚","アングル","ｱﾝｸﾞﾙ","使用不可","ケーブル","ｹｰﾌﾞﾙ","PatchPnael","パッチ","引き出し","引出","ブランク","ﾌﾞﾗﾝｸ","マネージ","ﾏﾈｰｼﾞ","PDU","ONU"},$F171&amp;"")))&gt;0),NOT(SUMPRODUCT(--ISNUMBER(SEARCH({"電源オフ","未投入","停止","未使用","撤去"},$X171&amp;"")))&gt;0)),"／電力が未記入","")&amp;IF(AND(NOT(ISNUMBER(J171)),NOT(SUMPRODUCT(--ISNUMBER(SEARCH({"棚板","棚","アングル","ｱﾝｸﾞﾙ","使用不可","ケーブル","ｹｰﾌﾞﾙ","PatchPnael","パッチ","引き出し","引出","ブランク","ﾌﾞﾗﾝｸ","マネージ","ﾏﾈｰｼﾞ","PDU","ONU"},$F171&amp;"")))&gt;0)),"／重量が未記入","")&amp;IF(AND(K171&lt;&gt;"",NOT(ISNUMBER(K171))),"／電圧が数値でない","")&amp;IF(AND(N171&lt;&gt;"",NOT(ISNUMBER(N171))),"／電流が数値でない","")&amp;IF(AND(C171&lt;&gt;"",C171&lt;1),"／開始Uが1未満","")&amp;IF(AND(E171&lt;&gt;"",E171&gt;IFERROR(VLOOKUP(A171,ラック定義!$A:$B,2,FALSE),47)),"／総Uをはみ出す","")&amp;IF(AND(A171&lt;&gt;"",COUNTIF(ラック定義!$A:$A,A171)=0),"／ラックが定義にない","")&amp;IF(AND(SUMPRODUCT((機器台帳!$A$2:$A$400=$A171)*((機器台帳!$B$2:$B$400=$B171)+(機器台帳!$B$2:$B$400="両面")+($B171="両面")&gt;0)*(機器台帳!$C$2:$C$400&lt;=$C171+$D171-1)*(機器台帳!$C$2:$C$400+機器台帳!$D$2:$D$400-1&gt;=$C171)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171&amp;"")))&gt;0)),"／同じUに他の機器(横並びなら正常)","")&amp;IF(AND(M171&lt;&gt;"",COUNTIFS(回路定義!$A:$A,A171,回路定義!$B:$B,M171)=0),"／回路1が定義にない","")&amp;IF(AND(P171&lt;&gt;"",COUNTIFS(回路定義!$A:$A,A171,回路定義!$B:$B,P171)=0),"／回路2が定義にない","")&amp;IF(AND(S171&lt;&gt;"",COUNTIFS(回路定義!$A:$A,A171,回路定義!$B:$B,S171)=0),"／回路3が定義にない",""))="","",MID(IF(AND(Y171=0,NOT(SUMPRODUCT(--ISNUMBER(SEARCH({"棚板","棚","アングル","ｱﾝｸﾞﾙ","使用不可","ケーブル","ｹｰﾌﾞﾙ","PatchPnael","パッチ","引き出し","引出","ブランク","ﾌﾞﾗﾝｸ","マネージ","ﾏﾈｰｼﾞ","PDU","ONU"},$F171&amp;"")))&gt;0),NOT(SUMPRODUCT(--ISNUMBER(SEARCH({"電源オフ","未投入","停止","未使用","撤去"},$X171&amp;"")))&gt;0)),"／電力が未記入","")&amp;IF(AND(NOT(ISNUMBER(J171)),NOT(SUMPRODUCT(--ISNUMBER(SEARCH({"棚板","棚","アングル","ｱﾝｸﾞﾙ","使用不可","ケーブル","ｹｰﾌﾞﾙ","PatchPnael","パッチ","引き出し","引出","ブランク","ﾌﾞﾗﾝｸ","マネージ","ﾏﾈｰｼﾞ","PDU","ONU"},$F171&amp;"")))&gt;0)),"／重量が未記入","")&amp;IF(AND(K171&lt;&gt;"",NOT(ISNUMBER(K171))),"／電圧が数値でない","")&amp;IF(AND(N171&lt;&gt;"",NOT(ISNUMBER(N171))),"／電流が数値でない","")&amp;IF(AND(C171&lt;&gt;"",C171&lt;1),"／開始Uが1未満","")&amp;IF(AND(E171&lt;&gt;"",E171&gt;IFERROR(VLOOKUP(A171,ラック定義!$A:$B,2,FALSE),47)),"／総Uをはみ出す","")&amp;IF(AND(A171&lt;&gt;"",COUNTIF(ラック定義!$A:$A,A171)=0),"／ラックが定義にない","")&amp;IF(AND(SUMPRODUCT((機器台帳!$A$2:$A$400=$A171)*((機器台帳!$B$2:$B$400=$B171)+(機器台帳!$B$2:$B$400="両面")+($B171="両面")&gt;0)*(機器台帳!$C$2:$C$400&lt;=$C171+$D171-1)*(機器台帳!$C$2:$C$400+機器台帳!$D$2:$D$400-1&gt;=$C171)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171&amp;"")))&gt;0)),"／同じUに他の機器(横並びなら正常)","")&amp;IF(AND(M171&lt;&gt;"",COUNTIFS(回路定義!$A:$A,A171,回路定義!$B:$B,M171)=0),"／回路1が定義にない","")&amp;IF(AND(P171&lt;&gt;"",COUNTIFS(回路定義!$A:$A,A171,回路定義!$B:$B,P171)=0),"／回路2が定義にない","")&amp;IF(AND(S171&lt;&gt;"",COUNTIFS(回路定義!$A:$A,A171,回路定義!$B:$B,S171)=0),"／回路3が定義にない",""),2,300)))</f>
        <v/>
      </c>
    </row>
    <row r="172">
      <c r="A172" s="5" t="n"/>
      <c r="B172" s="5" t="n"/>
      <c r="C172" s="5" t="n"/>
      <c r="D172" s="5" t="n"/>
      <c r="E172" s="6">
        <f>IF(C172="","",C172+D172-1)</f>
        <v/>
      </c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6">
        <f>COUNT(N172,Q172,T172)</f>
        <v/>
      </c>
      <c r="Z172" s="6">
        <f>IF(OR(K172="",NOT(ISNUMBER(K172))),"",K172*SUM(N172,Q172,T172))</f>
        <v/>
      </c>
      <c r="AA172" s="6">
        <f>IF(OR(Y172=0,N172=""),"",N172/Y172)</f>
        <v/>
      </c>
      <c r="AB172" s="6">
        <f>IF(OR(Y172=0,Q172=""),"",Q172/Y172)</f>
        <v/>
      </c>
      <c r="AC172" s="6">
        <f>IF(OR(Y172=0,T172=""),"",T172/Y172)</f>
        <v/>
      </c>
      <c r="AD172" s="6">
        <f>IF(F172="","",IF((IF(AND(Y172=0,NOT(SUMPRODUCT(--ISNUMBER(SEARCH({"棚板","棚","アングル","ｱﾝｸﾞﾙ","使用不可","ケーブル","ｹｰﾌﾞﾙ","PatchPnael","パッチ","引き出し","引出","ブランク","ﾌﾞﾗﾝｸ","マネージ","ﾏﾈｰｼﾞ","PDU","ONU"},$F172&amp;"")))&gt;0),NOT(SUMPRODUCT(--ISNUMBER(SEARCH({"電源オフ","未投入","停止","未使用","撤去"},$X172&amp;"")))&gt;0)),"／電力が未記入","")&amp;IF(AND(NOT(ISNUMBER(J172)),NOT(SUMPRODUCT(--ISNUMBER(SEARCH({"棚板","棚","アングル","ｱﾝｸﾞﾙ","使用不可","ケーブル","ｹｰﾌﾞﾙ","PatchPnael","パッチ","引き出し","引出","ブランク","ﾌﾞﾗﾝｸ","マネージ","ﾏﾈｰｼﾞ","PDU","ONU"},$F172&amp;"")))&gt;0)),"／重量が未記入","")&amp;IF(AND(K172&lt;&gt;"",NOT(ISNUMBER(K172))),"／電圧が数値でない","")&amp;IF(AND(N172&lt;&gt;"",NOT(ISNUMBER(N172))),"／電流が数値でない","")&amp;IF(AND(C172&lt;&gt;"",C172&lt;1),"／開始Uが1未満","")&amp;IF(AND(E172&lt;&gt;"",E172&gt;IFERROR(VLOOKUP(A172,ラック定義!$A:$B,2,FALSE),47)),"／総Uをはみ出す","")&amp;IF(AND(A172&lt;&gt;"",COUNTIF(ラック定義!$A:$A,A172)=0),"／ラックが定義にない","")&amp;IF(AND(SUMPRODUCT((機器台帳!$A$2:$A$400=$A172)*((機器台帳!$B$2:$B$400=$B172)+(機器台帳!$B$2:$B$400="両面")+($B172="両面")&gt;0)*(機器台帳!$C$2:$C$400&lt;=$C172+$D172-1)*(機器台帳!$C$2:$C$400+機器台帳!$D$2:$D$400-1&gt;=$C172)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172&amp;"")))&gt;0)),"／同じUに他の機器(横並びなら正常)","")&amp;IF(AND(M172&lt;&gt;"",COUNTIFS(回路定義!$A:$A,A172,回路定義!$B:$B,M172)=0),"／回路1が定義にない","")&amp;IF(AND(P172&lt;&gt;"",COUNTIFS(回路定義!$A:$A,A172,回路定義!$B:$B,P172)=0),"／回路2が定義にない","")&amp;IF(AND(S172&lt;&gt;"",COUNTIFS(回路定義!$A:$A,A172,回路定義!$B:$B,S172)=0),"／回路3が定義にない",""))="","",MID(IF(AND(Y172=0,NOT(SUMPRODUCT(--ISNUMBER(SEARCH({"棚板","棚","アングル","ｱﾝｸﾞﾙ","使用不可","ケーブル","ｹｰﾌﾞﾙ","PatchPnael","パッチ","引き出し","引出","ブランク","ﾌﾞﾗﾝｸ","マネージ","ﾏﾈｰｼﾞ","PDU","ONU"},$F172&amp;"")))&gt;0),NOT(SUMPRODUCT(--ISNUMBER(SEARCH({"電源オフ","未投入","停止","未使用","撤去"},$X172&amp;"")))&gt;0)),"／電力が未記入","")&amp;IF(AND(NOT(ISNUMBER(J172)),NOT(SUMPRODUCT(--ISNUMBER(SEARCH({"棚板","棚","アングル","ｱﾝｸﾞﾙ","使用不可","ケーブル","ｹｰﾌﾞﾙ","PatchPnael","パッチ","引き出し","引出","ブランク","ﾌﾞﾗﾝｸ","マネージ","ﾏﾈｰｼﾞ","PDU","ONU"},$F172&amp;"")))&gt;0)),"／重量が未記入","")&amp;IF(AND(K172&lt;&gt;"",NOT(ISNUMBER(K172))),"／電圧が数値でない","")&amp;IF(AND(N172&lt;&gt;"",NOT(ISNUMBER(N172))),"／電流が数値でない","")&amp;IF(AND(C172&lt;&gt;"",C172&lt;1),"／開始Uが1未満","")&amp;IF(AND(E172&lt;&gt;"",E172&gt;IFERROR(VLOOKUP(A172,ラック定義!$A:$B,2,FALSE),47)),"／総Uをはみ出す","")&amp;IF(AND(A172&lt;&gt;"",COUNTIF(ラック定義!$A:$A,A172)=0),"／ラックが定義にない","")&amp;IF(AND(SUMPRODUCT((機器台帳!$A$2:$A$400=$A172)*((機器台帳!$B$2:$B$400=$B172)+(機器台帳!$B$2:$B$400="両面")+($B172="両面")&gt;0)*(機器台帳!$C$2:$C$400&lt;=$C172+$D172-1)*(機器台帳!$C$2:$C$400+機器台帳!$D$2:$D$400-1&gt;=$C172)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172&amp;"")))&gt;0)),"／同じUに他の機器(横並びなら正常)","")&amp;IF(AND(M172&lt;&gt;"",COUNTIFS(回路定義!$A:$A,A172,回路定義!$B:$B,M172)=0),"／回路1が定義にない","")&amp;IF(AND(P172&lt;&gt;"",COUNTIFS(回路定義!$A:$A,A172,回路定義!$B:$B,P172)=0),"／回路2が定義にない","")&amp;IF(AND(S172&lt;&gt;"",COUNTIFS(回路定義!$A:$A,A172,回路定義!$B:$B,S172)=0),"／回路3が定義にない",""),2,300)))</f>
        <v/>
      </c>
    </row>
    <row r="173">
      <c r="A173" s="5" t="n"/>
      <c r="B173" s="5" t="n"/>
      <c r="C173" s="5" t="n"/>
      <c r="D173" s="5" t="n"/>
      <c r="E173" s="6">
        <f>IF(C173="","",C173+D173-1)</f>
        <v/>
      </c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6">
        <f>COUNT(N173,Q173,T173)</f>
        <v/>
      </c>
      <c r="Z173" s="6">
        <f>IF(OR(K173="",NOT(ISNUMBER(K173))),"",K173*SUM(N173,Q173,T173))</f>
        <v/>
      </c>
      <c r="AA173" s="6">
        <f>IF(OR(Y173=0,N173=""),"",N173/Y173)</f>
        <v/>
      </c>
      <c r="AB173" s="6">
        <f>IF(OR(Y173=0,Q173=""),"",Q173/Y173)</f>
        <v/>
      </c>
      <c r="AC173" s="6">
        <f>IF(OR(Y173=0,T173=""),"",T173/Y173)</f>
        <v/>
      </c>
      <c r="AD173" s="6">
        <f>IF(F173="","",IF((IF(AND(Y173=0,NOT(SUMPRODUCT(--ISNUMBER(SEARCH({"棚板","棚","アングル","ｱﾝｸﾞﾙ","使用不可","ケーブル","ｹｰﾌﾞﾙ","PatchPnael","パッチ","引き出し","引出","ブランク","ﾌﾞﾗﾝｸ","マネージ","ﾏﾈｰｼﾞ","PDU","ONU"},$F173&amp;"")))&gt;0),NOT(SUMPRODUCT(--ISNUMBER(SEARCH({"電源オフ","未投入","停止","未使用","撤去"},$X173&amp;"")))&gt;0)),"／電力が未記入","")&amp;IF(AND(NOT(ISNUMBER(J173)),NOT(SUMPRODUCT(--ISNUMBER(SEARCH({"棚板","棚","アングル","ｱﾝｸﾞﾙ","使用不可","ケーブル","ｹｰﾌﾞﾙ","PatchPnael","パッチ","引き出し","引出","ブランク","ﾌﾞﾗﾝｸ","マネージ","ﾏﾈｰｼﾞ","PDU","ONU"},$F173&amp;"")))&gt;0)),"／重量が未記入","")&amp;IF(AND(K173&lt;&gt;"",NOT(ISNUMBER(K173))),"／電圧が数値でない","")&amp;IF(AND(N173&lt;&gt;"",NOT(ISNUMBER(N173))),"／電流が数値でない","")&amp;IF(AND(C173&lt;&gt;"",C173&lt;1),"／開始Uが1未満","")&amp;IF(AND(E173&lt;&gt;"",E173&gt;IFERROR(VLOOKUP(A173,ラック定義!$A:$B,2,FALSE),47)),"／総Uをはみ出す","")&amp;IF(AND(A173&lt;&gt;"",COUNTIF(ラック定義!$A:$A,A173)=0),"／ラックが定義にない","")&amp;IF(AND(SUMPRODUCT((機器台帳!$A$2:$A$400=$A173)*((機器台帳!$B$2:$B$400=$B173)+(機器台帳!$B$2:$B$400="両面")+($B173="両面")&gt;0)*(機器台帳!$C$2:$C$400&lt;=$C173+$D173-1)*(機器台帳!$C$2:$C$400+機器台帳!$D$2:$D$400-1&gt;=$C173)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173&amp;"")))&gt;0)),"／同じUに他の機器(横並びなら正常)","")&amp;IF(AND(M173&lt;&gt;"",COUNTIFS(回路定義!$A:$A,A173,回路定義!$B:$B,M173)=0),"／回路1が定義にない","")&amp;IF(AND(P173&lt;&gt;"",COUNTIFS(回路定義!$A:$A,A173,回路定義!$B:$B,P173)=0),"／回路2が定義にない","")&amp;IF(AND(S173&lt;&gt;"",COUNTIFS(回路定義!$A:$A,A173,回路定義!$B:$B,S173)=0),"／回路3が定義にない",""))="","",MID(IF(AND(Y173=0,NOT(SUMPRODUCT(--ISNUMBER(SEARCH({"棚板","棚","アングル","ｱﾝｸﾞﾙ","使用不可","ケーブル","ｹｰﾌﾞﾙ","PatchPnael","パッチ","引き出し","引出","ブランク","ﾌﾞﾗﾝｸ","マネージ","ﾏﾈｰｼﾞ","PDU","ONU"},$F173&amp;"")))&gt;0),NOT(SUMPRODUCT(--ISNUMBER(SEARCH({"電源オフ","未投入","停止","未使用","撤去"},$X173&amp;"")))&gt;0)),"／電力が未記入","")&amp;IF(AND(NOT(ISNUMBER(J173)),NOT(SUMPRODUCT(--ISNUMBER(SEARCH({"棚板","棚","アングル","ｱﾝｸﾞﾙ","使用不可","ケーブル","ｹｰﾌﾞﾙ","PatchPnael","パッチ","引き出し","引出","ブランク","ﾌﾞﾗﾝｸ","マネージ","ﾏﾈｰｼﾞ","PDU","ONU"},$F173&amp;"")))&gt;0)),"／重量が未記入","")&amp;IF(AND(K173&lt;&gt;"",NOT(ISNUMBER(K173))),"／電圧が数値でない","")&amp;IF(AND(N173&lt;&gt;"",NOT(ISNUMBER(N173))),"／電流が数値でない","")&amp;IF(AND(C173&lt;&gt;"",C173&lt;1),"／開始Uが1未満","")&amp;IF(AND(E173&lt;&gt;"",E173&gt;IFERROR(VLOOKUP(A173,ラック定義!$A:$B,2,FALSE),47)),"／総Uをはみ出す","")&amp;IF(AND(A173&lt;&gt;"",COUNTIF(ラック定義!$A:$A,A173)=0),"／ラックが定義にない","")&amp;IF(AND(SUMPRODUCT((機器台帳!$A$2:$A$400=$A173)*((機器台帳!$B$2:$B$400=$B173)+(機器台帳!$B$2:$B$400="両面")+($B173="両面")&gt;0)*(機器台帳!$C$2:$C$400&lt;=$C173+$D173-1)*(機器台帳!$C$2:$C$400+機器台帳!$D$2:$D$400-1&gt;=$C173)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173&amp;"")))&gt;0)),"／同じUに他の機器(横並びなら正常)","")&amp;IF(AND(M173&lt;&gt;"",COUNTIFS(回路定義!$A:$A,A173,回路定義!$B:$B,M173)=0),"／回路1が定義にない","")&amp;IF(AND(P173&lt;&gt;"",COUNTIFS(回路定義!$A:$A,A173,回路定義!$B:$B,P173)=0),"／回路2が定義にない","")&amp;IF(AND(S173&lt;&gt;"",COUNTIFS(回路定義!$A:$A,A173,回路定義!$B:$B,S173)=0),"／回路3が定義にない",""),2,300)))</f>
        <v/>
      </c>
    </row>
    <row r="174">
      <c r="A174" s="5" t="n"/>
      <c r="B174" s="5" t="n"/>
      <c r="C174" s="5" t="n"/>
      <c r="D174" s="5" t="n"/>
      <c r="E174" s="6">
        <f>IF(C174="","",C174+D174-1)</f>
        <v/>
      </c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6">
        <f>COUNT(N174,Q174,T174)</f>
        <v/>
      </c>
      <c r="Z174" s="6">
        <f>IF(OR(K174="",NOT(ISNUMBER(K174))),"",K174*SUM(N174,Q174,T174))</f>
        <v/>
      </c>
      <c r="AA174" s="6">
        <f>IF(OR(Y174=0,N174=""),"",N174/Y174)</f>
        <v/>
      </c>
      <c r="AB174" s="6">
        <f>IF(OR(Y174=0,Q174=""),"",Q174/Y174)</f>
        <v/>
      </c>
      <c r="AC174" s="6">
        <f>IF(OR(Y174=0,T174=""),"",T174/Y174)</f>
        <v/>
      </c>
      <c r="AD174" s="6">
        <f>IF(F174="","",IF((IF(AND(Y174=0,NOT(SUMPRODUCT(--ISNUMBER(SEARCH({"棚板","棚","アングル","ｱﾝｸﾞﾙ","使用不可","ケーブル","ｹｰﾌﾞﾙ","PatchPnael","パッチ","引き出し","引出","ブランク","ﾌﾞﾗﾝｸ","マネージ","ﾏﾈｰｼﾞ","PDU","ONU"},$F174&amp;"")))&gt;0),NOT(SUMPRODUCT(--ISNUMBER(SEARCH({"電源オフ","未投入","停止","未使用","撤去"},$X174&amp;"")))&gt;0)),"／電力が未記入","")&amp;IF(AND(NOT(ISNUMBER(J174)),NOT(SUMPRODUCT(--ISNUMBER(SEARCH({"棚板","棚","アングル","ｱﾝｸﾞﾙ","使用不可","ケーブル","ｹｰﾌﾞﾙ","PatchPnael","パッチ","引き出し","引出","ブランク","ﾌﾞﾗﾝｸ","マネージ","ﾏﾈｰｼﾞ","PDU","ONU"},$F174&amp;"")))&gt;0)),"／重量が未記入","")&amp;IF(AND(K174&lt;&gt;"",NOT(ISNUMBER(K174))),"／電圧が数値でない","")&amp;IF(AND(N174&lt;&gt;"",NOT(ISNUMBER(N174))),"／電流が数値でない","")&amp;IF(AND(C174&lt;&gt;"",C174&lt;1),"／開始Uが1未満","")&amp;IF(AND(E174&lt;&gt;"",E174&gt;IFERROR(VLOOKUP(A174,ラック定義!$A:$B,2,FALSE),47)),"／総Uをはみ出す","")&amp;IF(AND(A174&lt;&gt;"",COUNTIF(ラック定義!$A:$A,A174)=0),"／ラックが定義にない","")&amp;IF(AND(SUMPRODUCT((機器台帳!$A$2:$A$400=$A174)*((機器台帳!$B$2:$B$400=$B174)+(機器台帳!$B$2:$B$400="両面")+($B174="両面")&gt;0)*(機器台帳!$C$2:$C$400&lt;=$C174+$D174-1)*(機器台帳!$C$2:$C$400+機器台帳!$D$2:$D$400-1&gt;=$C174)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174&amp;"")))&gt;0)),"／同じUに他の機器(横並びなら正常)","")&amp;IF(AND(M174&lt;&gt;"",COUNTIFS(回路定義!$A:$A,A174,回路定義!$B:$B,M174)=0),"／回路1が定義にない","")&amp;IF(AND(P174&lt;&gt;"",COUNTIFS(回路定義!$A:$A,A174,回路定義!$B:$B,P174)=0),"／回路2が定義にない","")&amp;IF(AND(S174&lt;&gt;"",COUNTIFS(回路定義!$A:$A,A174,回路定義!$B:$B,S174)=0),"／回路3が定義にない",""))="","",MID(IF(AND(Y174=0,NOT(SUMPRODUCT(--ISNUMBER(SEARCH({"棚板","棚","アングル","ｱﾝｸﾞﾙ","使用不可","ケーブル","ｹｰﾌﾞﾙ","PatchPnael","パッチ","引き出し","引出","ブランク","ﾌﾞﾗﾝｸ","マネージ","ﾏﾈｰｼﾞ","PDU","ONU"},$F174&amp;"")))&gt;0),NOT(SUMPRODUCT(--ISNUMBER(SEARCH({"電源オフ","未投入","停止","未使用","撤去"},$X174&amp;"")))&gt;0)),"／電力が未記入","")&amp;IF(AND(NOT(ISNUMBER(J174)),NOT(SUMPRODUCT(--ISNUMBER(SEARCH({"棚板","棚","アングル","ｱﾝｸﾞﾙ","使用不可","ケーブル","ｹｰﾌﾞﾙ","PatchPnael","パッチ","引き出し","引出","ブランク","ﾌﾞﾗﾝｸ","マネージ","ﾏﾈｰｼﾞ","PDU","ONU"},$F174&amp;"")))&gt;0)),"／重量が未記入","")&amp;IF(AND(K174&lt;&gt;"",NOT(ISNUMBER(K174))),"／電圧が数値でない","")&amp;IF(AND(N174&lt;&gt;"",NOT(ISNUMBER(N174))),"／電流が数値でない","")&amp;IF(AND(C174&lt;&gt;"",C174&lt;1),"／開始Uが1未満","")&amp;IF(AND(E174&lt;&gt;"",E174&gt;IFERROR(VLOOKUP(A174,ラック定義!$A:$B,2,FALSE),47)),"／総Uをはみ出す","")&amp;IF(AND(A174&lt;&gt;"",COUNTIF(ラック定義!$A:$A,A174)=0),"／ラックが定義にない","")&amp;IF(AND(SUMPRODUCT((機器台帳!$A$2:$A$400=$A174)*((機器台帳!$B$2:$B$400=$B174)+(機器台帳!$B$2:$B$400="両面")+($B174="両面")&gt;0)*(機器台帳!$C$2:$C$400&lt;=$C174+$D174-1)*(機器台帳!$C$2:$C$400+機器台帳!$D$2:$D$400-1&gt;=$C174)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174&amp;"")))&gt;0)),"／同じUに他の機器(横並びなら正常)","")&amp;IF(AND(M174&lt;&gt;"",COUNTIFS(回路定義!$A:$A,A174,回路定義!$B:$B,M174)=0),"／回路1が定義にない","")&amp;IF(AND(P174&lt;&gt;"",COUNTIFS(回路定義!$A:$A,A174,回路定義!$B:$B,P174)=0),"／回路2が定義にない","")&amp;IF(AND(S174&lt;&gt;"",COUNTIFS(回路定義!$A:$A,A174,回路定義!$B:$B,S174)=0),"／回路3が定義にない",""),2,300)))</f>
        <v/>
      </c>
    </row>
    <row r="175">
      <c r="A175" s="5" t="n"/>
      <c r="B175" s="5" t="n"/>
      <c r="C175" s="5" t="n"/>
      <c r="D175" s="5" t="n"/>
      <c r="E175" s="6">
        <f>IF(C175="","",C175+D175-1)</f>
        <v/>
      </c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6">
        <f>COUNT(N175,Q175,T175)</f>
        <v/>
      </c>
      <c r="Z175" s="6">
        <f>IF(OR(K175="",NOT(ISNUMBER(K175))),"",K175*SUM(N175,Q175,T175))</f>
        <v/>
      </c>
      <c r="AA175" s="6">
        <f>IF(OR(Y175=0,N175=""),"",N175/Y175)</f>
        <v/>
      </c>
      <c r="AB175" s="6">
        <f>IF(OR(Y175=0,Q175=""),"",Q175/Y175)</f>
        <v/>
      </c>
      <c r="AC175" s="6">
        <f>IF(OR(Y175=0,T175=""),"",T175/Y175)</f>
        <v/>
      </c>
      <c r="AD175" s="6">
        <f>IF(F175="","",IF((IF(AND(Y175=0,NOT(SUMPRODUCT(--ISNUMBER(SEARCH({"棚板","棚","アングル","ｱﾝｸﾞﾙ","使用不可","ケーブル","ｹｰﾌﾞﾙ","PatchPnael","パッチ","引き出し","引出","ブランク","ﾌﾞﾗﾝｸ","マネージ","ﾏﾈｰｼﾞ","PDU","ONU"},$F175&amp;"")))&gt;0),NOT(SUMPRODUCT(--ISNUMBER(SEARCH({"電源オフ","未投入","停止","未使用","撤去"},$X175&amp;"")))&gt;0)),"／電力が未記入","")&amp;IF(AND(NOT(ISNUMBER(J175)),NOT(SUMPRODUCT(--ISNUMBER(SEARCH({"棚板","棚","アングル","ｱﾝｸﾞﾙ","使用不可","ケーブル","ｹｰﾌﾞﾙ","PatchPnael","パッチ","引き出し","引出","ブランク","ﾌﾞﾗﾝｸ","マネージ","ﾏﾈｰｼﾞ","PDU","ONU"},$F175&amp;"")))&gt;0)),"／重量が未記入","")&amp;IF(AND(K175&lt;&gt;"",NOT(ISNUMBER(K175))),"／電圧が数値でない","")&amp;IF(AND(N175&lt;&gt;"",NOT(ISNUMBER(N175))),"／電流が数値でない","")&amp;IF(AND(C175&lt;&gt;"",C175&lt;1),"／開始Uが1未満","")&amp;IF(AND(E175&lt;&gt;"",E175&gt;IFERROR(VLOOKUP(A175,ラック定義!$A:$B,2,FALSE),47)),"／総Uをはみ出す","")&amp;IF(AND(A175&lt;&gt;"",COUNTIF(ラック定義!$A:$A,A175)=0),"／ラックが定義にない","")&amp;IF(AND(SUMPRODUCT((機器台帳!$A$2:$A$400=$A175)*((機器台帳!$B$2:$B$400=$B175)+(機器台帳!$B$2:$B$400="両面")+($B175="両面")&gt;0)*(機器台帳!$C$2:$C$400&lt;=$C175+$D175-1)*(機器台帳!$C$2:$C$400+機器台帳!$D$2:$D$400-1&gt;=$C175)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175&amp;"")))&gt;0)),"／同じUに他の機器(横並びなら正常)","")&amp;IF(AND(M175&lt;&gt;"",COUNTIFS(回路定義!$A:$A,A175,回路定義!$B:$B,M175)=0),"／回路1が定義にない","")&amp;IF(AND(P175&lt;&gt;"",COUNTIFS(回路定義!$A:$A,A175,回路定義!$B:$B,P175)=0),"／回路2が定義にない","")&amp;IF(AND(S175&lt;&gt;"",COUNTIFS(回路定義!$A:$A,A175,回路定義!$B:$B,S175)=0),"／回路3が定義にない",""))="","",MID(IF(AND(Y175=0,NOT(SUMPRODUCT(--ISNUMBER(SEARCH({"棚板","棚","アングル","ｱﾝｸﾞﾙ","使用不可","ケーブル","ｹｰﾌﾞﾙ","PatchPnael","パッチ","引き出し","引出","ブランク","ﾌﾞﾗﾝｸ","マネージ","ﾏﾈｰｼﾞ","PDU","ONU"},$F175&amp;"")))&gt;0),NOT(SUMPRODUCT(--ISNUMBER(SEARCH({"電源オフ","未投入","停止","未使用","撤去"},$X175&amp;"")))&gt;0)),"／電力が未記入","")&amp;IF(AND(NOT(ISNUMBER(J175)),NOT(SUMPRODUCT(--ISNUMBER(SEARCH({"棚板","棚","アングル","ｱﾝｸﾞﾙ","使用不可","ケーブル","ｹｰﾌﾞﾙ","PatchPnael","パッチ","引き出し","引出","ブランク","ﾌﾞﾗﾝｸ","マネージ","ﾏﾈｰｼﾞ","PDU","ONU"},$F175&amp;"")))&gt;0)),"／重量が未記入","")&amp;IF(AND(K175&lt;&gt;"",NOT(ISNUMBER(K175))),"／電圧が数値でない","")&amp;IF(AND(N175&lt;&gt;"",NOT(ISNUMBER(N175))),"／電流が数値でない","")&amp;IF(AND(C175&lt;&gt;"",C175&lt;1),"／開始Uが1未満","")&amp;IF(AND(E175&lt;&gt;"",E175&gt;IFERROR(VLOOKUP(A175,ラック定義!$A:$B,2,FALSE),47)),"／総Uをはみ出す","")&amp;IF(AND(A175&lt;&gt;"",COUNTIF(ラック定義!$A:$A,A175)=0),"／ラックが定義にない","")&amp;IF(AND(SUMPRODUCT((機器台帳!$A$2:$A$400=$A175)*((機器台帳!$B$2:$B$400=$B175)+(機器台帳!$B$2:$B$400="両面")+($B175="両面")&gt;0)*(機器台帳!$C$2:$C$400&lt;=$C175+$D175-1)*(機器台帳!$C$2:$C$400+機器台帳!$D$2:$D$400-1&gt;=$C175)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175&amp;"")))&gt;0)),"／同じUに他の機器(横並びなら正常)","")&amp;IF(AND(M175&lt;&gt;"",COUNTIFS(回路定義!$A:$A,A175,回路定義!$B:$B,M175)=0),"／回路1が定義にない","")&amp;IF(AND(P175&lt;&gt;"",COUNTIFS(回路定義!$A:$A,A175,回路定義!$B:$B,P175)=0),"／回路2が定義にない","")&amp;IF(AND(S175&lt;&gt;"",COUNTIFS(回路定義!$A:$A,A175,回路定義!$B:$B,S175)=0),"／回路3が定義にない",""),2,300)))</f>
        <v/>
      </c>
    </row>
    <row r="176">
      <c r="A176" s="5" t="n"/>
      <c r="B176" s="5" t="n"/>
      <c r="C176" s="5" t="n"/>
      <c r="D176" s="5" t="n"/>
      <c r="E176" s="6">
        <f>IF(C176="","",C176+D176-1)</f>
        <v/>
      </c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6">
        <f>COUNT(N176,Q176,T176)</f>
        <v/>
      </c>
      <c r="Z176" s="6">
        <f>IF(OR(K176="",NOT(ISNUMBER(K176))),"",K176*SUM(N176,Q176,T176))</f>
        <v/>
      </c>
      <c r="AA176" s="6">
        <f>IF(OR(Y176=0,N176=""),"",N176/Y176)</f>
        <v/>
      </c>
      <c r="AB176" s="6">
        <f>IF(OR(Y176=0,Q176=""),"",Q176/Y176)</f>
        <v/>
      </c>
      <c r="AC176" s="6">
        <f>IF(OR(Y176=0,T176=""),"",T176/Y176)</f>
        <v/>
      </c>
      <c r="AD176" s="6">
        <f>IF(F176="","",IF((IF(AND(Y176=0,NOT(SUMPRODUCT(--ISNUMBER(SEARCH({"棚板","棚","アングル","ｱﾝｸﾞﾙ","使用不可","ケーブル","ｹｰﾌﾞﾙ","PatchPnael","パッチ","引き出し","引出","ブランク","ﾌﾞﾗﾝｸ","マネージ","ﾏﾈｰｼﾞ","PDU","ONU"},$F176&amp;"")))&gt;0),NOT(SUMPRODUCT(--ISNUMBER(SEARCH({"電源オフ","未投入","停止","未使用","撤去"},$X176&amp;"")))&gt;0)),"／電力が未記入","")&amp;IF(AND(NOT(ISNUMBER(J176)),NOT(SUMPRODUCT(--ISNUMBER(SEARCH({"棚板","棚","アングル","ｱﾝｸﾞﾙ","使用不可","ケーブル","ｹｰﾌﾞﾙ","PatchPnael","パッチ","引き出し","引出","ブランク","ﾌﾞﾗﾝｸ","マネージ","ﾏﾈｰｼﾞ","PDU","ONU"},$F176&amp;"")))&gt;0)),"／重量が未記入","")&amp;IF(AND(K176&lt;&gt;"",NOT(ISNUMBER(K176))),"／電圧が数値でない","")&amp;IF(AND(N176&lt;&gt;"",NOT(ISNUMBER(N176))),"／電流が数値でない","")&amp;IF(AND(C176&lt;&gt;"",C176&lt;1),"／開始Uが1未満","")&amp;IF(AND(E176&lt;&gt;"",E176&gt;IFERROR(VLOOKUP(A176,ラック定義!$A:$B,2,FALSE),47)),"／総Uをはみ出す","")&amp;IF(AND(A176&lt;&gt;"",COUNTIF(ラック定義!$A:$A,A176)=0),"／ラックが定義にない","")&amp;IF(AND(SUMPRODUCT((機器台帳!$A$2:$A$400=$A176)*((機器台帳!$B$2:$B$400=$B176)+(機器台帳!$B$2:$B$400="両面")+($B176="両面")&gt;0)*(機器台帳!$C$2:$C$400&lt;=$C176+$D176-1)*(機器台帳!$C$2:$C$400+機器台帳!$D$2:$D$400-1&gt;=$C176)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176&amp;"")))&gt;0)),"／同じUに他の機器(横並びなら正常)","")&amp;IF(AND(M176&lt;&gt;"",COUNTIFS(回路定義!$A:$A,A176,回路定義!$B:$B,M176)=0),"／回路1が定義にない","")&amp;IF(AND(P176&lt;&gt;"",COUNTIFS(回路定義!$A:$A,A176,回路定義!$B:$B,P176)=0),"／回路2が定義にない","")&amp;IF(AND(S176&lt;&gt;"",COUNTIFS(回路定義!$A:$A,A176,回路定義!$B:$B,S176)=0),"／回路3が定義にない",""))="","",MID(IF(AND(Y176=0,NOT(SUMPRODUCT(--ISNUMBER(SEARCH({"棚板","棚","アングル","ｱﾝｸﾞﾙ","使用不可","ケーブル","ｹｰﾌﾞﾙ","PatchPnael","パッチ","引き出し","引出","ブランク","ﾌﾞﾗﾝｸ","マネージ","ﾏﾈｰｼﾞ","PDU","ONU"},$F176&amp;"")))&gt;0),NOT(SUMPRODUCT(--ISNUMBER(SEARCH({"電源オフ","未投入","停止","未使用","撤去"},$X176&amp;"")))&gt;0)),"／電力が未記入","")&amp;IF(AND(NOT(ISNUMBER(J176)),NOT(SUMPRODUCT(--ISNUMBER(SEARCH({"棚板","棚","アングル","ｱﾝｸﾞﾙ","使用不可","ケーブル","ｹｰﾌﾞﾙ","PatchPnael","パッチ","引き出し","引出","ブランク","ﾌﾞﾗﾝｸ","マネージ","ﾏﾈｰｼﾞ","PDU","ONU"},$F176&amp;"")))&gt;0)),"／重量が未記入","")&amp;IF(AND(K176&lt;&gt;"",NOT(ISNUMBER(K176))),"／電圧が数値でない","")&amp;IF(AND(N176&lt;&gt;"",NOT(ISNUMBER(N176))),"／電流が数値でない","")&amp;IF(AND(C176&lt;&gt;"",C176&lt;1),"／開始Uが1未満","")&amp;IF(AND(E176&lt;&gt;"",E176&gt;IFERROR(VLOOKUP(A176,ラック定義!$A:$B,2,FALSE),47)),"／総Uをはみ出す","")&amp;IF(AND(A176&lt;&gt;"",COUNTIF(ラック定義!$A:$A,A176)=0),"／ラックが定義にない","")&amp;IF(AND(SUMPRODUCT((機器台帳!$A$2:$A$400=$A176)*((機器台帳!$B$2:$B$400=$B176)+(機器台帳!$B$2:$B$400="両面")+($B176="両面")&gt;0)*(機器台帳!$C$2:$C$400&lt;=$C176+$D176-1)*(機器台帳!$C$2:$C$400+機器台帳!$D$2:$D$400-1&gt;=$C176)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176&amp;"")))&gt;0)),"／同じUに他の機器(横並びなら正常)","")&amp;IF(AND(M176&lt;&gt;"",COUNTIFS(回路定義!$A:$A,A176,回路定義!$B:$B,M176)=0),"／回路1が定義にない","")&amp;IF(AND(P176&lt;&gt;"",COUNTIFS(回路定義!$A:$A,A176,回路定義!$B:$B,P176)=0),"／回路2が定義にない","")&amp;IF(AND(S176&lt;&gt;"",COUNTIFS(回路定義!$A:$A,A176,回路定義!$B:$B,S176)=0),"／回路3が定義にない",""),2,300)))</f>
        <v/>
      </c>
    </row>
    <row r="177">
      <c r="A177" s="5" t="n"/>
      <c r="B177" s="5" t="n"/>
      <c r="C177" s="5" t="n"/>
      <c r="D177" s="5" t="n"/>
      <c r="E177" s="6">
        <f>IF(C177="","",C177+D177-1)</f>
        <v/>
      </c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6">
        <f>COUNT(N177,Q177,T177)</f>
        <v/>
      </c>
      <c r="Z177" s="6">
        <f>IF(OR(K177="",NOT(ISNUMBER(K177))),"",K177*SUM(N177,Q177,T177))</f>
        <v/>
      </c>
      <c r="AA177" s="6">
        <f>IF(OR(Y177=0,N177=""),"",N177/Y177)</f>
        <v/>
      </c>
      <c r="AB177" s="6">
        <f>IF(OR(Y177=0,Q177=""),"",Q177/Y177)</f>
        <v/>
      </c>
      <c r="AC177" s="6">
        <f>IF(OR(Y177=0,T177=""),"",T177/Y177)</f>
        <v/>
      </c>
      <c r="AD177" s="6">
        <f>IF(F177="","",IF((IF(AND(Y177=0,NOT(SUMPRODUCT(--ISNUMBER(SEARCH({"棚板","棚","アングル","ｱﾝｸﾞﾙ","使用不可","ケーブル","ｹｰﾌﾞﾙ","PatchPnael","パッチ","引き出し","引出","ブランク","ﾌﾞﾗﾝｸ","マネージ","ﾏﾈｰｼﾞ","PDU","ONU"},$F177&amp;"")))&gt;0),NOT(SUMPRODUCT(--ISNUMBER(SEARCH({"電源オフ","未投入","停止","未使用","撤去"},$X177&amp;"")))&gt;0)),"／電力が未記入","")&amp;IF(AND(NOT(ISNUMBER(J177)),NOT(SUMPRODUCT(--ISNUMBER(SEARCH({"棚板","棚","アングル","ｱﾝｸﾞﾙ","使用不可","ケーブル","ｹｰﾌﾞﾙ","PatchPnael","パッチ","引き出し","引出","ブランク","ﾌﾞﾗﾝｸ","マネージ","ﾏﾈｰｼﾞ","PDU","ONU"},$F177&amp;"")))&gt;0)),"／重量が未記入","")&amp;IF(AND(K177&lt;&gt;"",NOT(ISNUMBER(K177))),"／電圧が数値でない","")&amp;IF(AND(N177&lt;&gt;"",NOT(ISNUMBER(N177))),"／電流が数値でない","")&amp;IF(AND(C177&lt;&gt;"",C177&lt;1),"／開始Uが1未満","")&amp;IF(AND(E177&lt;&gt;"",E177&gt;IFERROR(VLOOKUP(A177,ラック定義!$A:$B,2,FALSE),47)),"／総Uをはみ出す","")&amp;IF(AND(A177&lt;&gt;"",COUNTIF(ラック定義!$A:$A,A177)=0),"／ラックが定義にない","")&amp;IF(AND(SUMPRODUCT((機器台帳!$A$2:$A$400=$A177)*((機器台帳!$B$2:$B$400=$B177)+(機器台帳!$B$2:$B$400="両面")+($B177="両面")&gt;0)*(機器台帳!$C$2:$C$400&lt;=$C177+$D177-1)*(機器台帳!$C$2:$C$400+機器台帳!$D$2:$D$400-1&gt;=$C177)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177&amp;"")))&gt;0)),"／同じUに他の機器(横並びなら正常)","")&amp;IF(AND(M177&lt;&gt;"",COUNTIFS(回路定義!$A:$A,A177,回路定義!$B:$B,M177)=0),"／回路1が定義にない","")&amp;IF(AND(P177&lt;&gt;"",COUNTIFS(回路定義!$A:$A,A177,回路定義!$B:$B,P177)=0),"／回路2が定義にない","")&amp;IF(AND(S177&lt;&gt;"",COUNTIFS(回路定義!$A:$A,A177,回路定義!$B:$B,S177)=0),"／回路3が定義にない",""))="","",MID(IF(AND(Y177=0,NOT(SUMPRODUCT(--ISNUMBER(SEARCH({"棚板","棚","アングル","ｱﾝｸﾞﾙ","使用不可","ケーブル","ｹｰﾌﾞﾙ","PatchPnael","パッチ","引き出し","引出","ブランク","ﾌﾞﾗﾝｸ","マネージ","ﾏﾈｰｼﾞ","PDU","ONU"},$F177&amp;"")))&gt;0),NOT(SUMPRODUCT(--ISNUMBER(SEARCH({"電源オフ","未投入","停止","未使用","撤去"},$X177&amp;"")))&gt;0)),"／電力が未記入","")&amp;IF(AND(NOT(ISNUMBER(J177)),NOT(SUMPRODUCT(--ISNUMBER(SEARCH({"棚板","棚","アングル","ｱﾝｸﾞﾙ","使用不可","ケーブル","ｹｰﾌﾞﾙ","PatchPnael","パッチ","引き出し","引出","ブランク","ﾌﾞﾗﾝｸ","マネージ","ﾏﾈｰｼﾞ","PDU","ONU"},$F177&amp;"")))&gt;0)),"／重量が未記入","")&amp;IF(AND(K177&lt;&gt;"",NOT(ISNUMBER(K177))),"／電圧が数値でない","")&amp;IF(AND(N177&lt;&gt;"",NOT(ISNUMBER(N177))),"／電流が数値でない","")&amp;IF(AND(C177&lt;&gt;"",C177&lt;1),"／開始Uが1未満","")&amp;IF(AND(E177&lt;&gt;"",E177&gt;IFERROR(VLOOKUP(A177,ラック定義!$A:$B,2,FALSE),47)),"／総Uをはみ出す","")&amp;IF(AND(A177&lt;&gt;"",COUNTIF(ラック定義!$A:$A,A177)=0),"／ラックが定義にない","")&amp;IF(AND(SUMPRODUCT((機器台帳!$A$2:$A$400=$A177)*((機器台帳!$B$2:$B$400=$B177)+(機器台帳!$B$2:$B$400="両面")+($B177="両面")&gt;0)*(機器台帳!$C$2:$C$400&lt;=$C177+$D177-1)*(機器台帳!$C$2:$C$400+機器台帳!$D$2:$D$400-1&gt;=$C177)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177&amp;"")))&gt;0)),"／同じUに他の機器(横並びなら正常)","")&amp;IF(AND(M177&lt;&gt;"",COUNTIFS(回路定義!$A:$A,A177,回路定義!$B:$B,M177)=0),"／回路1が定義にない","")&amp;IF(AND(P177&lt;&gt;"",COUNTIFS(回路定義!$A:$A,A177,回路定義!$B:$B,P177)=0),"／回路2が定義にない","")&amp;IF(AND(S177&lt;&gt;"",COUNTIFS(回路定義!$A:$A,A177,回路定義!$B:$B,S177)=0),"／回路3が定義にない",""),2,300)))</f>
        <v/>
      </c>
    </row>
    <row r="178">
      <c r="A178" s="5" t="n"/>
      <c r="B178" s="5" t="n"/>
      <c r="C178" s="5" t="n"/>
      <c r="D178" s="5" t="n"/>
      <c r="E178" s="6">
        <f>IF(C178="","",C178+D178-1)</f>
        <v/>
      </c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6">
        <f>COUNT(N178,Q178,T178)</f>
        <v/>
      </c>
      <c r="Z178" s="6">
        <f>IF(OR(K178="",NOT(ISNUMBER(K178))),"",K178*SUM(N178,Q178,T178))</f>
        <v/>
      </c>
      <c r="AA178" s="6">
        <f>IF(OR(Y178=0,N178=""),"",N178/Y178)</f>
        <v/>
      </c>
      <c r="AB178" s="6">
        <f>IF(OR(Y178=0,Q178=""),"",Q178/Y178)</f>
        <v/>
      </c>
      <c r="AC178" s="6">
        <f>IF(OR(Y178=0,T178=""),"",T178/Y178)</f>
        <v/>
      </c>
      <c r="AD178" s="6">
        <f>IF(F178="","",IF((IF(AND(Y178=0,NOT(SUMPRODUCT(--ISNUMBER(SEARCH({"棚板","棚","アングル","ｱﾝｸﾞﾙ","使用不可","ケーブル","ｹｰﾌﾞﾙ","PatchPnael","パッチ","引き出し","引出","ブランク","ﾌﾞﾗﾝｸ","マネージ","ﾏﾈｰｼﾞ","PDU","ONU"},$F178&amp;"")))&gt;0),NOT(SUMPRODUCT(--ISNUMBER(SEARCH({"電源オフ","未投入","停止","未使用","撤去"},$X178&amp;"")))&gt;0)),"／電力が未記入","")&amp;IF(AND(NOT(ISNUMBER(J178)),NOT(SUMPRODUCT(--ISNUMBER(SEARCH({"棚板","棚","アングル","ｱﾝｸﾞﾙ","使用不可","ケーブル","ｹｰﾌﾞﾙ","PatchPnael","パッチ","引き出し","引出","ブランク","ﾌﾞﾗﾝｸ","マネージ","ﾏﾈｰｼﾞ","PDU","ONU"},$F178&amp;"")))&gt;0)),"／重量が未記入","")&amp;IF(AND(K178&lt;&gt;"",NOT(ISNUMBER(K178))),"／電圧が数値でない","")&amp;IF(AND(N178&lt;&gt;"",NOT(ISNUMBER(N178))),"／電流が数値でない","")&amp;IF(AND(C178&lt;&gt;"",C178&lt;1),"／開始Uが1未満","")&amp;IF(AND(E178&lt;&gt;"",E178&gt;IFERROR(VLOOKUP(A178,ラック定義!$A:$B,2,FALSE),47)),"／総Uをはみ出す","")&amp;IF(AND(A178&lt;&gt;"",COUNTIF(ラック定義!$A:$A,A178)=0),"／ラックが定義にない","")&amp;IF(AND(SUMPRODUCT((機器台帳!$A$2:$A$400=$A178)*((機器台帳!$B$2:$B$400=$B178)+(機器台帳!$B$2:$B$400="両面")+($B178="両面")&gt;0)*(機器台帳!$C$2:$C$400&lt;=$C178+$D178-1)*(機器台帳!$C$2:$C$400+機器台帳!$D$2:$D$400-1&gt;=$C178)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178&amp;"")))&gt;0)),"／同じUに他の機器(横並びなら正常)","")&amp;IF(AND(M178&lt;&gt;"",COUNTIFS(回路定義!$A:$A,A178,回路定義!$B:$B,M178)=0),"／回路1が定義にない","")&amp;IF(AND(P178&lt;&gt;"",COUNTIFS(回路定義!$A:$A,A178,回路定義!$B:$B,P178)=0),"／回路2が定義にない","")&amp;IF(AND(S178&lt;&gt;"",COUNTIFS(回路定義!$A:$A,A178,回路定義!$B:$B,S178)=0),"／回路3が定義にない",""))="","",MID(IF(AND(Y178=0,NOT(SUMPRODUCT(--ISNUMBER(SEARCH({"棚板","棚","アングル","ｱﾝｸﾞﾙ","使用不可","ケーブル","ｹｰﾌﾞﾙ","PatchPnael","パッチ","引き出し","引出","ブランク","ﾌﾞﾗﾝｸ","マネージ","ﾏﾈｰｼﾞ","PDU","ONU"},$F178&amp;"")))&gt;0),NOT(SUMPRODUCT(--ISNUMBER(SEARCH({"電源オフ","未投入","停止","未使用","撤去"},$X178&amp;"")))&gt;0)),"／電力が未記入","")&amp;IF(AND(NOT(ISNUMBER(J178)),NOT(SUMPRODUCT(--ISNUMBER(SEARCH({"棚板","棚","アングル","ｱﾝｸﾞﾙ","使用不可","ケーブル","ｹｰﾌﾞﾙ","PatchPnael","パッチ","引き出し","引出","ブランク","ﾌﾞﾗﾝｸ","マネージ","ﾏﾈｰｼﾞ","PDU","ONU"},$F178&amp;"")))&gt;0)),"／重量が未記入","")&amp;IF(AND(K178&lt;&gt;"",NOT(ISNUMBER(K178))),"／電圧が数値でない","")&amp;IF(AND(N178&lt;&gt;"",NOT(ISNUMBER(N178))),"／電流が数値でない","")&amp;IF(AND(C178&lt;&gt;"",C178&lt;1),"／開始Uが1未満","")&amp;IF(AND(E178&lt;&gt;"",E178&gt;IFERROR(VLOOKUP(A178,ラック定義!$A:$B,2,FALSE),47)),"／総Uをはみ出す","")&amp;IF(AND(A178&lt;&gt;"",COUNTIF(ラック定義!$A:$A,A178)=0),"／ラックが定義にない","")&amp;IF(AND(SUMPRODUCT((機器台帳!$A$2:$A$400=$A178)*((機器台帳!$B$2:$B$400=$B178)+(機器台帳!$B$2:$B$400="両面")+($B178="両面")&gt;0)*(機器台帳!$C$2:$C$400&lt;=$C178+$D178-1)*(機器台帳!$C$2:$C$400+機器台帳!$D$2:$D$400-1&gt;=$C178)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178&amp;"")))&gt;0)),"／同じUに他の機器(横並びなら正常)","")&amp;IF(AND(M178&lt;&gt;"",COUNTIFS(回路定義!$A:$A,A178,回路定義!$B:$B,M178)=0),"／回路1が定義にない","")&amp;IF(AND(P178&lt;&gt;"",COUNTIFS(回路定義!$A:$A,A178,回路定義!$B:$B,P178)=0),"／回路2が定義にない","")&amp;IF(AND(S178&lt;&gt;"",COUNTIFS(回路定義!$A:$A,A178,回路定義!$B:$B,S178)=0),"／回路3が定義にない",""),2,300)))</f>
        <v/>
      </c>
    </row>
    <row r="179">
      <c r="A179" s="5" t="n"/>
      <c r="B179" s="5" t="n"/>
      <c r="C179" s="5" t="n"/>
      <c r="D179" s="5" t="n"/>
      <c r="E179" s="6">
        <f>IF(C179="","",C179+D179-1)</f>
        <v/>
      </c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6">
        <f>COUNT(N179,Q179,T179)</f>
        <v/>
      </c>
      <c r="Z179" s="6">
        <f>IF(OR(K179="",NOT(ISNUMBER(K179))),"",K179*SUM(N179,Q179,T179))</f>
        <v/>
      </c>
      <c r="AA179" s="6">
        <f>IF(OR(Y179=0,N179=""),"",N179/Y179)</f>
        <v/>
      </c>
      <c r="AB179" s="6">
        <f>IF(OR(Y179=0,Q179=""),"",Q179/Y179)</f>
        <v/>
      </c>
      <c r="AC179" s="6">
        <f>IF(OR(Y179=0,T179=""),"",T179/Y179)</f>
        <v/>
      </c>
      <c r="AD179" s="6">
        <f>IF(F179="","",IF((IF(AND(Y179=0,NOT(SUMPRODUCT(--ISNUMBER(SEARCH({"棚板","棚","アングル","ｱﾝｸﾞﾙ","使用不可","ケーブル","ｹｰﾌﾞﾙ","PatchPnael","パッチ","引き出し","引出","ブランク","ﾌﾞﾗﾝｸ","マネージ","ﾏﾈｰｼﾞ","PDU","ONU"},$F179&amp;"")))&gt;0),NOT(SUMPRODUCT(--ISNUMBER(SEARCH({"電源オフ","未投入","停止","未使用","撤去"},$X179&amp;"")))&gt;0)),"／電力が未記入","")&amp;IF(AND(NOT(ISNUMBER(J179)),NOT(SUMPRODUCT(--ISNUMBER(SEARCH({"棚板","棚","アングル","ｱﾝｸﾞﾙ","使用不可","ケーブル","ｹｰﾌﾞﾙ","PatchPnael","パッチ","引き出し","引出","ブランク","ﾌﾞﾗﾝｸ","マネージ","ﾏﾈｰｼﾞ","PDU","ONU"},$F179&amp;"")))&gt;0)),"／重量が未記入","")&amp;IF(AND(K179&lt;&gt;"",NOT(ISNUMBER(K179))),"／電圧が数値でない","")&amp;IF(AND(N179&lt;&gt;"",NOT(ISNUMBER(N179))),"／電流が数値でない","")&amp;IF(AND(C179&lt;&gt;"",C179&lt;1),"／開始Uが1未満","")&amp;IF(AND(E179&lt;&gt;"",E179&gt;IFERROR(VLOOKUP(A179,ラック定義!$A:$B,2,FALSE),47)),"／総Uをはみ出す","")&amp;IF(AND(A179&lt;&gt;"",COUNTIF(ラック定義!$A:$A,A179)=0),"／ラックが定義にない","")&amp;IF(AND(SUMPRODUCT((機器台帳!$A$2:$A$400=$A179)*((機器台帳!$B$2:$B$400=$B179)+(機器台帳!$B$2:$B$400="両面")+($B179="両面")&gt;0)*(機器台帳!$C$2:$C$400&lt;=$C179+$D179-1)*(機器台帳!$C$2:$C$400+機器台帳!$D$2:$D$400-1&gt;=$C179)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179&amp;"")))&gt;0)),"／同じUに他の機器(横並びなら正常)","")&amp;IF(AND(M179&lt;&gt;"",COUNTIFS(回路定義!$A:$A,A179,回路定義!$B:$B,M179)=0),"／回路1が定義にない","")&amp;IF(AND(P179&lt;&gt;"",COUNTIFS(回路定義!$A:$A,A179,回路定義!$B:$B,P179)=0),"／回路2が定義にない","")&amp;IF(AND(S179&lt;&gt;"",COUNTIFS(回路定義!$A:$A,A179,回路定義!$B:$B,S179)=0),"／回路3が定義にない",""))="","",MID(IF(AND(Y179=0,NOT(SUMPRODUCT(--ISNUMBER(SEARCH({"棚板","棚","アングル","ｱﾝｸﾞﾙ","使用不可","ケーブル","ｹｰﾌﾞﾙ","PatchPnael","パッチ","引き出し","引出","ブランク","ﾌﾞﾗﾝｸ","マネージ","ﾏﾈｰｼﾞ","PDU","ONU"},$F179&amp;"")))&gt;0),NOT(SUMPRODUCT(--ISNUMBER(SEARCH({"電源オフ","未投入","停止","未使用","撤去"},$X179&amp;"")))&gt;0)),"／電力が未記入","")&amp;IF(AND(NOT(ISNUMBER(J179)),NOT(SUMPRODUCT(--ISNUMBER(SEARCH({"棚板","棚","アングル","ｱﾝｸﾞﾙ","使用不可","ケーブル","ｹｰﾌﾞﾙ","PatchPnael","パッチ","引き出し","引出","ブランク","ﾌﾞﾗﾝｸ","マネージ","ﾏﾈｰｼﾞ","PDU","ONU"},$F179&amp;"")))&gt;0)),"／重量が未記入","")&amp;IF(AND(K179&lt;&gt;"",NOT(ISNUMBER(K179))),"／電圧が数値でない","")&amp;IF(AND(N179&lt;&gt;"",NOT(ISNUMBER(N179))),"／電流が数値でない","")&amp;IF(AND(C179&lt;&gt;"",C179&lt;1),"／開始Uが1未満","")&amp;IF(AND(E179&lt;&gt;"",E179&gt;IFERROR(VLOOKUP(A179,ラック定義!$A:$B,2,FALSE),47)),"／総Uをはみ出す","")&amp;IF(AND(A179&lt;&gt;"",COUNTIF(ラック定義!$A:$A,A179)=0),"／ラックが定義にない","")&amp;IF(AND(SUMPRODUCT((機器台帳!$A$2:$A$400=$A179)*((機器台帳!$B$2:$B$400=$B179)+(機器台帳!$B$2:$B$400="両面")+($B179="両面")&gt;0)*(機器台帳!$C$2:$C$400&lt;=$C179+$D179-1)*(機器台帳!$C$2:$C$400+機器台帳!$D$2:$D$400-1&gt;=$C179)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179&amp;"")))&gt;0)),"／同じUに他の機器(横並びなら正常)","")&amp;IF(AND(M179&lt;&gt;"",COUNTIFS(回路定義!$A:$A,A179,回路定義!$B:$B,M179)=0),"／回路1が定義にない","")&amp;IF(AND(P179&lt;&gt;"",COUNTIFS(回路定義!$A:$A,A179,回路定義!$B:$B,P179)=0),"／回路2が定義にない","")&amp;IF(AND(S179&lt;&gt;"",COUNTIFS(回路定義!$A:$A,A179,回路定義!$B:$B,S179)=0),"／回路3が定義にない",""),2,300)))</f>
        <v/>
      </c>
    </row>
    <row r="180">
      <c r="A180" s="5" t="n"/>
      <c r="B180" s="5" t="n"/>
      <c r="C180" s="5" t="n"/>
      <c r="D180" s="5" t="n"/>
      <c r="E180" s="6">
        <f>IF(C180="","",C180+D180-1)</f>
        <v/>
      </c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6">
        <f>COUNT(N180,Q180,T180)</f>
        <v/>
      </c>
      <c r="Z180" s="6">
        <f>IF(OR(K180="",NOT(ISNUMBER(K180))),"",K180*SUM(N180,Q180,T180))</f>
        <v/>
      </c>
      <c r="AA180" s="6">
        <f>IF(OR(Y180=0,N180=""),"",N180/Y180)</f>
        <v/>
      </c>
      <c r="AB180" s="6">
        <f>IF(OR(Y180=0,Q180=""),"",Q180/Y180)</f>
        <v/>
      </c>
      <c r="AC180" s="6">
        <f>IF(OR(Y180=0,T180=""),"",T180/Y180)</f>
        <v/>
      </c>
      <c r="AD180" s="6">
        <f>IF(F180="","",IF((IF(AND(Y180=0,NOT(SUMPRODUCT(--ISNUMBER(SEARCH({"棚板","棚","アングル","ｱﾝｸﾞﾙ","使用不可","ケーブル","ｹｰﾌﾞﾙ","PatchPnael","パッチ","引き出し","引出","ブランク","ﾌﾞﾗﾝｸ","マネージ","ﾏﾈｰｼﾞ","PDU","ONU"},$F180&amp;"")))&gt;0),NOT(SUMPRODUCT(--ISNUMBER(SEARCH({"電源オフ","未投入","停止","未使用","撤去"},$X180&amp;"")))&gt;0)),"／電力が未記入","")&amp;IF(AND(NOT(ISNUMBER(J180)),NOT(SUMPRODUCT(--ISNUMBER(SEARCH({"棚板","棚","アングル","ｱﾝｸﾞﾙ","使用不可","ケーブル","ｹｰﾌﾞﾙ","PatchPnael","パッチ","引き出し","引出","ブランク","ﾌﾞﾗﾝｸ","マネージ","ﾏﾈｰｼﾞ","PDU","ONU"},$F180&amp;"")))&gt;0)),"／重量が未記入","")&amp;IF(AND(K180&lt;&gt;"",NOT(ISNUMBER(K180))),"／電圧が数値でない","")&amp;IF(AND(N180&lt;&gt;"",NOT(ISNUMBER(N180))),"／電流が数値でない","")&amp;IF(AND(C180&lt;&gt;"",C180&lt;1),"／開始Uが1未満","")&amp;IF(AND(E180&lt;&gt;"",E180&gt;IFERROR(VLOOKUP(A180,ラック定義!$A:$B,2,FALSE),47)),"／総Uをはみ出す","")&amp;IF(AND(A180&lt;&gt;"",COUNTIF(ラック定義!$A:$A,A180)=0),"／ラックが定義にない","")&amp;IF(AND(SUMPRODUCT((機器台帳!$A$2:$A$400=$A180)*((機器台帳!$B$2:$B$400=$B180)+(機器台帳!$B$2:$B$400="両面")+($B180="両面")&gt;0)*(機器台帳!$C$2:$C$400&lt;=$C180+$D180-1)*(機器台帳!$C$2:$C$400+機器台帳!$D$2:$D$400-1&gt;=$C180)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180&amp;"")))&gt;0)),"／同じUに他の機器(横並びなら正常)","")&amp;IF(AND(M180&lt;&gt;"",COUNTIFS(回路定義!$A:$A,A180,回路定義!$B:$B,M180)=0),"／回路1が定義にない","")&amp;IF(AND(P180&lt;&gt;"",COUNTIFS(回路定義!$A:$A,A180,回路定義!$B:$B,P180)=0),"／回路2が定義にない","")&amp;IF(AND(S180&lt;&gt;"",COUNTIFS(回路定義!$A:$A,A180,回路定義!$B:$B,S180)=0),"／回路3が定義にない",""))="","",MID(IF(AND(Y180=0,NOT(SUMPRODUCT(--ISNUMBER(SEARCH({"棚板","棚","アングル","ｱﾝｸﾞﾙ","使用不可","ケーブル","ｹｰﾌﾞﾙ","PatchPnael","パッチ","引き出し","引出","ブランク","ﾌﾞﾗﾝｸ","マネージ","ﾏﾈｰｼﾞ","PDU","ONU"},$F180&amp;"")))&gt;0),NOT(SUMPRODUCT(--ISNUMBER(SEARCH({"電源オフ","未投入","停止","未使用","撤去"},$X180&amp;"")))&gt;0)),"／電力が未記入","")&amp;IF(AND(NOT(ISNUMBER(J180)),NOT(SUMPRODUCT(--ISNUMBER(SEARCH({"棚板","棚","アングル","ｱﾝｸﾞﾙ","使用不可","ケーブル","ｹｰﾌﾞﾙ","PatchPnael","パッチ","引き出し","引出","ブランク","ﾌﾞﾗﾝｸ","マネージ","ﾏﾈｰｼﾞ","PDU","ONU"},$F180&amp;"")))&gt;0)),"／重量が未記入","")&amp;IF(AND(K180&lt;&gt;"",NOT(ISNUMBER(K180))),"／電圧が数値でない","")&amp;IF(AND(N180&lt;&gt;"",NOT(ISNUMBER(N180))),"／電流が数値でない","")&amp;IF(AND(C180&lt;&gt;"",C180&lt;1),"／開始Uが1未満","")&amp;IF(AND(E180&lt;&gt;"",E180&gt;IFERROR(VLOOKUP(A180,ラック定義!$A:$B,2,FALSE),47)),"／総Uをはみ出す","")&amp;IF(AND(A180&lt;&gt;"",COUNTIF(ラック定義!$A:$A,A180)=0),"／ラックが定義にない","")&amp;IF(AND(SUMPRODUCT((機器台帳!$A$2:$A$400=$A180)*((機器台帳!$B$2:$B$400=$B180)+(機器台帳!$B$2:$B$400="両面")+($B180="両面")&gt;0)*(機器台帳!$C$2:$C$400&lt;=$C180+$D180-1)*(機器台帳!$C$2:$C$400+機器台帳!$D$2:$D$400-1&gt;=$C180)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180&amp;"")))&gt;0)),"／同じUに他の機器(横並びなら正常)","")&amp;IF(AND(M180&lt;&gt;"",COUNTIFS(回路定義!$A:$A,A180,回路定義!$B:$B,M180)=0),"／回路1が定義にない","")&amp;IF(AND(P180&lt;&gt;"",COUNTIFS(回路定義!$A:$A,A180,回路定義!$B:$B,P180)=0),"／回路2が定義にない","")&amp;IF(AND(S180&lt;&gt;"",COUNTIFS(回路定義!$A:$A,A180,回路定義!$B:$B,S180)=0),"／回路3が定義にない",""),2,300)))</f>
        <v/>
      </c>
    </row>
    <row r="181">
      <c r="A181" s="5" t="n"/>
      <c r="B181" s="5" t="n"/>
      <c r="C181" s="5" t="n"/>
      <c r="D181" s="5" t="n"/>
      <c r="E181" s="6">
        <f>IF(C181="","",C181+D181-1)</f>
        <v/>
      </c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6">
        <f>COUNT(N181,Q181,T181)</f>
        <v/>
      </c>
      <c r="Z181" s="6">
        <f>IF(OR(K181="",NOT(ISNUMBER(K181))),"",K181*SUM(N181,Q181,T181))</f>
        <v/>
      </c>
      <c r="AA181" s="6">
        <f>IF(OR(Y181=0,N181=""),"",N181/Y181)</f>
        <v/>
      </c>
      <c r="AB181" s="6">
        <f>IF(OR(Y181=0,Q181=""),"",Q181/Y181)</f>
        <v/>
      </c>
      <c r="AC181" s="6">
        <f>IF(OR(Y181=0,T181=""),"",T181/Y181)</f>
        <v/>
      </c>
      <c r="AD181" s="6">
        <f>IF(F181="","",IF((IF(AND(Y181=0,NOT(SUMPRODUCT(--ISNUMBER(SEARCH({"棚板","棚","アングル","ｱﾝｸﾞﾙ","使用不可","ケーブル","ｹｰﾌﾞﾙ","PatchPnael","パッチ","引き出し","引出","ブランク","ﾌﾞﾗﾝｸ","マネージ","ﾏﾈｰｼﾞ","PDU","ONU"},$F181&amp;"")))&gt;0),NOT(SUMPRODUCT(--ISNUMBER(SEARCH({"電源オフ","未投入","停止","未使用","撤去"},$X181&amp;"")))&gt;0)),"／電力が未記入","")&amp;IF(AND(NOT(ISNUMBER(J181)),NOT(SUMPRODUCT(--ISNUMBER(SEARCH({"棚板","棚","アングル","ｱﾝｸﾞﾙ","使用不可","ケーブル","ｹｰﾌﾞﾙ","PatchPnael","パッチ","引き出し","引出","ブランク","ﾌﾞﾗﾝｸ","マネージ","ﾏﾈｰｼﾞ","PDU","ONU"},$F181&amp;"")))&gt;0)),"／重量が未記入","")&amp;IF(AND(K181&lt;&gt;"",NOT(ISNUMBER(K181))),"／電圧が数値でない","")&amp;IF(AND(N181&lt;&gt;"",NOT(ISNUMBER(N181))),"／電流が数値でない","")&amp;IF(AND(C181&lt;&gt;"",C181&lt;1),"／開始Uが1未満","")&amp;IF(AND(E181&lt;&gt;"",E181&gt;IFERROR(VLOOKUP(A181,ラック定義!$A:$B,2,FALSE),47)),"／総Uをはみ出す","")&amp;IF(AND(A181&lt;&gt;"",COUNTIF(ラック定義!$A:$A,A181)=0),"／ラックが定義にない","")&amp;IF(AND(SUMPRODUCT((機器台帳!$A$2:$A$400=$A181)*((機器台帳!$B$2:$B$400=$B181)+(機器台帳!$B$2:$B$400="両面")+($B181="両面")&gt;0)*(機器台帳!$C$2:$C$400&lt;=$C181+$D181-1)*(機器台帳!$C$2:$C$400+機器台帳!$D$2:$D$400-1&gt;=$C181)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181&amp;"")))&gt;0)),"／同じUに他の機器(横並びなら正常)","")&amp;IF(AND(M181&lt;&gt;"",COUNTIFS(回路定義!$A:$A,A181,回路定義!$B:$B,M181)=0),"／回路1が定義にない","")&amp;IF(AND(P181&lt;&gt;"",COUNTIFS(回路定義!$A:$A,A181,回路定義!$B:$B,P181)=0),"／回路2が定義にない","")&amp;IF(AND(S181&lt;&gt;"",COUNTIFS(回路定義!$A:$A,A181,回路定義!$B:$B,S181)=0),"／回路3が定義にない",""))="","",MID(IF(AND(Y181=0,NOT(SUMPRODUCT(--ISNUMBER(SEARCH({"棚板","棚","アングル","ｱﾝｸﾞﾙ","使用不可","ケーブル","ｹｰﾌﾞﾙ","PatchPnael","パッチ","引き出し","引出","ブランク","ﾌﾞﾗﾝｸ","マネージ","ﾏﾈｰｼﾞ","PDU","ONU"},$F181&amp;"")))&gt;0),NOT(SUMPRODUCT(--ISNUMBER(SEARCH({"電源オフ","未投入","停止","未使用","撤去"},$X181&amp;"")))&gt;0)),"／電力が未記入","")&amp;IF(AND(NOT(ISNUMBER(J181)),NOT(SUMPRODUCT(--ISNUMBER(SEARCH({"棚板","棚","アングル","ｱﾝｸﾞﾙ","使用不可","ケーブル","ｹｰﾌﾞﾙ","PatchPnael","パッチ","引き出し","引出","ブランク","ﾌﾞﾗﾝｸ","マネージ","ﾏﾈｰｼﾞ","PDU","ONU"},$F181&amp;"")))&gt;0)),"／重量が未記入","")&amp;IF(AND(K181&lt;&gt;"",NOT(ISNUMBER(K181))),"／電圧が数値でない","")&amp;IF(AND(N181&lt;&gt;"",NOT(ISNUMBER(N181))),"／電流が数値でない","")&amp;IF(AND(C181&lt;&gt;"",C181&lt;1),"／開始Uが1未満","")&amp;IF(AND(E181&lt;&gt;"",E181&gt;IFERROR(VLOOKUP(A181,ラック定義!$A:$B,2,FALSE),47)),"／総Uをはみ出す","")&amp;IF(AND(A181&lt;&gt;"",COUNTIF(ラック定義!$A:$A,A181)=0),"／ラックが定義にない","")&amp;IF(AND(SUMPRODUCT((機器台帳!$A$2:$A$400=$A181)*((機器台帳!$B$2:$B$400=$B181)+(機器台帳!$B$2:$B$400="両面")+($B181="両面")&gt;0)*(機器台帳!$C$2:$C$400&lt;=$C181+$D181-1)*(機器台帳!$C$2:$C$400+機器台帳!$D$2:$D$400-1&gt;=$C181)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181&amp;"")))&gt;0)),"／同じUに他の機器(横並びなら正常)","")&amp;IF(AND(M181&lt;&gt;"",COUNTIFS(回路定義!$A:$A,A181,回路定義!$B:$B,M181)=0),"／回路1が定義にない","")&amp;IF(AND(P181&lt;&gt;"",COUNTIFS(回路定義!$A:$A,A181,回路定義!$B:$B,P181)=0),"／回路2が定義にない","")&amp;IF(AND(S181&lt;&gt;"",COUNTIFS(回路定義!$A:$A,A181,回路定義!$B:$B,S181)=0),"／回路3が定義にない",""),2,300)))</f>
        <v/>
      </c>
    </row>
    <row r="182">
      <c r="A182" s="5" t="n"/>
      <c r="B182" s="5" t="n"/>
      <c r="C182" s="5" t="n"/>
      <c r="D182" s="5" t="n"/>
      <c r="E182" s="6">
        <f>IF(C182="","",C182+D182-1)</f>
        <v/>
      </c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6">
        <f>COUNT(N182,Q182,T182)</f>
        <v/>
      </c>
      <c r="Z182" s="6">
        <f>IF(OR(K182="",NOT(ISNUMBER(K182))),"",K182*SUM(N182,Q182,T182))</f>
        <v/>
      </c>
      <c r="AA182" s="6">
        <f>IF(OR(Y182=0,N182=""),"",N182/Y182)</f>
        <v/>
      </c>
      <c r="AB182" s="6">
        <f>IF(OR(Y182=0,Q182=""),"",Q182/Y182)</f>
        <v/>
      </c>
      <c r="AC182" s="6">
        <f>IF(OR(Y182=0,T182=""),"",T182/Y182)</f>
        <v/>
      </c>
      <c r="AD182" s="6">
        <f>IF(F182="","",IF((IF(AND(Y182=0,NOT(SUMPRODUCT(--ISNUMBER(SEARCH({"棚板","棚","アングル","ｱﾝｸﾞﾙ","使用不可","ケーブル","ｹｰﾌﾞﾙ","PatchPnael","パッチ","引き出し","引出","ブランク","ﾌﾞﾗﾝｸ","マネージ","ﾏﾈｰｼﾞ","PDU","ONU"},$F182&amp;"")))&gt;0),NOT(SUMPRODUCT(--ISNUMBER(SEARCH({"電源オフ","未投入","停止","未使用","撤去"},$X182&amp;"")))&gt;0)),"／電力が未記入","")&amp;IF(AND(NOT(ISNUMBER(J182)),NOT(SUMPRODUCT(--ISNUMBER(SEARCH({"棚板","棚","アングル","ｱﾝｸﾞﾙ","使用不可","ケーブル","ｹｰﾌﾞﾙ","PatchPnael","パッチ","引き出し","引出","ブランク","ﾌﾞﾗﾝｸ","マネージ","ﾏﾈｰｼﾞ","PDU","ONU"},$F182&amp;"")))&gt;0)),"／重量が未記入","")&amp;IF(AND(K182&lt;&gt;"",NOT(ISNUMBER(K182))),"／電圧が数値でない","")&amp;IF(AND(N182&lt;&gt;"",NOT(ISNUMBER(N182))),"／電流が数値でない","")&amp;IF(AND(C182&lt;&gt;"",C182&lt;1),"／開始Uが1未満","")&amp;IF(AND(E182&lt;&gt;"",E182&gt;IFERROR(VLOOKUP(A182,ラック定義!$A:$B,2,FALSE),47)),"／総Uをはみ出す","")&amp;IF(AND(A182&lt;&gt;"",COUNTIF(ラック定義!$A:$A,A182)=0),"／ラックが定義にない","")&amp;IF(AND(SUMPRODUCT((機器台帳!$A$2:$A$400=$A182)*((機器台帳!$B$2:$B$400=$B182)+(機器台帳!$B$2:$B$400="両面")+($B182="両面")&gt;0)*(機器台帳!$C$2:$C$400&lt;=$C182+$D182-1)*(機器台帳!$C$2:$C$400+機器台帳!$D$2:$D$400-1&gt;=$C182)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182&amp;"")))&gt;0)),"／同じUに他の機器(横並びなら正常)","")&amp;IF(AND(M182&lt;&gt;"",COUNTIFS(回路定義!$A:$A,A182,回路定義!$B:$B,M182)=0),"／回路1が定義にない","")&amp;IF(AND(P182&lt;&gt;"",COUNTIFS(回路定義!$A:$A,A182,回路定義!$B:$B,P182)=0),"／回路2が定義にない","")&amp;IF(AND(S182&lt;&gt;"",COUNTIFS(回路定義!$A:$A,A182,回路定義!$B:$B,S182)=0),"／回路3が定義にない",""))="","",MID(IF(AND(Y182=0,NOT(SUMPRODUCT(--ISNUMBER(SEARCH({"棚板","棚","アングル","ｱﾝｸﾞﾙ","使用不可","ケーブル","ｹｰﾌﾞﾙ","PatchPnael","パッチ","引き出し","引出","ブランク","ﾌﾞﾗﾝｸ","マネージ","ﾏﾈｰｼﾞ","PDU","ONU"},$F182&amp;"")))&gt;0),NOT(SUMPRODUCT(--ISNUMBER(SEARCH({"電源オフ","未投入","停止","未使用","撤去"},$X182&amp;"")))&gt;0)),"／電力が未記入","")&amp;IF(AND(NOT(ISNUMBER(J182)),NOT(SUMPRODUCT(--ISNUMBER(SEARCH({"棚板","棚","アングル","ｱﾝｸﾞﾙ","使用不可","ケーブル","ｹｰﾌﾞﾙ","PatchPnael","パッチ","引き出し","引出","ブランク","ﾌﾞﾗﾝｸ","マネージ","ﾏﾈｰｼﾞ","PDU","ONU"},$F182&amp;"")))&gt;0)),"／重量が未記入","")&amp;IF(AND(K182&lt;&gt;"",NOT(ISNUMBER(K182))),"／電圧が数値でない","")&amp;IF(AND(N182&lt;&gt;"",NOT(ISNUMBER(N182))),"／電流が数値でない","")&amp;IF(AND(C182&lt;&gt;"",C182&lt;1),"／開始Uが1未満","")&amp;IF(AND(E182&lt;&gt;"",E182&gt;IFERROR(VLOOKUP(A182,ラック定義!$A:$B,2,FALSE),47)),"／総Uをはみ出す","")&amp;IF(AND(A182&lt;&gt;"",COUNTIF(ラック定義!$A:$A,A182)=0),"／ラックが定義にない","")&amp;IF(AND(SUMPRODUCT((機器台帳!$A$2:$A$400=$A182)*((機器台帳!$B$2:$B$400=$B182)+(機器台帳!$B$2:$B$400="両面")+($B182="両面")&gt;0)*(機器台帳!$C$2:$C$400&lt;=$C182+$D182-1)*(機器台帳!$C$2:$C$400+機器台帳!$D$2:$D$400-1&gt;=$C182)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182&amp;"")))&gt;0)),"／同じUに他の機器(横並びなら正常)","")&amp;IF(AND(M182&lt;&gt;"",COUNTIFS(回路定義!$A:$A,A182,回路定義!$B:$B,M182)=0),"／回路1が定義にない","")&amp;IF(AND(P182&lt;&gt;"",COUNTIFS(回路定義!$A:$A,A182,回路定義!$B:$B,P182)=0),"／回路2が定義にない","")&amp;IF(AND(S182&lt;&gt;"",COUNTIFS(回路定義!$A:$A,A182,回路定義!$B:$B,S182)=0),"／回路3が定義にない",""),2,300)))</f>
        <v/>
      </c>
    </row>
    <row r="183">
      <c r="A183" s="5" t="n"/>
      <c r="B183" s="5" t="n"/>
      <c r="C183" s="5" t="n"/>
      <c r="D183" s="5" t="n"/>
      <c r="E183" s="6">
        <f>IF(C183="","",C183+D183-1)</f>
        <v/>
      </c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6">
        <f>COUNT(N183,Q183,T183)</f>
        <v/>
      </c>
      <c r="Z183" s="6">
        <f>IF(OR(K183="",NOT(ISNUMBER(K183))),"",K183*SUM(N183,Q183,T183))</f>
        <v/>
      </c>
      <c r="AA183" s="6">
        <f>IF(OR(Y183=0,N183=""),"",N183/Y183)</f>
        <v/>
      </c>
      <c r="AB183" s="6">
        <f>IF(OR(Y183=0,Q183=""),"",Q183/Y183)</f>
        <v/>
      </c>
      <c r="AC183" s="6">
        <f>IF(OR(Y183=0,T183=""),"",T183/Y183)</f>
        <v/>
      </c>
      <c r="AD183" s="6">
        <f>IF(F183="","",IF((IF(AND(Y183=0,NOT(SUMPRODUCT(--ISNUMBER(SEARCH({"棚板","棚","アングル","ｱﾝｸﾞﾙ","使用不可","ケーブル","ｹｰﾌﾞﾙ","PatchPnael","パッチ","引き出し","引出","ブランク","ﾌﾞﾗﾝｸ","マネージ","ﾏﾈｰｼﾞ","PDU","ONU"},$F183&amp;"")))&gt;0),NOT(SUMPRODUCT(--ISNUMBER(SEARCH({"電源オフ","未投入","停止","未使用","撤去"},$X183&amp;"")))&gt;0)),"／電力が未記入","")&amp;IF(AND(NOT(ISNUMBER(J183)),NOT(SUMPRODUCT(--ISNUMBER(SEARCH({"棚板","棚","アングル","ｱﾝｸﾞﾙ","使用不可","ケーブル","ｹｰﾌﾞﾙ","PatchPnael","パッチ","引き出し","引出","ブランク","ﾌﾞﾗﾝｸ","マネージ","ﾏﾈｰｼﾞ","PDU","ONU"},$F183&amp;"")))&gt;0)),"／重量が未記入","")&amp;IF(AND(K183&lt;&gt;"",NOT(ISNUMBER(K183))),"／電圧が数値でない","")&amp;IF(AND(N183&lt;&gt;"",NOT(ISNUMBER(N183))),"／電流が数値でない","")&amp;IF(AND(C183&lt;&gt;"",C183&lt;1),"／開始Uが1未満","")&amp;IF(AND(E183&lt;&gt;"",E183&gt;IFERROR(VLOOKUP(A183,ラック定義!$A:$B,2,FALSE),47)),"／総Uをはみ出す","")&amp;IF(AND(A183&lt;&gt;"",COUNTIF(ラック定義!$A:$A,A183)=0),"／ラックが定義にない","")&amp;IF(AND(SUMPRODUCT((機器台帳!$A$2:$A$400=$A183)*((機器台帳!$B$2:$B$400=$B183)+(機器台帳!$B$2:$B$400="両面")+($B183="両面")&gt;0)*(機器台帳!$C$2:$C$400&lt;=$C183+$D183-1)*(機器台帳!$C$2:$C$400+機器台帳!$D$2:$D$400-1&gt;=$C183)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183&amp;"")))&gt;0)),"／同じUに他の機器(横並びなら正常)","")&amp;IF(AND(M183&lt;&gt;"",COUNTIFS(回路定義!$A:$A,A183,回路定義!$B:$B,M183)=0),"／回路1が定義にない","")&amp;IF(AND(P183&lt;&gt;"",COUNTIFS(回路定義!$A:$A,A183,回路定義!$B:$B,P183)=0),"／回路2が定義にない","")&amp;IF(AND(S183&lt;&gt;"",COUNTIFS(回路定義!$A:$A,A183,回路定義!$B:$B,S183)=0),"／回路3が定義にない",""))="","",MID(IF(AND(Y183=0,NOT(SUMPRODUCT(--ISNUMBER(SEARCH({"棚板","棚","アングル","ｱﾝｸﾞﾙ","使用不可","ケーブル","ｹｰﾌﾞﾙ","PatchPnael","パッチ","引き出し","引出","ブランク","ﾌﾞﾗﾝｸ","マネージ","ﾏﾈｰｼﾞ","PDU","ONU"},$F183&amp;"")))&gt;0),NOT(SUMPRODUCT(--ISNUMBER(SEARCH({"電源オフ","未投入","停止","未使用","撤去"},$X183&amp;"")))&gt;0)),"／電力が未記入","")&amp;IF(AND(NOT(ISNUMBER(J183)),NOT(SUMPRODUCT(--ISNUMBER(SEARCH({"棚板","棚","アングル","ｱﾝｸﾞﾙ","使用不可","ケーブル","ｹｰﾌﾞﾙ","PatchPnael","パッチ","引き出し","引出","ブランク","ﾌﾞﾗﾝｸ","マネージ","ﾏﾈｰｼﾞ","PDU","ONU"},$F183&amp;"")))&gt;0)),"／重量が未記入","")&amp;IF(AND(K183&lt;&gt;"",NOT(ISNUMBER(K183))),"／電圧が数値でない","")&amp;IF(AND(N183&lt;&gt;"",NOT(ISNUMBER(N183))),"／電流が数値でない","")&amp;IF(AND(C183&lt;&gt;"",C183&lt;1),"／開始Uが1未満","")&amp;IF(AND(E183&lt;&gt;"",E183&gt;IFERROR(VLOOKUP(A183,ラック定義!$A:$B,2,FALSE),47)),"／総Uをはみ出す","")&amp;IF(AND(A183&lt;&gt;"",COUNTIF(ラック定義!$A:$A,A183)=0),"／ラックが定義にない","")&amp;IF(AND(SUMPRODUCT((機器台帳!$A$2:$A$400=$A183)*((機器台帳!$B$2:$B$400=$B183)+(機器台帳!$B$2:$B$400="両面")+($B183="両面")&gt;0)*(機器台帳!$C$2:$C$400&lt;=$C183+$D183-1)*(機器台帳!$C$2:$C$400+機器台帳!$D$2:$D$400-1&gt;=$C183)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183&amp;"")))&gt;0)),"／同じUに他の機器(横並びなら正常)","")&amp;IF(AND(M183&lt;&gt;"",COUNTIFS(回路定義!$A:$A,A183,回路定義!$B:$B,M183)=0),"／回路1が定義にない","")&amp;IF(AND(P183&lt;&gt;"",COUNTIFS(回路定義!$A:$A,A183,回路定義!$B:$B,P183)=0),"／回路2が定義にない","")&amp;IF(AND(S183&lt;&gt;"",COUNTIFS(回路定義!$A:$A,A183,回路定義!$B:$B,S183)=0),"／回路3が定義にない",""),2,300)))</f>
        <v/>
      </c>
    </row>
    <row r="184">
      <c r="A184" s="5" t="n"/>
      <c r="B184" s="5" t="n"/>
      <c r="C184" s="5" t="n"/>
      <c r="D184" s="5" t="n"/>
      <c r="E184" s="6">
        <f>IF(C184="","",C184+D184-1)</f>
        <v/>
      </c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6">
        <f>COUNT(N184,Q184,T184)</f>
        <v/>
      </c>
      <c r="Z184" s="6">
        <f>IF(OR(K184="",NOT(ISNUMBER(K184))),"",K184*SUM(N184,Q184,T184))</f>
        <v/>
      </c>
      <c r="AA184" s="6">
        <f>IF(OR(Y184=0,N184=""),"",N184/Y184)</f>
        <v/>
      </c>
      <c r="AB184" s="6">
        <f>IF(OR(Y184=0,Q184=""),"",Q184/Y184)</f>
        <v/>
      </c>
      <c r="AC184" s="6">
        <f>IF(OR(Y184=0,T184=""),"",T184/Y184)</f>
        <v/>
      </c>
      <c r="AD184" s="6">
        <f>IF(F184="","",IF((IF(AND(Y184=0,NOT(SUMPRODUCT(--ISNUMBER(SEARCH({"棚板","棚","アングル","ｱﾝｸﾞﾙ","使用不可","ケーブル","ｹｰﾌﾞﾙ","PatchPnael","パッチ","引き出し","引出","ブランク","ﾌﾞﾗﾝｸ","マネージ","ﾏﾈｰｼﾞ","PDU","ONU"},$F184&amp;"")))&gt;0),NOT(SUMPRODUCT(--ISNUMBER(SEARCH({"電源オフ","未投入","停止","未使用","撤去"},$X184&amp;"")))&gt;0)),"／電力が未記入","")&amp;IF(AND(NOT(ISNUMBER(J184)),NOT(SUMPRODUCT(--ISNUMBER(SEARCH({"棚板","棚","アングル","ｱﾝｸﾞﾙ","使用不可","ケーブル","ｹｰﾌﾞﾙ","PatchPnael","パッチ","引き出し","引出","ブランク","ﾌﾞﾗﾝｸ","マネージ","ﾏﾈｰｼﾞ","PDU","ONU"},$F184&amp;"")))&gt;0)),"／重量が未記入","")&amp;IF(AND(K184&lt;&gt;"",NOT(ISNUMBER(K184))),"／電圧が数値でない","")&amp;IF(AND(N184&lt;&gt;"",NOT(ISNUMBER(N184))),"／電流が数値でない","")&amp;IF(AND(C184&lt;&gt;"",C184&lt;1),"／開始Uが1未満","")&amp;IF(AND(E184&lt;&gt;"",E184&gt;IFERROR(VLOOKUP(A184,ラック定義!$A:$B,2,FALSE),47)),"／総Uをはみ出す","")&amp;IF(AND(A184&lt;&gt;"",COUNTIF(ラック定義!$A:$A,A184)=0),"／ラックが定義にない","")&amp;IF(AND(SUMPRODUCT((機器台帳!$A$2:$A$400=$A184)*((機器台帳!$B$2:$B$400=$B184)+(機器台帳!$B$2:$B$400="両面")+($B184="両面")&gt;0)*(機器台帳!$C$2:$C$400&lt;=$C184+$D184-1)*(機器台帳!$C$2:$C$400+機器台帳!$D$2:$D$400-1&gt;=$C184)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184&amp;"")))&gt;0)),"／同じUに他の機器(横並びなら正常)","")&amp;IF(AND(M184&lt;&gt;"",COUNTIFS(回路定義!$A:$A,A184,回路定義!$B:$B,M184)=0),"／回路1が定義にない","")&amp;IF(AND(P184&lt;&gt;"",COUNTIFS(回路定義!$A:$A,A184,回路定義!$B:$B,P184)=0),"／回路2が定義にない","")&amp;IF(AND(S184&lt;&gt;"",COUNTIFS(回路定義!$A:$A,A184,回路定義!$B:$B,S184)=0),"／回路3が定義にない",""))="","",MID(IF(AND(Y184=0,NOT(SUMPRODUCT(--ISNUMBER(SEARCH({"棚板","棚","アングル","ｱﾝｸﾞﾙ","使用不可","ケーブル","ｹｰﾌﾞﾙ","PatchPnael","パッチ","引き出し","引出","ブランク","ﾌﾞﾗﾝｸ","マネージ","ﾏﾈｰｼﾞ","PDU","ONU"},$F184&amp;"")))&gt;0),NOT(SUMPRODUCT(--ISNUMBER(SEARCH({"電源オフ","未投入","停止","未使用","撤去"},$X184&amp;"")))&gt;0)),"／電力が未記入","")&amp;IF(AND(NOT(ISNUMBER(J184)),NOT(SUMPRODUCT(--ISNUMBER(SEARCH({"棚板","棚","アングル","ｱﾝｸﾞﾙ","使用不可","ケーブル","ｹｰﾌﾞﾙ","PatchPnael","パッチ","引き出し","引出","ブランク","ﾌﾞﾗﾝｸ","マネージ","ﾏﾈｰｼﾞ","PDU","ONU"},$F184&amp;"")))&gt;0)),"／重量が未記入","")&amp;IF(AND(K184&lt;&gt;"",NOT(ISNUMBER(K184))),"／電圧が数値でない","")&amp;IF(AND(N184&lt;&gt;"",NOT(ISNUMBER(N184))),"／電流が数値でない","")&amp;IF(AND(C184&lt;&gt;"",C184&lt;1),"／開始Uが1未満","")&amp;IF(AND(E184&lt;&gt;"",E184&gt;IFERROR(VLOOKUP(A184,ラック定義!$A:$B,2,FALSE),47)),"／総Uをはみ出す","")&amp;IF(AND(A184&lt;&gt;"",COUNTIF(ラック定義!$A:$A,A184)=0),"／ラックが定義にない","")&amp;IF(AND(SUMPRODUCT((機器台帳!$A$2:$A$400=$A184)*((機器台帳!$B$2:$B$400=$B184)+(機器台帳!$B$2:$B$400="両面")+($B184="両面")&gt;0)*(機器台帳!$C$2:$C$400&lt;=$C184+$D184-1)*(機器台帳!$C$2:$C$400+機器台帳!$D$2:$D$400-1&gt;=$C184)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184&amp;"")))&gt;0)),"／同じUに他の機器(横並びなら正常)","")&amp;IF(AND(M184&lt;&gt;"",COUNTIFS(回路定義!$A:$A,A184,回路定義!$B:$B,M184)=0),"／回路1が定義にない","")&amp;IF(AND(P184&lt;&gt;"",COUNTIFS(回路定義!$A:$A,A184,回路定義!$B:$B,P184)=0),"／回路2が定義にない","")&amp;IF(AND(S184&lt;&gt;"",COUNTIFS(回路定義!$A:$A,A184,回路定義!$B:$B,S184)=0),"／回路3が定義にない",""),2,300)))</f>
        <v/>
      </c>
    </row>
    <row r="185">
      <c r="A185" s="5" t="n"/>
      <c r="B185" s="5" t="n"/>
      <c r="C185" s="5" t="n"/>
      <c r="D185" s="5" t="n"/>
      <c r="E185" s="6">
        <f>IF(C185="","",C185+D185-1)</f>
        <v/>
      </c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6">
        <f>COUNT(N185,Q185,T185)</f>
        <v/>
      </c>
      <c r="Z185" s="6">
        <f>IF(OR(K185="",NOT(ISNUMBER(K185))),"",K185*SUM(N185,Q185,T185))</f>
        <v/>
      </c>
      <c r="AA185" s="6">
        <f>IF(OR(Y185=0,N185=""),"",N185/Y185)</f>
        <v/>
      </c>
      <c r="AB185" s="6">
        <f>IF(OR(Y185=0,Q185=""),"",Q185/Y185)</f>
        <v/>
      </c>
      <c r="AC185" s="6">
        <f>IF(OR(Y185=0,T185=""),"",T185/Y185)</f>
        <v/>
      </c>
      <c r="AD185" s="6">
        <f>IF(F185="","",IF((IF(AND(Y185=0,NOT(SUMPRODUCT(--ISNUMBER(SEARCH({"棚板","棚","アングル","ｱﾝｸﾞﾙ","使用不可","ケーブル","ｹｰﾌﾞﾙ","PatchPnael","パッチ","引き出し","引出","ブランク","ﾌﾞﾗﾝｸ","マネージ","ﾏﾈｰｼﾞ","PDU","ONU"},$F185&amp;"")))&gt;0),NOT(SUMPRODUCT(--ISNUMBER(SEARCH({"電源オフ","未投入","停止","未使用","撤去"},$X185&amp;"")))&gt;0)),"／電力が未記入","")&amp;IF(AND(NOT(ISNUMBER(J185)),NOT(SUMPRODUCT(--ISNUMBER(SEARCH({"棚板","棚","アングル","ｱﾝｸﾞﾙ","使用不可","ケーブル","ｹｰﾌﾞﾙ","PatchPnael","パッチ","引き出し","引出","ブランク","ﾌﾞﾗﾝｸ","マネージ","ﾏﾈｰｼﾞ","PDU","ONU"},$F185&amp;"")))&gt;0)),"／重量が未記入","")&amp;IF(AND(K185&lt;&gt;"",NOT(ISNUMBER(K185))),"／電圧が数値でない","")&amp;IF(AND(N185&lt;&gt;"",NOT(ISNUMBER(N185))),"／電流が数値でない","")&amp;IF(AND(C185&lt;&gt;"",C185&lt;1),"／開始Uが1未満","")&amp;IF(AND(E185&lt;&gt;"",E185&gt;IFERROR(VLOOKUP(A185,ラック定義!$A:$B,2,FALSE),47)),"／総Uをはみ出す","")&amp;IF(AND(A185&lt;&gt;"",COUNTIF(ラック定義!$A:$A,A185)=0),"／ラックが定義にない","")&amp;IF(AND(SUMPRODUCT((機器台帳!$A$2:$A$400=$A185)*((機器台帳!$B$2:$B$400=$B185)+(機器台帳!$B$2:$B$400="両面")+($B185="両面")&gt;0)*(機器台帳!$C$2:$C$400&lt;=$C185+$D185-1)*(機器台帳!$C$2:$C$400+機器台帳!$D$2:$D$400-1&gt;=$C185)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185&amp;"")))&gt;0)),"／同じUに他の機器(横並びなら正常)","")&amp;IF(AND(M185&lt;&gt;"",COUNTIFS(回路定義!$A:$A,A185,回路定義!$B:$B,M185)=0),"／回路1が定義にない","")&amp;IF(AND(P185&lt;&gt;"",COUNTIFS(回路定義!$A:$A,A185,回路定義!$B:$B,P185)=0),"／回路2が定義にない","")&amp;IF(AND(S185&lt;&gt;"",COUNTIFS(回路定義!$A:$A,A185,回路定義!$B:$B,S185)=0),"／回路3が定義にない",""))="","",MID(IF(AND(Y185=0,NOT(SUMPRODUCT(--ISNUMBER(SEARCH({"棚板","棚","アングル","ｱﾝｸﾞﾙ","使用不可","ケーブル","ｹｰﾌﾞﾙ","PatchPnael","パッチ","引き出し","引出","ブランク","ﾌﾞﾗﾝｸ","マネージ","ﾏﾈｰｼﾞ","PDU","ONU"},$F185&amp;"")))&gt;0),NOT(SUMPRODUCT(--ISNUMBER(SEARCH({"電源オフ","未投入","停止","未使用","撤去"},$X185&amp;"")))&gt;0)),"／電力が未記入","")&amp;IF(AND(NOT(ISNUMBER(J185)),NOT(SUMPRODUCT(--ISNUMBER(SEARCH({"棚板","棚","アングル","ｱﾝｸﾞﾙ","使用不可","ケーブル","ｹｰﾌﾞﾙ","PatchPnael","パッチ","引き出し","引出","ブランク","ﾌﾞﾗﾝｸ","マネージ","ﾏﾈｰｼﾞ","PDU","ONU"},$F185&amp;"")))&gt;0)),"／重量が未記入","")&amp;IF(AND(K185&lt;&gt;"",NOT(ISNUMBER(K185))),"／電圧が数値でない","")&amp;IF(AND(N185&lt;&gt;"",NOT(ISNUMBER(N185))),"／電流が数値でない","")&amp;IF(AND(C185&lt;&gt;"",C185&lt;1),"／開始Uが1未満","")&amp;IF(AND(E185&lt;&gt;"",E185&gt;IFERROR(VLOOKUP(A185,ラック定義!$A:$B,2,FALSE),47)),"／総Uをはみ出す","")&amp;IF(AND(A185&lt;&gt;"",COUNTIF(ラック定義!$A:$A,A185)=0),"／ラックが定義にない","")&amp;IF(AND(SUMPRODUCT((機器台帳!$A$2:$A$400=$A185)*((機器台帳!$B$2:$B$400=$B185)+(機器台帳!$B$2:$B$400="両面")+($B185="両面")&gt;0)*(機器台帳!$C$2:$C$400&lt;=$C185+$D185-1)*(機器台帳!$C$2:$C$400+機器台帳!$D$2:$D$400-1&gt;=$C185)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185&amp;"")))&gt;0)),"／同じUに他の機器(横並びなら正常)","")&amp;IF(AND(M185&lt;&gt;"",COUNTIFS(回路定義!$A:$A,A185,回路定義!$B:$B,M185)=0),"／回路1が定義にない","")&amp;IF(AND(P185&lt;&gt;"",COUNTIFS(回路定義!$A:$A,A185,回路定義!$B:$B,P185)=0),"／回路2が定義にない","")&amp;IF(AND(S185&lt;&gt;"",COUNTIFS(回路定義!$A:$A,A185,回路定義!$B:$B,S185)=0),"／回路3が定義にない",""),2,300)))</f>
        <v/>
      </c>
    </row>
    <row r="186">
      <c r="A186" s="5" t="n"/>
      <c r="B186" s="5" t="n"/>
      <c r="C186" s="5" t="n"/>
      <c r="D186" s="5" t="n"/>
      <c r="E186" s="6">
        <f>IF(C186="","",C186+D186-1)</f>
        <v/>
      </c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6">
        <f>COUNT(N186,Q186,T186)</f>
        <v/>
      </c>
      <c r="Z186" s="6">
        <f>IF(OR(K186="",NOT(ISNUMBER(K186))),"",K186*SUM(N186,Q186,T186))</f>
        <v/>
      </c>
      <c r="AA186" s="6">
        <f>IF(OR(Y186=0,N186=""),"",N186/Y186)</f>
        <v/>
      </c>
      <c r="AB186" s="6">
        <f>IF(OR(Y186=0,Q186=""),"",Q186/Y186)</f>
        <v/>
      </c>
      <c r="AC186" s="6">
        <f>IF(OR(Y186=0,T186=""),"",T186/Y186)</f>
        <v/>
      </c>
      <c r="AD186" s="6">
        <f>IF(F186="","",IF((IF(AND(Y186=0,NOT(SUMPRODUCT(--ISNUMBER(SEARCH({"棚板","棚","アングル","ｱﾝｸﾞﾙ","使用不可","ケーブル","ｹｰﾌﾞﾙ","PatchPnael","パッチ","引き出し","引出","ブランク","ﾌﾞﾗﾝｸ","マネージ","ﾏﾈｰｼﾞ","PDU","ONU"},$F186&amp;"")))&gt;0),NOT(SUMPRODUCT(--ISNUMBER(SEARCH({"電源オフ","未投入","停止","未使用","撤去"},$X186&amp;"")))&gt;0)),"／電力が未記入","")&amp;IF(AND(NOT(ISNUMBER(J186)),NOT(SUMPRODUCT(--ISNUMBER(SEARCH({"棚板","棚","アングル","ｱﾝｸﾞﾙ","使用不可","ケーブル","ｹｰﾌﾞﾙ","PatchPnael","パッチ","引き出し","引出","ブランク","ﾌﾞﾗﾝｸ","マネージ","ﾏﾈｰｼﾞ","PDU","ONU"},$F186&amp;"")))&gt;0)),"／重量が未記入","")&amp;IF(AND(K186&lt;&gt;"",NOT(ISNUMBER(K186))),"／電圧が数値でない","")&amp;IF(AND(N186&lt;&gt;"",NOT(ISNUMBER(N186))),"／電流が数値でない","")&amp;IF(AND(C186&lt;&gt;"",C186&lt;1),"／開始Uが1未満","")&amp;IF(AND(E186&lt;&gt;"",E186&gt;IFERROR(VLOOKUP(A186,ラック定義!$A:$B,2,FALSE),47)),"／総Uをはみ出す","")&amp;IF(AND(A186&lt;&gt;"",COUNTIF(ラック定義!$A:$A,A186)=0),"／ラックが定義にない","")&amp;IF(AND(SUMPRODUCT((機器台帳!$A$2:$A$400=$A186)*((機器台帳!$B$2:$B$400=$B186)+(機器台帳!$B$2:$B$400="両面")+($B186="両面")&gt;0)*(機器台帳!$C$2:$C$400&lt;=$C186+$D186-1)*(機器台帳!$C$2:$C$400+機器台帳!$D$2:$D$400-1&gt;=$C186)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186&amp;"")))&gt;0)),"／同じUに他の機器(横並びなら正常)","")&amp;IF(AND(M186&lt;&gt;"",COUNTIFS(回路定義!$A:$A,A186,回路定義!$B:$B,M186)=0),"／回路1が定義にない","")&amp;IF(AND(P186&lt;&gt;"",COUNTIFS(回路定義!$A:$A,A186,回路定義!$B:$B,P186)=0),"／回路2が定義にない","")&amp;IF(AND(S186&lt;&gt;"",COUNTIFS(回路定義!$A:$A,A186,回路定義!$B:$B,S186)=0),"／回路3が定義にない",""))="","",MID(IF(AND(Y186=0,NOT(SUMPRODUCT(--ISNUMBER(SEARCH({"棚板","棚","アングル","ｱﾝｸﾞﾙ","使用不可","ケーブル","ｹｰﾌﾞﾙ","PatchPnael","パッチ","引き出し","引出","ブランク","ﾌﾞﾗﾝｸ","マネージ","ﾏﾈｰｼﾞ","PDU","ONU"},$F186&amp;"")))&gt;0),NOT(SUMPRODUCT(--ISNUMBER(SEARCH({"電源オフ","未投入","停止","未使用","撤去"},$X186&amp;"")))&gt;0)),"／電力が未記入","")&amp;IF(AND(NOT(ISNUMBER(J186)),NOT(SUMPRODUCT(--ISNUMBER(SEARCH({"棚板","棚","アングル","ｱﾝｸﾞﾙ","使用不可","ケーブル","ｹｰﾌﾞﾙ","PatchPnael","パッチ","引き出し","引出","ブランク","ﾌﾞﾗﾝｸ","マネージ","ﾏﾈｰｼﾞ","PDU","ONU"},$F186&amp;"")))&gt;0)),"／重量が未記入","")&amp;IF(AND(K186&lt;&gt;"",NOT(ISNUMBER(K186))),"／電圧が数値でない","")&amp;IF(AND(N186&lt;&gt;"",NOT(ISNUMBER(N186))),"／電流が数値でない","")&amp;IF(AND(C186&lt;&gt;"",C186&lt;1),"／開始Uが1未満","")&amp;IF(AND(E186&lt;&gt;"",E186&gt;IFERROR(VLOOKUP(A186,ラック定義!$A:$B,2,FALSE),47)),"／総Uをはみ出す","")&amp;IF(AND(A186&lt;&gt;"",COUNTIF(ラック定義!$A:$A,A186)=0),"／ラックが定義にない","")&amp;IF(AND(SUMPRODUCT((機器台帳!$A$2:$A$400=$A186)*((機器台帳!$B$2:$B$400=$B186)+(機器台帳!$B$2:$B$400="両面")+($B186="両面")&gt;0)*(機器台帳!$C$2:$C$400&lt;=$C186+$D186-1)*(機器台帳!$C$2:$C$400+機器台帳!$D$2:$D$400-1&gt;=$C186)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186&amp;"")))&gt;0)),"／同じUに他の機器(横並びなら正常)","")&amp;IF(AND(M186&lt;&gt;"",COUNTIFS(回路定義!$A:$A,A186,回路定義!$B:$B,M186)=0),"／回路1が定義にない","")&amp;IF(AND(P186&lt;&gt;"",COUNTIFS(回路定義!$A:$A,A186,回路定義!$B:$B,P186)=0),"／回路2が定義にない","")&amp;IF(AND(S186&lt;&gt;"",COUNTIFS(回路定義!$A:$A,A186,回路定義!$B:$B,S186)=0),"／回路3が定義にない",""),2,300)))</f>
        <v/>
      </c>
    </row>
    <row r="187">
      <c r="A187" s="5" t="n"/>
      <c r="B187" s="5" t="n"/>
      <c r="C187" s="5" t="n"/>
      <c r="D187" s="5" t="n"/>
      <c r="E187" s="6">
        <f>IF(C187="","",C187+D187-1)</f>
        <v/>
      </c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6">
        <f>COUNT(N187,Q187,T187)</f>
        <v/>
      </c>
      <c r="Z187" s="6">
        <f>IF(OR(K187="",NOT(ISNUMBER(K187))),"",K187*SUM(N187,Q187,T187))</f>
        <v/>
      </c>
      <c r="AA187" s="6">
        <f>IF(OR(Y187=0,N187=""),"",N187/Y187)</f>
        <v/>
      </c>
      <c r="AB187" s="6">
        <f>IF(OR(Y187=0,Q187=""),"",Q187/Y187)</f>
        <v/>
      </c>
      <c r="AC187" s="6">
        <f>IF(OR(Y187=0,T187=""),"",T187/Y187)</f>
        <v/>
      </c>
      <c r="AD187" s="6">
        <f>IF(F187="","",IF((IF(AND(Y187=0,NOT(SUMPRODUCT(--ISNUMBER(SEARCH({"棚板","棚","アングル","ｱﾝｸﾞﾙ","使用不可","ケーブル","ｹｰﾌﾞﾙ","PatchPnael","パッチ","引き出し","引出","ブランク","ﾌﾞﾗﾝｸ","マネージ","ﾏﾈｰｼﾞ","PDU","ONU"},$F187&amp;"")))&gt;0),NOT(SUMPRODUCT(--ISNUMBER(SEARCH({"電源オフ","未投入","停止","未使用","撤去"},$X187&amp;"")))&gt;0)),"／電力が未記入","")&amp;IF(AND(NOT(ISNUMBER(J187)),NOT(SUMPRODUCT(--ISNUMBER(SEARCH({"棚板","棚","アングル","ｱﾝｸﾞﾙ","使用不可","ケーブル","ｹｰﾌﾞﾙ","PatchPnael","パッチ","引き出し","引出","ブランク","ﾌﾞﾗﾝｸ","マネージ","ﾏﾈｰｼﾞ","PDU","ONU"},$F187&amp;"")))&gt;0)),"／重量が未記入","")&amp;IF(AND(K187&lt;&gt;"",NOT(ISNUMBER(K187))),"／電圧が数値でない","")&amp;IF(AND(N187&lt;&gt;"",NOT(ISNUMBER(N187))),"／電流が数値でない","")&amp;IF(AND(C187&lt;&gt;"",C187&lt;1),"／開始Uが1未満","")&amp;IF(AND(E187&lt;&gt;"",E187&gt;IFERROR(VLOOKUP(A187,ラック定義!$A:$B,2,FALSE),47)),"／総Uをはみ出す","")&amp;IF(AND(A187&lt;&gt;"",COUNTIF(ラック定義!$A:$A,A187)=0),"／ラックが定義にない","")&amp;IF(AND(SUMPRODUCT((機器台帳!$A$2:$A$400=$A187)*((機器台帳!$B$2:$B$400=$B187)+(機器台帳!$B$2:$B$400="両面")+($B187="両面")&gt;0)*(機器台帳!$C$2:$C$400&lt;=$C187+$D187-1)*(機器台帳!$C$2:$C$400+機器台帳!$D$2:$D$400-1&gt;=$C187)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187&amp;"")))&gt;0)),"／同じUに他の機器(横並びなら正常)","")&amp;IF(AND(M187&lt;&gt;"",COUNTIFS(回路定義!$A:$A,A187,回路定義!$B:$B,M187)=0),"／回路1が定義にない","")&amp;IF(AND(P187&lt;&gt;"",COUNTIFS(回路定義!$A:$A,A187,回路定義!$B:$B,P187)=0),"／回路2が定義にない","")&amp;IF(AND(S187&lt;&gt;"",COUNTIFS(回路定義!$A:$A,A187,回路定義!$B:$B,S187)=0),"／回路3が定義にない",""))="","",MID(IF(AND(Y187=0,NOT(SUMPRODUCT(--ISNUMBER(SEARCH({"棚板","棚","アングル","ｱﾝｸﾞﾙ","使用不可","ケーブル","ｹｰﾌﾞﾙ","PatchPnael","パッチ","引き出し","引出","ブランク","ﾌﾞﾗﾝｸ","マネージ","ﾏﾈｰｼﾞ","PDU","ONU"},$F187&amp;"")))&gt;0),NOT(SUMPRODUCT(--ISNUMBER(SEARCH({"電源オフ","未投入","停止","未使用","撤去"},$X187&amp;"")))&gt;0)),"／電力が未記入","")&amp;IF(AND(NOT(ISNUMBER(J187)),NOT(SUMPRODUCT(--ISNUMBER(SEARCH({"棚板","棚","アングル","ｱﾝｸﾞﾙ","使用不可","ケーブル","ｹｰﾌﾞﾙ","PatchPnael","パッチ","引き出し","引出","ブランク","ﾌﾞﾗﾝｸ","マネージ","ﾏﾈｰｼﾞ","PDU","ONU"},$F187&amp;"")))&gt;0)),"／重量が未記入","")&amp;IF(AND(K187&lt;&gt;"",NOT(ISNUMBER(K187))),"／電圧が数値でない","")&amp;IF(AND(N187&lt;&gt;"",NOT(ISNUMBER(N187))),"／電流が数値でない","")&amp;IF(AND(C187&lt;&gt;"",C187&lt;1),"／開始Uが1未満","")&amp;IF(AND(E187&lt;&gt;"",E187&gt;IFERROR(VLOOKUP(A187,ラック定義!$A:$B,2,FALSE),47)),"／総Uをはみ出す","")&amp;IF(AND(A187&lt;&gt;"",COUNTIF(ラック定義!$A:$A,A187)=0),"／ラックが定義にない","")&amp;IF(AND(SUMPRODUCT((機器台帳!$A$2:$A$400=$A187)*((機器台帳!$B$2:$B$400=$B187)+(機器台帳!$B$2:$B$400="両面")+($B187="両面")&gt;0)*(機器台帳!$C$2:$C$400&lt;=$C187+$D187-1)*(機器台帳!$C$2:$C$400+機器台帳!$D$2:$D$400-1&gt;=$C187)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187&amp;"")))&gt;0)),"／同じUに他の機器(横並びなら正常)","")&amp;IF(AND(M187&lt;&gt;"",COUNTIFS(回路定義!$A:$A,A187,回路定義!$B:$B,M187)=0),"／回路1が定義にない","")&amp;IF(AND(P187&lt;&gt;"",COUNTIFS(回路定義!$A:$A,A187,回路定義!$B:$B,P187)=0),"／回路2が定義にない","")&amp;IF(AND(S187&lt;&gt;"",COUNTIFS(回路定義!$A:$A,A187,回路定義!$B:$B,S187)=0),"／回路3が定義にない",""),2,300)))</f>
        <v/>
      </c>
    </row>
    <row r="188">
      <c r="A188" s="5" t="n"/>
      <c r="B188" s="5" t="n"/>
      <c r="C188" s="5" t="n"/>
      <c r="D188" s="5" t="n"/>
      <c r="E188" s="6">
        <f>IF(C188="","",C188+D188-1)</f>
        <v/>
      </c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6">
        <f>COUNT(N188,Q188,T188)</f>
        <v/>
      </c>
      <c r="Z188" s="6">
        <f>IF(OR(K188="",NOT(ISNUMBER(K188))),"",K188*SUM(N188,Q188,T188))</f>
        <v/>
      </c>
      <c r="AA188" s="6">
        <f>IF(OR(Y188=0,N188=""),"",N188/Y188)</f>
        <v/>
      </c>
      <c r="AB188" s="6">
        <f>IF(OR(Y188=0,Q188=""),"",Q188/Y188)</f>
        <v/>
      </c>
      <c r="AC188" s="6">
        <f>IF(OR(Y188=0,T188=""),"",T188/Y188)</f>
        <v/>
      </c>
      <c r="AD188" s="6">
        <f>IF(F188="","",IF((IF(AND(Y188=0,NOT(SUMPRODUCT(--ISNUMBER(SEARCH({"棚板","棚","アングル","ｱﾝｸﾞﾙ","使用不可","ケーブル","ｹｰﾌﾞﾙ","PatchPnael","パッチ","引き出し","引出","ブランク","ﾌﾞﾗﾝｸ","マネージ","ﾏﾈｰｼﾞ","PDU","ONU"},$F188&amp;"")))&gt;0),NOT(SUMPRODUCT(--ISNUMBER(SEARCH({"電源オフ","未投入","停止","未使用","撤去"},$X188&amp;"")))&gt;0)),"／電力が未記入","")&amp;IF(AND(NOT(ISNUMBER(J188)),NOT(SUMPRODUCT(--ISNUMBER(SEARCH({"棚板","棚","アングル","ｱﾝｸﾞﾙ","使用不可","ケーブル","ｹｰﾌﾞﾙ","PatchPnael","パッチ","引き出し","引出","ブランク","ﾌﾞﾗﾝｸ","マネージ","ﾏﾈｰｼﾞ","PDU","ONU"},$F188&amp;"")))&gt;0)),"／重量が未記入","")&amp;IF(AND(K188&lt;&gt;"",NOT(ISNUMBER(K188))),"／電圧が数値でない","")&amp;IF(AND(N188&lt;&gt;"",NOT(ISNUMBER(N188))),"／電流が数値でない","")&amp;IF(AND(C188&lt;&gt;"",C188&lt;1),"／開始Uが1未満","")&amp;IF(AND(E188&lt;&gt;"",E188&gt;IFERROR(VLOOKUP(A188,ラック定義!$A:$B,2,FALSE),47)),"／総Uをはみ出す","")&amp;IF(AND(A188&lt;&gt;"",COUNTIF(ラック定義!$A:$A,A188)=0),"／ラックが定義にない","")&amp;IF(AND(SUMPRODUCT((機器台帳!$A$2:$A$400=$A188)*((機器台帳!$B$2:$B$400=$B188)+(機器台帳!$B$2:$B$400="両面")+($B188="両面")&gt;0)*(機器台帳!$C$2:$C$400&lt;=$C188+$D188-1)*(機器台帳!$C$2:$C$400+機器台帳!$D$2:$D$400-1&gt;=$C188)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188&amp;"")))&gt;0)),"／同じUに他の機器(横並びなら正常)","")&amp;IF(AND(M188&lt;&gt;"",COUNTIFS(回路定義!$A:$A,A188,回路定義!$B:$B,M188)=0),"／回路1が定義にない","")&amp;IF(AND(P188&lt;&gt;"",COUNTIFS(回路定義!$A:$A,A188,回路定義!$B:$B,P188)=0),"／回路2が定義にない","")&amp;IF(AND(S188&lt;&gt;"",COUNTIFS(回路定義!$A:$A,A188,回路定義!$B:$B,S188)=0),"／回路3が定義にない",""))="","",MID(IF(AND(Y188=0,NOT(SUMPRODUCT(--ISNUMBER(SEARCH({"棚板","棚","アングル","ｱﾝｸﾞﾙ","使用不可","ケーブル","ｹｰﾌﾞﾙ","PatchPnael","パッチ","引き出し","引出","ブランク","ﾌﾞﾗﾝｸ","マネージ","ﾏﾈｰｼﾞ","PDU","ONU"},$F188&amp;"")))&gt;0),NOT(SUMPRODUCT(--ISNUMBER(SEARCH({"電源オフ","未投入","停止","未使用","撤去"},$X188&amp;"")))&gt;0)),"／電力が未記入","")&amp;IF(AND(NOT(ISNUMBER(J188)),NOT(SUMPRODUCT(--ISNUMBER(SEARCH({"棚板","棚","アングル","ｱﾝｸﾞﾙ","使用不可","ケーブル","ｹｰﾌﾞﾙ","PatchPnael","パッチ","引き出し","引出","ブランク","ﾌﾞﾗﾝｸ","マネージ","ﾏﾈｰｼﾞ","PDU","ONU"},$F188&amp;"")))&gt;0)),"／重量が未記入","")&amp;IF(AND(K188&lt;&gt;"",NOT(ISNUMBER(K188))),"／電圧が数値でない","")&amp;IF(AND(N188&lt;&gt;"",NOT(ISNUMBER(N188))),"／電流が数値でない","")&amp;IF(AND(C188&lt;&gt;"",C188&lt;1),"／開始Uが1未満","")&amp;IF(AND(E188&lt;&gt;"",E188&gt;IFERROR(VLOOKUP(A188,ラック定義!$A:$B,2,FALSE),47)),"／総Uをはみ出す","")&amp;IF(AND(A188&lt;&gt;"",COUNTIF(ラック定義!$A:$A,A188)=0),"／ラックが定義にない","")&amp;IF(AND(SUMPRODUCT((機器台帳!$A$2:$A$400=$A188)*((機器台帳!$B$2:$B$400=$B188)+(機器台帳!$B$2:$B$400="両面")+($B188="両面")&gt;0)*(機器台帳!$C$2:$C$400&lt;=$C188+$D188-1)*(機器台帳!$C$2:$C$400+機器台帳!$D$2:$D$400-1&gt;=$C188)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188&amp;"")))&gt;0)),"／同じUに他の機器(横並びなら正常)","")&amp;IF(AND(M188&lt;&gt;"",COUNTIFS(回路定義!$A:$A,A188,回路定義!$B:$B,M188)=0),"／回路1が定義にない","")&amp;IF(AND(P188&lt;&gt;"",COUNTIFS(回路定義!$A:$A,A188,回路定義!$B:$B,P188)=0),"／回路2が定義にない","")&amp;IF(AND(S188&lt;&gt;"",COUNTIFS(回路定義!$A:$A,A188,回路定義!$B:$B,S188)=0),"／回路3が定義にない",""),2,300)))</f>
        <v/>
      </c>
    </row>
    <row r="189">
      <c r="A189" s="5" t="n"/>
      <c r="B189" s="5" t="n"/>
      <c r="C189" s="5" t="n"/>
      <c r="D189" s="5" t="n"/>
      <c r="E189" s="6">
        <f>IF(C189="","",C189+D189-1)</f>
        <v/>
      </c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6">
        <f>COUNT(N189,Q189,T189)</f>
        <v/>
      </c>
      <c r="Z189" s="6">
        <f>IF(OR(K189="",NOT(ISNUMBER(K189))),"",K189*SUM(N189,Q189,T189))</f>
        <v/>
      </c>
      <c r="AA189" s="6">
        <f>IF(OR(Y189=0,N189=""),"",N189/Y189)</f>
        <v/>
      </c>
      <c r="AB189" s="6">
        <f>IF(OR(Y189=0,Q189=""),"",Q189/Y189)</f>
        <v/>
      </c>
      <c r="AC189" s="6">
        <f>IF(OR(Y189=0,T189=""),"",T189/Y189)</f>
        <v/>
      </c>
      <c r="AD189" s="6">
        <f>IF(F189="","",IF((IF(AND(Y189=0,NOT(SUMPRODUCT(--ISNUMBER(SEARCH({"棚板","棚","アングル","ｱﾝｸﾞﾙ","使用不可","ケーブル","ｹｰﾌﾞﾙ","PatchPnael","パッチ","引き出し","引出","ブランク","ﾌﾞﾗﾝｸ","マネージ","ﾏﾈｰｼﾞ","PDU","ONU"},$F189&amp;"")))&gt;0),NOT(SUMPRODUCT(--ISNUMBER(SEARCH({"電源オフ","未投入","停止","未使用","撤去"},$X189&amp;"")))&gt;0)),"／電力が未記入","")&amp;IF(AND(NOT(ISNUMBER(J189)),NOT(SUMPRODUCT(--ISNUMBER(SEARCH({"棚板","棚","アングル","ｱﾝｸﾞﾙ","使用不可","ケーブル","ｹｰﾌﾞﾙ","PatchPnael","パッチ","引き出し","引出","ブランク","ﾌﾞﾗﾝｸ","マネージ","ﾏﾈｰｼﾞ","PDU","ONU"},$F189&amp;"")))&gt;0)),"／重量が未記入","")&amp;IF(AND(K189&lt;&gt;"",NOT(ISNUMBER(K189))),"／電圧が数値でない","")&amp;IF(AND(N189&lt;&gt;"",NOT(ISNUMBER(N189))),"／電流が数値でない","")&amp;IF(AND(C189&lt;&gt;"",C189&lt;1),"／開始Uが1未満","")&amp;IF(AND(E189&lt;&gt;"",E189&gt;IFERROR(VLOOKUP(A189,ラック定義!$A:$B,2,FALSE),47)),"／総Uをはみ出す","")&amp;IF(AND(A189&lt;&gt;"",COUNTIF(ラック定義!$A:$A,A189)=0),"／ラックが定義にない","")&amp;IF(AND(SUMPRODUCT((機器台帳!$A$2:$A$400=$A189)*((機器台帳!$B$2:$B$400=$B189)+(機器台帳!$B$2:$B$400="両面")+($B189="両面")&gt;0)*(機器台帳!$C$2:$C$400&lt;=$C189+$D189-1)*(機器台帳!$C$2:$C$400+機器台帳!$D$2:$D$400-1&gt;=$C189)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189&amp;"")))&gt;0)),"／同じUに他の機器(横並びなら正常)","")&amp;IF(AND(M189&lt;&gt;"",COUNTIFS(回路定義!$A:$A,A189,回路定義!$B:$B,M189)=0),"／回路1が定義にない","")&amp;IF(AND(P189&lt;&gt;"",COUNTIFS(回路定義!$A:$A,A189,回路定義!$B:$B,P189)=0),"／回路2が定義にない","")&amp;IF(AND(S189&lt;&gt;"",COUNTIFS(回路定義!$A:$A,A189,回路定義!$B:$B,S189)=0),"／回路3が定義にない",""))="","",MID(IF(AND(Y189=0,NOT(SUMPRODUCT(--ISNUMBER(SEARCH({"棚板","棚","アングル","ｱﾝｸﾞﾙ","使用不可","ケーブル","ｹｰﾌﾞﾙ","PatchPnael","パッチ","引き出し","引出","ブランク","ﾌﾞﾗﾝｸ","マネージ","ﾏﾈｰｼﾞ","PDU","ONU"},$F189&amp;"")))&gt;0),NOT(SUMPRODUCT(--ISNUMBER(SEARCH({"電源オフ","未投入","停止","未使用","撤去"},$X189&amp;"")))&gt;0)),"／電力が未記入","")&amp;IF(AND(NOT(ISNUMBER(J189)),NOT(SUMPRODUCT(--ISNUMBER(SEARCH({"棚板","棚","アングル","ｱﾝｸﾞﾙ","使用不可","ケーブル","ｹｰﾌﾞﾙ","PatchPnael","パッチ","引き出し","引出","ブランク","ﾌﾞﾗﾝｸ","マネージ","ﾏﾈｰｼﾞ","PDU","ONU"},$F189&amp;"")))&gt;0)),"／重量が未記入","")&amp;IF(AND(K189&lt;&gt;"",NOT(ISNUMBER(K189))),"／電圧が数値でない","")&amp;IF(AND(N189&lt;&gt;"",NOT(ISNUMBER(N189))),"／電流が数値でない","")&amp;IF(AND(C189&lt;&gt;"",C189&lt;1),"／開始Uが1未満","")&amp;IF(AND(E189&lt;&gt;"",E189&gt;IFERROR(VLOOKUP(A189,ラック定義!$A:$B,2,FALSE),47)),"／総Uをはみ出す","")&amp;IF(AND(A189&lt;&gt;"",COUNTIF(ラック定義!$A:$A,A189)=0),"／ラックが定義にない","")&amp;IF(AND(SUMPRODUCT((機器台帳!$A$2:$A$400=$A189)*((機器台帳!$B$2:$B$400=$B189)+(機器台帳!$B$2:$B$400="両面")+($B189="両面")&gt;0)*(機器台帳!$C$2:$C$400&lt;=$C189+$D189-1)*(機器台帳!$C$2:$C$400+機器台帳!$D$2:$D$400-1&gt;=$C189)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189&amp;"")))&gt;0)),"／同じUに他の機器(横並びなら正常)","")&amp;IF(AND(M189&lt;&gt;"",COUNTIFS(回路定義!$A:$A,A189,回路定義!$B:$B,M189)=0),"／回路1が定義にない","")&amp;IF(AND(P189&lt;&gt;"",COUNTIFS(回路定義!$A:$A,A189,回路定義!$B:$B,P189)=0),"／回路2が定義にない","")&amp;IF(AND(S189&lt;&gt;"",COUNTIFS(回路定義!$A:$A,A189,回路定義!$B:$B,S189)=0),"／回路3が定義にない",""),2,300)))</f>
        <v/>
      </c>
    </row>
    <row r="190">
      <c r="A190" s="5" t="n"/>
      <c r="B190" s="5" t="n"/>
      <c r="C190" s="5" t="n"/>
      <c r="D190" s="5" t="n"/>
      <c r="E190" s="6">
        <f>IF(C190="","",C190+D190-1)</f>
        <v/>
      </c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6">
        <f>COUNT(N190,Q190,T190)</f>
        <v/>
      </c>
      <c r="Z190" s="6">
        <f>IF(OR(K190="",NOT(ISNUMBER(K190))),"",K190*SUM(N190,Q190,T190))</f>
        <v/>
      </c>
      <c r="AA190" s="6">
        <f>IF(OR(Y190=0,N190=""),"",N190/Y190)</f>
        <v/>
      </c>
      <c r="AB190" s="6">
        <f>IF(OR(Y190=0,Q190=""),"",Q190/Y190)</f>
        <v/>
      </c>
      <c r="AC190" s="6">
        <f>IF(OR(Y190=0,T190=""),"",T190/Y190)</f>
        <v/>
      </c>
      <c r="AD190" s="6">
        <f>IF(F190="","",IF((IF(AND(Y190=0,NOT(SUMPRODUCT(--ISNUMBER(SEARCH({"棚板","棚","アングル","ｱﾝｸﾞﾙ","使用不可","ケーブル","ｹｰﾌﾞﾙ","PatchPnael","パッチ","引き出し","引出","ブランク","ﾌﾞﾗﾝｸ","マネージ","ﾏﾈｰｼﾞ","PDU","ONU"},$F190&amp;"")))&gt;0),NOT(SUMPRODUCT(--ISNUMBER(SEARCH({"電源オフ","未投入","停止","未使用","撤去"},$X190&amp;"")))&gt;0)),"／電力が未記入","")&amp;IF(AND(NOT(ISNUMBER(J190)),NOT(SUMPRODUCT(--ISNUMBER(SEARCH({"棚板","棚","アングル","ｱﾝｸﾞﾙ","使用不可","ケーブル","ｹｰﾌﾞﾙ","PatchPnael","パッチ","引き出し","引出","ブランク","ﾌﾞﾗﾝｸ","マネージ","ﾏﾈｰｼﾞ","PDU","ONU"},$F190&amp;"")))&gt;0)),"／重量が未記入","")&amp;IF(AND(K190&lt;&gt;"",NOT(ISNUMBER(K190))),"／電圧が数値でない","")&amp;IF(AND(N190&lt;&gt;"",NOT(ISNUMBER(N190))),"／電流が数値でない","")&amp;IF(AND(C190&lt;&gt;"",C190&lt;1),"／開始Uが1未満","")&amp;IF(AND(E190&lt;&gt;"",E190&gt;IFERROR(VLOOKUP(A190,ラック定義!$A:$B,2,FALSE),47)),"／総Uをはみ出す","")&amp;IF(AND(A190&lt;&gt;"",COUNTIF(ラック定義!$A:$A,A190)=0),"／ラックが定義にない","")&amp;IF(AND(SUMPRODUCT((機器台帳!$A$2:$A$400=$A190)*((機器台帳!$B$2:$B$400=$B190)+(機器台帳!$B$2:$B$400="両面")+($B190="両面")&gt;0)*(機器台帳!$C$2:$C$400&lt;=$C190+$D190-1)*(機器台帳!$C$2:$C$400+機器台帳!$D$2:$D$400-1&gt;=$C190)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190&amp;"")))&gt;0)),"／同じUに他の機器(横並びなら正常)","")&amp;IF(AND(M190&lt;&gt;"",COUNTIFS(回路定義!$A:$A,A190,回路定義!$B:$B,M190)=0),"／回路1が定義にない","")&amp;IF(AND(P190&lt;&gt;"",COUNTIFS(回路定義!$A:$A,A190,回路定義!$B:$B,P190)=0),"／回路2が定義にない","")&amp;IF(AND(S190&lt;&gt;"",COUNTIFS(回路定義!$A:$A,A190,回路定義!$B:$B,S190)=0),"／回路3が定義にない",""))="","",MID(IF(AND(Y190=0,NOT(SUMPRODUCT(--ISNUMBER(SEARCH({"棚板","棚","アングル","ｱﾝｸﾞﾙ","使用不可","ケーブル","ｹｰﾌﾞﾙ","PatchPnael","パッチ","引き出し","引出","ブランク","ﾌﾞﾗﾝｸ","マネージ","ﾏﾈｰｼﾞ","PDU","ONU"},$F190&amp;"")))&gt;0),NOT(SUMPRODUCT(--ISNUMBER(SEARCH({"電源オフ","未投入","停止","未使用","撤去"},$X190&amp;"")))&gt;0)),"／電力が未記入","")&amp;IF(AND(NOT(ISNUMBER(J190)),NOT(SUMPRODUCT(--ISNUMBER(SEARCH({"棚板","棚","アングル","ｱﾝｸﾞﾙ","使用不可","ケーブル","ｹｰﾌﾞﾙ","PatchPnael","パッチ","引き出し","引出","ブランク","ﾌﾞﾗﾝｸ","マネージ","ﾏﾈｰｼﾞ","PDU","ONU"},$F190&amp;"")))&gt;0)),"／重量が未記入","")&amp;IF(AND(K190&lt;&gt;"",NOT(ISNUMBER(K190))),"／電圧が数値でない","")&amp;IF(AND(N190&lt;&gt;"",NOT(ISNUMBER(N190))),"／電流が数値でない","")&amp;IF(AND(C190&lt;&gt;"",C190&lt;1),"／開始Uが1未満","")&amp;IF(AND(E190&lt;&gt;"",E190&gt;IFERROR(VLOOKUP(A190,ラック定義!$A:$B,2,FALSE),47)),"／総Uをはみ出す","")&amp;IF(AND(A190&lt;&gt;"",COUNTIF(ラック定義!$A:$A,A190)=0),"／ラックが定義にない","")&amp;IF(AND(SUMPRODUCT((機器台帳!$A$2:$A$400=$A190)*((機器台帳!$B$2:$B$400=$B190)+(機器台帳!$B$2:$B$400="両面")+($B190="両面")&gt;0)*(機器台帳!$C$2:$C$400&lt;=$C190+$D190-1)*(機器台帳!$C$2:$C$400+機器台帳!$D$2:$D$400-1&gt;=$C190)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190&amp;"")))&gt;0)),"／同じUに他の機器(横並びなら正常)","")&amp;IF(AND(M190&lt;&gt;"",COUNTIFS(回路定義!$A:$A,A190,回路定義!$B:$B,M190)=0),"／回路1が定義にない","")&amp;IF(AND(P190&lt;&gt;"",COUNTIFS(回路定義!$A:$A,A190,回路定義!$B:$B,P190)=0),"／回路2が定義にない","")&amp;IF(AND(S190&lt;&gt;"",COUNTIFS(回路定義!$A:$A,A190,回路定義!$B:$B,S190)=0),"／回路3が定義にない",""),2,300)))</f>
        <v/>
      </c>
    </row>
    <row r="191">
      <c r="A191" s="5" t="n"/>
      <c r="B191" s="5" t="n"/>
      <c r="C191" s="5" t="n"/>
      <c r="D191" s="5" t="n"/>
      <c r="E191" s="6">
        <f>IF(C191="","",C191+D191-1)</f>
        <v/>
      </c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6">
        <f>COUNT(N191,Q191,T191)</f>
        <v/>
      </c>
      <c r="Z191" s="6">
        <f>IF(OR(K191="",NOT(ISNUMBER(K191))),"",K191*SUM(N191,Q191,T191))</f>
        <v/>
      </c>
      <c r="AA191" s="6">
        <f>IF(OR(Y191=0,N191=""),"",N191/Y191)</f>
        <v/>
      </c>
      <c r="AB191" s="6">
        <f>IF(OR(Y191=0,Q191=""),"",Q191/Y191)</f>
        <v/>
      </c>
      <c r="AC191" s="6">
        <f>IF(OR(Y191=0,T191=""),"",T191/Y191)</f>
        <v/>
      </c>
      <c r="AD191" s="6">
        <f>IF(F191="","",IF((IF(AND(Y191=0,NOT(SUMPRODUCT(--ISNUMBER(SEARCH({"棚板","棚","アングル","ｱﾝｸﾞﾙ","使用不可","ケーブル","ｹｰﾌﾞﾙ","PatchPnael","パッチ","引き出し","引出","ブランク","ﾌﾞﾗﾝｸ","マネージ","ﾏﾈｰｼﾞ","PDU","ONU"},$F191&amp;"")))&gt;0),NOT(SUMPRODUCT(--ISNUMBER(SEARCH({"電源オフ","未投入","停止","未使用","撤去"},$X191&amp;"")))&gt;0)),"／電力が未記入","")&amp;IF(AND(NOT(ISNUMBER(J191)),NOT(SUMPRODUCT(--ISNUMBER(SEARCH({"棚板","棚","アングル","ｱﾝｸﾞﾙ","使用不可","ケーブル","ｹｰﾌﾞﾙ","PatchPnael","パッチ","引き出し","引出","ブランク","ﾌﾞﾗﾝｸ","マネージ","ﾏﾈｰｼﾞ","PDU","ONU"},$F191&amp;"")))&gt;0)),"／重量が未記入","")&amp;IF(AND(K191&lt;&gt;"",NOT(ISNUMBER(K191))),"／電圧が数値でない","")&amp;IF(AND(N191&lt;&gt;"",NOT(ISNUMBER(N191))),"／電流が数値でない","")&amp;IF(AND(C191&lt;&gt;"",C191&lt;1),"／開始Uが1未満","")&amp;IF(AND(E191&lt;&gt;"",E191&gt;IFERROR(VLOOKUP(A191,ラック定義!$A:$B,2,FALSE),47)),"／総Uをはみ出す","")&amp;IF(AND(A191&lt;&gt;"",COUNTIF(ラック定義!$A:$A,A191)=0),"／ラックが定義にない","")&amp;IF(AND(SUMPRODUCT((機器台帳!$A$2:$A$400=$A191)*((機器台帳!$B$2:$B$400=$B191)+(機器台帳!$B$2:$B$400="両面")+($B191="両面")&gt;0)*(機器台帳!$C$2:$C$400&lt;=$C191+$D191-1)*(機器台帳!$C$2:$C$400+機器台帳!$D$2:$D$400-1&gt;=$C191)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191&amp;"")))&gt;0)),"／同じUに他の機器(横並びなら正常)","")&amp;IF(AND(M191&lt;&gt;"",COUNTIFS(回路定義!$A:$A,A191,回路定義!$B:$B,M191)=0),"／回路1が定義にない","")&amp;IF(AND(P191&lt;&gt;"",COUNTIFS(回路定義!$A:$A,A191,回路定義!$B:$B,P191)=0),"／回路2が定義にない","")&amp;IF(AND(S191&lt;&gt;"",COUNTIFS(回路定義!$A:$A,A191,回路定義!$B:$B,S191)=0),"／回路3が定義にない",""))="","",MID(IF(AND(Y191=0,NOT(SUMPRODUCT(--ISNUMBER(SEARCH({"棚板","棚","アングル","ｱﾝｸﾞﾙ","使用不可","ケーブル","ｹｰﾌﾞﾙ","PatchPnael","パッチ","引き出し","引出","ブランク","ﾌﾞﾗﾝｸ","マネージ","ﾏﾈｰｼﾞ","PDU","ONU"},$F191&amp;"")))&gt;0),NOT(SUMPRODUCT(--ISNUMBER(SEARCH({"電源オフ","未投入","停止","未使用","撤去"},$X191&amp;"")))&gt;0)),"／電力が未記入","")&amp;IF(AND(NOT(ISNUMBER(J191)),NOT(SUMPRODUCT(--ISNUMBER(SEARCH({"棚板","棚","アングル","ｱﾝｸﾞﾙ","使用不可","ケーブル","ｹｰﾌﾞﾙ","PatchPnael","パッチ","引き出し","引出","ブランク","ﾌﾞﾗﾝｸ","マネージ","ﾏﾈｰｼﾞ","PDU","ONU"},$F191&amp;"")))&gt;0)),"／重量が未記入","")&amp;IF(AND(K191&lt;&gt;"",NOT(ISNUMBER(K191))),"／電圧が数値でない","")&amp;IF(AND(N191&lt;&gt;"",NOT(ISNUMBER(N191))),"／電流が数値でない","")&amp;IF(AND(C191&lt;&gt;"",C191&lt;1),"／開始Uが1未満","")&amp;IF(AND(E191&lt;&gt;"",E191&gt;IFERROR(VLOOKUP(A191,ラック定義!$A:$B,2,FALSE),47)),"／総Uをはみ出す","")&amp;IF(AND(A191&lt;&gt;"",COUNTIF(ラック定義!$A:$A,A191)=0),"／ラックが定義にない","")&amp;IF(AND(SUMPRODUCT((機器台帳!$A$2:$A$400=$A191)*((機器台帳!$B$2:$B$400=$B191)+(機器台帳!$B$2:$B$400="両面")+($B191="両面")&gt;0)*(機器台帳!$C$2:$C$400&lt;=$C191+$D191-1)*(機器台帳!$C$2:$C$400+機器台帳!$D$2:$D$400-1&gt;=$C191)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191&amp;"")))&gt;0)),"／同じUに他の機器(横並びなら正常)","")&amp;IF(AND(M191&lt;&gt;"",COUNTIFS(回路定義!$A:$A,A191,回路定義!$B:$B,M191)=0),"／回路1が定義にない","")&amp;IF(AND(P191&lt;&gt;"",COUNTIFS(回路定義!$A:$A,A191,回路定義!$B:$B,P191)=0),"／回路2が定義にない","")&amp;IF(AND(S191&lt;&gt;"",COUNTIFS(回路定義!$A:$A,A191,回路定義!$B:$B,S191)=0),"／回路3が定義にない",""),2,300)))</f>
        <v/>
      </c>
    </row>
    <row r="192">
      <c r="A192" s="5" t="n"/>
      <c r="B192" s="5" t="n"/>
      <c r="C192" s="5" t="n"/>
      <c r="D192" s="5" t="n"/>
      <c r="E192" s="6">
        <f>IF(C192="","",C192+D192-1)</f>
        <v/>
      </c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6">
        <f>COUNT(N192,Q192,T192)</f>
        <v/>
      </c>
      <c r="Z192" s="6">
        <f>IF(OR(K192="",NOT(ISNUMBER(K192))),"",K192*SUM(N192,Q192,T192))</f>
        <v/>
      </c>
      <c r="AA192" s="6">
        <f>IF(OR(Y192=0,N192=""),"",N192/Y192)</f>
        <v/>
      </c>
      <c r="AB192" s="6">
        <f>IF(OR(Y192=0,Q192=""),"",Q192/Y192)</f>
        <v/>
      </c>
      <c r="AC192" s="6">
        <f>IF(OR(Y192=0,T192=""),"",T192/Y192)</f>
        <v/>
      </c>
      <c r="AD192" s="6">
        <f>IF(F192="","",IF((IF(AND(Y192=0,NOT(SUMPRODUCT(--ISNUMBER(SEARCH({"棚板","棚","アングル","ｱﾝｸﾞﾙ","使用不可","ケーブル","ｹｰﾌﾞﾙ","PatchPnael","パッチ","引き出し","引出","ブランク","ﾌﾞﾗﾝｸ","マネージ","ﾏﾈｰｼﾞ","PDU","ONU"},$F192&amp;"")))&gt;0),NOT(SUMPRODUCT(--ISNUMBER(SEARCH({"電源オフ","未投入","停止","未使用","撤去"},$X192&amp;"")))&gt;0)),"／電力が未記入","")&amp;IF(AND(NOT(ISNUMBER(J192)),NOT(SUMPRODUCT(--ISNUMBER(SEARCH({"棚板","棚","アングル","ｱﾝｸﾞﾙ","使用不可","ケーブル","ｹｰﾌﾞﾙ","PatchPnael","パッチ","引き出し","引出","ブランク","ﾌﾞﾗﾝｸ","マネージ","ﾏﾈｰｼﾞ","PDU","ONU"},$F192&amp;"")))&gt;0)),"／重量が未記入","")&amp;IF(AND(K192&lt;&gt;"",NOT(ISNUMBER(K192))),"／電圧が数値でない","")&amp;IF(AND(N192&lt;&gt;"",NOT(ISNUMBER(N192))),"／電流が数値でない","")&amp;IF(AND(C192&lt;&gt;"",C192&lt;1),"／開始Uが1未満","")&amp;IF(AND(E192&lt;&gt;"",E192&gt;IFERROR(VLOOKUP(A192,ラック定義!$A:$B,2,FALSE),47)),"／総Uをはみ出す","")&amp;IF(AND(A192&lt;&gt;"",COUNTIF(ラック定義!$A:$A,A192)=0),"／ラックが定義にない","")&amp;IF(AND(SUMPRODUCT((機器台帳!$A$2:$A$400=$A192)*((機器台帳!$B$2:$B$400=$B192)+(機器台帳!$B$2:$B$400="両面")+($B192="両面")&gt;0)*(機器台帳!$C$2:$C$400&lt;=$C192+$D192-1)*(機器台帳!$C$2:$C$400+機器台帳!$D$2:$D$400-1&gt;=$C192)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192&amp;"")))&gt;0)),"／同じUに他の機器(横並びなら正常)","")&amp;IF(AND(M192&lt;&gt;"",COUNTIFS(回路定義!$A:$A,A192,回路定義!$B:$B,M192)=0),"／回路1が定義にない","")&amp;IF(AND(P192&lt;&gt;"",COUNTIFS(回路定義!$A:$A,A192,回路定義!$B:$B,P192)=0),"／回路2が定義にない","")&amp;IF(AND(S192&lt;&gt;"",COUNTIFS(回路定義!$A:$A,A192,回路定義!$B:$B,S192)=0),"／回路3が定義にない",""))="","",MID(IF(AND(Y192=0,NOT(SUMPRODUCT(--ISNUMBER(SEARCH({"棚板","棚","アングル","ｱﾝｸﾞﾙ","使用不可","ケーブル","ｹｰﾌﾞﾙ","PatchPnael","パッチ","引き出し","引出","ブランク","ﾌﾞﾗﾝｸ","マネージ","ﾏﾈｰｼﾞ","PDU","ONU"},$F192&amp;"")))&gt;0),NOT(SUMPRODUCT(--ISNUMBER(SEARCH({"電源オフ","未投入","停止","未使用","撤去"},$X192&amp;"")))&gt;0)),"／電力が未記入","")&amp;IF(AND(NOT(ISNUMBER(J192)),NOT(SUMPRODUCT(--ISNUMBER(SEARCH({"棚板","棚","アングル","ｱﾝｸﾞﾙ","使用不可","ケーブル","ｹｰﾌﾞﾙ","PatchPnael","パッチ","引き出し","引出","ブランク","ﾌﾞﾗﾝｸ","マネージ","ﾏﾈｰｼﾞ","PDU","ONU"},$F192&amp;"")))&gt;0)),"／重量が未記入","")&amp;IF(AND(K192&lt;&gt;"",NOT(ISNUMBER(K192))),"／電圧が数値でない","")&amp;IF(AND(N192&lt;&gt;"",NOT(ISNUMBER(N192))),"／電流が数値でない","")&amp;IF(AND(C192&lt;&gt;"",C192&lt;1),"／開始Uが1未満","")&amp;IF(AND(E192&lt;&gt;"",E192&gt;IFERROR(VLOOKUP(A192,ラック定義!$A:$B,2,FALSE),47)),"／総Uをはみ出す","")&amp;IF(AND(A192&lt;&gt;"",COUNTIF(ラック定義!$A:$A,A192)=0),"／ラックが定義にない","")&amp;IF(AND(SUMPRODUCT((機器台帳!$A$2:$A$400=$A192)*((機器台帳!$B$2:$B$400=$B192)+(機器台帳!$B$2:$B$400="両面")+($B192="両面")&gt;0)*(機器台帳!$C$2:$C$400&lt;=$C192+$D192-1)*(機器台帳!$C$2:$C$400+機器台帳!$D$2:$D$400-1&gt;=$C192)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192&amp;"")))&gt;0)),"／同じUに他の機器(横並びなら正常)","")&amp;IF(AND(M192&lt;&gt;"",COUNTIFS(回路定義!$A:$A,A192,回路定義!$B:$B,M192)=0),"／回路1が定義にない","")&amp;IF(AND(P192&lt;&gt;"",COUNTIFS(回路定義!$A:$A,A192,回路定義!$B:$B,P192)=0),"／回路2が定義にない","")&amp;IF(AND(S192&lt;&gt;"",COUNTIFS(回路定義!$A:$A,A192,回路定義!$B:$B,S192)=0),"／回路3が定義にない",""),2,300)))</f>
        <v/>
      </c>
    </row>
    <row r="193">
      <c r="A193" s="5" t="n"/>
      <c r="B193" s="5" t="n"/>
      <c r="C193" s="5" t="n"/>
      <c r="D193" s="5" t="n"/>
      <c r="E193" s="6">
        <f>IF(C193="","",C193+D193-1)</f>
        <v/>
      </c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6">
        <f>COUNT(N193,Q193,T193)</f>
        <v/>
      </c>
      <c r="Z193" s="6">
        <f>IF(OR(K193="",NOT(ISNUMBER(K193))),"",K193*SUM(N193,Q193,T193))</f>
        <v/>
      </c>
      <c r="AA193" s="6">
        <f>IF(OR(Y193=0,N193=""),"",N193/Y193)</f>
        <v/>
      </c>
      <c r="AB193" s="6">
        <f>IF(OR(Y193=0,Q193=""),"",Q193/Y193)</f>
        <v/>
      </c>
      <c r="AC193" s="6">
        <f>IF(OR(Y193=0,T193=""),"",T193/Y193)</f>
        <v/>
      </c>
      <c r="AD193" s="6">
        <f>IF(F193="","",IF((IF(AND(Y193=0,NOT(SUMPRODUCT(--ISNUMBER(SEARCH({"棚板","棚","アングル","ｱﾝｸﾞﾙ","使用不可","ケーブル","ｹｰﾌﾞﾙ","PatchPnael","パッチ","引き出し","引出","ブランク","ﾌﾞﾗﾝｸ","マネージ","ﾏﾈｰｼﾞ","PDU","ONU"},$F193&amp;"")))&gt;0),NOT(SUMPRODUCT(--ISNUMBER(SEARCH({"電源オフ","未投入","停止","未使用","撤去"},$X193&amp;"")))&gt;0)),"／電力が未記入","")&amp;IF(AND(NOT(ISNUMBER(J193)),NOT(SUMPRODUCT(--ISNUMBER(SEARCH({"棚板","棚","アングル","ｱﾝｸﾞﾙ","使用不可","ケーブル","ｹｰﾌﾞﾙ","PatchPnael","パッチ","引き出し","引出","ブランク","ﾌﾞﾗﾝｸ","マネージ","ﾏﾈｰｼﾞ","PDU","ONU"},$F193&amp;"")))&gt;0)),"／重量が未記入","")&amp;IF(AND(K193&lt;&gt;"",NOT(ISNUMBER(K193))),"／電圧が数値でない","")&amp;IF(AND(N193&lt;&gt;"",NOT(ISNUMBER(N193))),"／電流が数値でない","")&amp;IF(AND(C193&lt;&gt;"",C193&lt;1),"／開始Uが1未満","")&amp;IF(AND(E193&lt;&gt;"",E193&gt;IFERROR(VLOOKUP(A193,ラック定義!$A:$B,2,FALSE),47)),"／総Uをはみ出す","")&amp;IF(AND(A193&lt;&gt;"",COUNTIF(ラック定義!$A:$A,A193)=0),"／ラックが定義にない","")&amp;IF(AND(SUMPRODUCT((機器台帳!$A$2:$A$400=$A193)*((機器台帳!$B$2:$B$400=$B193)+(機器台帳!$B$2:$B$400="両面")+($B193="両面")&gt;0)*(機器台帳!$C$2:$C$400&lt;=$C193+$D193-1)*(機器台帳!$C$2:$C$400+機器台帳!$D$2:$D$400-1&gt;=$C193)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193&amp;"")))&gt;0)),"／同じUに他の機器(横並びなら正常)","")&amp;IF(AND(M193&lt;&gt;"",COUNTIFS(回路定義!$A:$A,A193,回路定義!$B:$B,M193)=0),"／回路1が定義にない","")&amp;IF(AND(P193&lt;&gt;"",COUNTIFS(回路定義!$A:$A,A193,回路定義!$B:$B,P193)=0),"／回路2が定義にない","")&amp;IF(AND(S193&lt;&gt;"",COUNTIFS(回路定義!$A:$A,A193,回路定義!$B:$B,S193)=0),"／回路3が定義にない",""))="","",MID(IF(AND(Y193=0,NOT(SUMPRODUCT(--ISNUMBER(SEARCH({"棚板","棚","アングル","ｱﾝｸﾞﾙ","使用不可","ケーブル","ｹｰﾌﾞﾙ","PatchPnael","パッチ","引き出し","引出","ブランク","ﾌﾞﾗﾝｸ","マネージ","ﾏﾈｰｼﾞ","PDU","ONU"},$F193&amp;"")))&gt;0),NOT(SUMPRODUCT(--ISNUMBER(SEARCH({"電源オフ","未投入","停止","未使用","撤去"},$X193&amp;"")))&gt;0)),"／電力が未記入","")&amp;IF(AND(NOT(ISNUMBER(J193)),NOT(SUMPRODUCT(--ISNUMBER(SEARCH({"棚板","棚","アングル","ｱﾝｸﾞﾙ","使用不可","ケーブル","ｹｰﾌﾞﾙ","PatchPnael","パッチ","引き出し","引出","ブランク","ﾌﾞﾗﾝｸ","マネージ","ﾏﾈｰｼﾞ","PDU","ONU"},$F193&amp;"")))&gt;0)),"／重量が未記入","")&amp;IF(AND(K193&lt;&gt;"",NOT(ISNUMBER(K193))),"／電圧が数値でない","")&amp;IF(AND(N193&lt;&gt;"",NOT(ISNUMBER(N193))),"／電流が数値でない","")&amp;IF(AND(C193&lt;&gt;"",C193&lt;1),"／開始Uが1未満","")&amp;IF(AND(E193&lt;&gt;"",E193&gt;IFERROR(VLOOKUP(A193,ラック定義!$A:$B,2,FALSE),47)),"／総Uをはみ出す","")&amp;IF(AND(A193&lt;&gt;"",COUNTIF(ラック定義!$A:$A,A193)=0),"／ラックが定義にない","")&amp;IF(AND(SUMPRODUCT((機器台帳!$A$2:$A$400=$A193)*((機器台帳!$B$2:$B$400=$B193)+(機器台帳!$B$2:$B$400="両面")+($B193="両面")&gt;0)*(機器台帳!$C$2:$C$400&lt;=$C193+$D193-1)*(機器台帳!$C$2:$C$400+機器台帳!$D$2:$D$400-1&gt;=$C193)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193&amp;"")))&gt;0)),"／同じUに他の機器(横並びなら正常)","")&amp;IF(AND(M193&lt;&gt;"",COUNTIFS(回路定義!$A:$A,A193,回路定義!$B:$B,M193)=0),"／回路1が定義にない","")&amp;IF(AND(P193&lt;&gt;"",COUNTIFS(回路定義!$A:$A,A193,回路定義!$B:$B,P193)=0),"／回路2が定義にない","")&amp;IF(AND(S193&lt;&gt;"",COUNTIFS(回路定義!$A:$A,A193,回路定義!$B:$B,S193)=0),"／回路3が定義にない",""),2,300)))</f>
        <v/>
      </c>
    </row>
    <row r="194">
      <c r="A194" s="5" t="n"/>
      <c r="B194" s="5" t="n"/>
      <c r="C194" s="5" t="n"/>
      <c r="D194" s="5" t="n"/>
      <c r="E194" s="6">
        <f>IF(C194="","",C194+D194-1)</f>
        <v/>
      </c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6">
        <f>COUNT(N194,Q194,T194)</f>
        <v/>
      </c>
      <c r="Z194" s="6">
        <f>IF(OR(K194="",NOT(ISNUMBER(K194))),"",K194*SUM(N194,Q194,T194))</f>
        <v/>
      </c>
      <c r="AA194" s="6">
        <f>IF(OR(Y194=0,N194=""),"",N194/Y194)</f>
        <v/>
      </c>
      <c r="AB194" s="6">
        <f>IF(OR(Y194=0,Q194=""),"",Q194/Y194)</f>
        <v/>
      </c>
      <c r="AC194" s="6">
        <f>IF(OR(Y194=0,T194=""),"",T194/Y194)</f>
        <v/>
      </c>
      <c r="AD194" s="6">
        <f>IF(F194="","",IF((IF(AND(Y194=0,NOT(SUMPRODUCT(--ISNUMBER(SEARCH({"棚板","棚","アングル","ｱﾝｸﾞﾙ","使用不可","ケーブル","ｹｰﾌﾞﾙ","PatchPnael","パッチ","引き出し","引出","ブランク","ﾌﾞﾗﾝｸ","マネージ","ﾏﾈｰｼﾞ","PDU","ONU"},$F194&amp;"")))&gt;0),NOT(SUMPRODUCT(--ISNUMBER(SEARCH({"電源オフ","未投入","停止","未使用","撤去"},$X194&amp;"")))&gt;0)),"／電力が未記入","")&amp;IF(AND(NOT(ISNUMBER(J194)),NOT(SUMPRODUCT(--ISNUMBER(SEARCH({"棚板","棚","アングル","ｱﾝｸﾞﾙ","使用不可","ケーブル","ｹｰﾌﾞﾙ","PatchPnael","パッチ","引き出し","引出","ブランク","ﾌﾞﾗﾝｸ","マネージ","ﾏﾈｰｼﾞ","PDU","ONU"},$F194&amp;"")))&gt;0)),"／重量が未記入","")&amp;IF(AND(K194&lt;&gt;"",NOT(ISNUMBER(K194))),"／電圧が数値でない","")&amp;IF(AND(N194&lt;&gt;"",NOT(ISNUMBER(N194))),"／電流が数値でない","")&amp;IF(AND(C194&lt;&gt;"",C194&lt;1),"／開始Uが1未満","")&amp;IF(AND(E194&lt;&gt;"",E194&gt;IFERROR(VLOOKUP(A194,ラック定義!$A:$B,2,FALSE),47)),"／総Uをはみ出す","")&amp;IF(AND(A194&lt;&gt;"",COUNTIF(ラック定義!$A:$A,A194)=0),"／ラックが定義にない","")&amp;IF(AND(SUMPRODUCT((機器台帳!$A$2:$A$400=$A194)*((機器台帳!$B$2:$B$400=$B194)+(機器台帳!$B$2:$B$400="両面")+($B194="両面")&gt;0)*(機器台帳!$C$2:$C$400&lt;=$C194+$D194-1)*(機器台帳!$C$2:$C$400+機器台帳!$D$2:$D$400-1&gt;=$C194)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194&amp;"")))&gt;0)),"／同じUに他の機器(横並びなら正常)","")&amp;IF(AND(M194&lt;&gt;"",COUNTIFS(回路定義!$A:$A,A194,回路定義!$B:$B,M194)=0),"／回路1が定義にない","")&amp;IF(AND(P194&lt;&gt;"",COUNTIFS(回路定義!$A:$A,A194,回路定義!$B:$B,P194)=0),"／回路2が定義にない","")&amp;IF(AND(S194&lt;&gt;"",COUNTIFS(回路定義!$A:$A,A194,回路定義!$B:$B,S194)=0),"／回路3が定義にない",""))="","",MID(IF(AND(Y194=0,NOT(SUMPRODUCT(--ISNUMBER(SEARCH({"棚板","棚","アングル","ｱﾝｸﾞﾙ","使用不可","ケーブル","ｹｰﾌﾞﾙ","PatchPnael","パッチ","引き出し","引出","ブランク","ﾌﾞﾗﾝｸ","マネージ","ﾏﾈｰｼﾞ","PDU","ONU"},$F194&amp;"")))&gt;0),NOT(SUMPRODUCT(--ISNUMBER(SEARCH({"電源オフ","未投入","停止","未使用","撤去"},$X194&amp;"")))&gt;0)),"／電力が未記入","")&amp;IF(AND(NOT(ISNUMBER(J194)),NOT(SUMPRODUCT(--ISNUMBER(SEARCH({"棚板","棚","アングル","ｱﾝｸﾞﾙ","使用不可","ケーブル","ｹｰﾌﾞﾙ","PatchPnael","パッチ","引き出し","引出","ブランク","ﾌﾞﾗﾝｸ","マネージ","ﾏﾈｰｼﾞ","PDU","ONU"},$F194&amp;"")))&gt;0)),"／重量が未記入","")&amp;IF(AND(K194&lt;&gt;"",NOT(ISNUMBER(K194))),"／電圧が数値でない","")&amp;IF(AND(N194&lt;&gt;"",NOT(ISNUMBER(N194))),"／電流が数値でない","")&amp;IF(AND(C194&lt;&gt;"",C194&lt;1),"／開始Uが1未満","")&amp;IF(AND(E194&lt;&gt;"",E194&gt;IFERROR(VLOOKUP(A194,ラック定義!$A:$B,2,FALSE),47)),"／総Uをはみ出す","")&amp;IF(AND(A194&lt;&gt;"",COUNTIF(ラック定義!$A:$A,A194)=0),"／ラックが定義にない","")&amp;IF(AND(SUMPRODUCT((機器台帳!$A$2:$A$400=$A194)*((機器台帳!$B$2:$B$400=$B194)+(機器台帳!$B$2:$B$400="両面")+($B194="両面")&gt;0)*(機器台帳!$C$2:$C$400&lt;=$C194+$D194-1)*(機器台帳!$C$2:$C$400+機器台帳!$D$2:$D$400-1&gt;=$C194)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194&amp;"")))&gt;0)),"／同じUに他の機器(横並びなら正常)","")&amp;IF(AND(M194&lt;&gt;"",COUNTIFS(回路定義!$A:$A,A194,回路定義!$B:$B,M194)=0),"／回路1が定義にない","")&amp;IF(AND(P194&lt;&gt;"",COUNTIFS(回路定義!$A:$A,A194,回路定義!$B:$B,P194)=0),"／回路2が定義にない","")&amp;IF(AND(S194&lt;&gt;"",COUNTIFS(回路定義!$A:$A,A194,回路定義!$B:$B,S194)=0),"／回路3が定義にない",""),2,300)))</f>
        <v/>
      </c>
    </row>
    <row r="195">
      <c r="A195" s="5" t="n"/>
      <c r="B195" s="5" t="n"/>
      <c r="C195" s="5" t="n"/>
      <c r="D195" s="5" t="n"/>
      <c r="E195" s="6">
        <f>IF(C195="","",C195+D195-1)</f>
        <v/>
      </c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6">
        <f>COUNT(N195,Q195,T195)</f>
        <v/>
      </c>
      <c r="Z195" s="6">
        <f>IF(OR(K195="",NOT(ISNUMBER(K195))),"",K195*SUM(N195,Q195,T195))</f>
        <v/>
      </c>
      <c r="AA195" s="6">
        <f>IF(OR(Y195=0,N195=""),"",N195/Y195)</f>
        <v/>
      </c>
      <c r="AB195" s="6">
        <f>IF(OR(Y195=0,Q195=""),"",Q195/Y195)</f>
        <v/>
      </c>
      <c r="AC195" s="6">
        <f>IF(OR(Y195=0,T195=""),"",T195/Y195)</f>
        <v/>
      </c>
      <c r="AD195" s="6">
        <f>IF(F195="","",IF((IF(AND(Y195=0,NOT(SUMPRODUCT(--ISNUMBER(SEARCH({"棚板","棚","アングル","ｱﾝｸﾞﾙ","使用不可","ケーブル","ｹｰﾌﾞﾙ","PatchPnael","パッチ","引き出し","引出","ブランク","ﾌﾞﾗﾝｸ","マネージ","ﾏﾈｰｼﾞ","PDU","ONU"},$F195&amp;"")))&gt;0),NOT(SUMPRODUCT(--ISNUMBER(SEARCH({"電源オフ","未投入","停止","未使用","撤去"},$X195&amp;"")))&gt;0)),"／電力が未記入","")&amp;IF(AND(NOT(ISNUMBER(J195)),NOT(SUMPRODUCT(--ISNUMBER(SEARCH({"棚板","棚","アングル","ｱﾝｸﾞﾙ","使用不可","ケーブル","ｹｰﾌﾞﾙ","PatchPnael","パッチ","引き出し","引出","ブランク","ﾌﾞﾗﾝｸ","マネージ","ﾏﾈｰｼﾞ","PDU","ONU"},$F195&amp;"")))&gt;0)),"／重量が未記入","")&amp;IF(AND(K195&lt;&gt;"",NOT(ISNUMBER(K195))),"／電圧が数値でない","")&amp;IF(AND(N195&lt;&gt;"",NOT(ISNUMBER(N195))),"／電流が数値でない","")&amp;IF(AND(C195&lt;&gt;"",C195&lt;1),"／開始Uが1未満","")&amp;IF(AND(E195&lt;&gt;"",E195&gt;IFERROR(VLOOKUP(A195,ラック定義!$A:$B,2,FALSE),47)),"／総Uをはみ出す","")&amp;IF(AND(A195&lt;&gt;"",COUNTIF(ラック定義!$A:$A,A195)=0),"／ラックが定義にない","")&amp;IF(AND(SUMPRODUCT((機器台帳!$A$2:$A$400=$A195)*((機器台帳!$B$2:$B$400=$B195)+(機器台帳!$B$2:$B$400="両面")+($B195="両面")&gt;0)*(機器台帳!$C$2:$C$400&lt;=$C195+$D195-1)*(機器台帳!$C$2:$C$400+機器台帳!$D$2:$D$400-1&gt;=$C195)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195&amp;"")))&gt;0)),"／同じUに他の機器(横並びなら正常)","")&amp;IF(AND(M195&lt;&gt;"",COUNTIFS(回路定義!$A:$A,A195,回路定義!$B:$B,M195)=0),"／回路1が定義にない","")&amp;IF(AND(P195&lt;&gt;"",COUNTIFS(回路定義!$A:$A,A195,回路定義!$B:$B,P195)=0),"／回路2が定義にない","")&amp;IF(AND(S195&lt;&gt;"",COUNTIFS(回路定義!$A:$A,A195,回路定義!$B:$B,S195)=0),"／回路3が定義にない",""))="","",MID(IF(AND(Y195=0,NOT(SUMPRODUCT(--ISNUMBER(SEARCH({"棚板","棚","アングル","ｱﾝｸﾞﾙ","使用不可","ケーブル","ｹｰﾌﾞﾙ","PatchPnael","パッチ","引き出し","引出","ブランク","ﾌﾞﾗﾝｸ","マネージ","ﾏﾈｰｼﾞ","PDU","ONU"},$F195&amp;"")))&gt;0),NOT(SUMPRODUCT(--ISNUMBER(SEARCH({"電源オフ","未投入","停止","未使用","撤去"},$X195&amp;"")))&gt;0)),"／電力が未記入","")&amp;IF(AND(NOT(ISNUMBER(J195)),NOT(SUMPRODUCT(--ISNUMBER(SEARCH({"棚板","棚","アングル","ｱﾝｸﾞﾙ","使用不可","ケーブル","ｹｰﾌﾞﾙ","PatchPnael","パッチ","引き出し","引出","ブランク","ﾌﾞﾗﾝｸ","マネージ","ﾏﾈｰｼﾞ","PDU","ONU"},$F195&amp;"")))&gt;0)),"／重量が未記入","")&amp;IF(AND(K195&lt;&gt;"",NOT(ISNUMBER(K195))),"／電圧が数値でない","")&amp;IF(AND(N195&lt;&gt;"",NOT(ISNUMBER(N195))),"／電流が数値でない","")&amp;IF(AND(C195&lt;&gt;"",C195&lt;1),"／開始Uが1未満","")&amp;IF(AND(E195&lt;&gt;"",E195&gt;IFERROR(VLOOKUP(A195,ラック定義!$A:$B,2,FALSE),47)),"／総Uをはみ出す","")&amp;IF(AND(A195&lt;&gt;"",COUNTIF(ラック定義!$A:$A,A195)=0),"／ラックが定義にない","")&amp;IF(AND(SUMPRODUCT((機器台帳!$A$2:$A$400=$A195)*((機器台帳!$B$2:$B$400=$B195)+(機器台帳!$B$2:$B$400="両面")+($B195="両面")&gt;0)*(機器台帳!$C$2:$C$400&lt;=$C195+$D195-1)*(機器台帳!$C$2:$C$400+機器台帳!$D$2:$D$400-1&gt;=$C195)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195&amp;"")))&gt;0)),"／同じUに他の機器(横並びなら正常)","")&amp;IF(AND(M195&lt;&gt;"",COUNTIFS(回路定義!$A:$A,A195,回路定義!$B:$B,M195)=0),"／回路1が定義にない","")&amp;IF(AND(P195&lt;&gt;"",COUNTIFS(回路定義!$A:$A,A195,回路定義!$B:$B,P195)=0),"／回路2が定義にない","")&amp;IF(AND(S195&lt;&gt;"",COUNTIFS(回路定義!$A:$A,A195,回路定義!$B:$B,S195)=0),"／回路3が定義にない",""),2,300)))</f>
        <v/>
      </c>
    </row>
    <row r="196">
      <c r="A196" s="5" t="n"/>
      <c r="B196" s="5" t="n"/>
      <c r="C196" s="5" t="n"/>
      <c r="D196" s="5" t="n"/>
      <c r="E196" s="6">
        <f>IF(C196="","",C196+D196-1)</f>
        <v/>
      </c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6">
        <f>COUNT(N196,Q196,T196)</f>
        <v/>
      </c>
      <c r="Z196" s="6">
        <f>IF(OR(K196="",NOT(ISNUMBER(K196))),"",K196*SUM(N196,Q196,T196))</f>
        <v/>
      </c>
      <c r="AA196" s="6">
        <f>IF(OR(Y196=0,N196=""),"",N196/Y196)</f>
        <v/>
      </c>
      <c r="AB196" s="6">
        <f>IF(OR(Y196=0,Q196=""),"",Q196/Y196)</f>
        <v/>
      </c>
      <c r="AC196" s="6">
        <f>IF(OR(Y196=0,T196=""),"",T196/Y196)</f>
        <v/>
      </c>
      <c r="AD196" s="6">
        <f>IF(F196="","",IF((IF(AND(Y196=0,NOT(SUMPRODUCT(--ISNUMBER(SEARCH({"棚板","棚","アングル","ｱﾝｸﾞﾙ","使用不可","ケーブル","ｹｰﾌﾞﾙ","PatchPnael","パッチ","引き出し","引出","ブランク","ﾌﾞﾗﾝｸ","マネージ","ﾏﾈｰｼﾞ","PDU","ONU"},$F196&amp;"")))&gt;0),NOT(SUMPRODUCT(--ISNUMBER(SEARCH({"電源オフ","未投入","停止","未使用","撤去"},$X196&amp;"")))&gt;0)),"／電力が未記入","")&amp;IF(AND(NOT(ISNUMBER(J196)),NOT(SUMPRODUCT(--ISNUMBER(SEARCH({"棚板","棚","アングル","ｱﾝｸﾞﾙ","使用不可","ケーブル","ｹｰﾌﾞﾙ","PatchPnael","パッチ","引き出し","引出","ブランク","ﾌﾞﾗﾝｸ","マネージ","ﾏﾈｰｼﾞ","PDU","ONU"},$F196&amp;"")))&gt;0)),"／重量が未記入","")&amp;IF(AND(K196&lt;&gt;"",NOT(ISNUMBER(K196))),"／電圧が数値でない","")&amp;IF(AND(N196&lt;&gt;"",NOT(ISNUMBER(N196))),"／電流が数値でない","")&amp;IF(AND(C196&lt;&gt;"",C196&lt;1),"／開始Uが1未満","")&amp;IF(AND(E196&lt;&gt;"",E196&gt;IFERROR(VLOOKUP(A196,ラック定義!$A:$B,2,FALSE),47)),"／総Uをはみ出す","")&amp;IF(AND(A196&lt;&gt;"",COUNTIF(ラック定義!$A:$A,A196)=0),"／ラックが定義にない","")&amp;IF(AND(SUMPRODUCT((機器台帳!$A$2:$A$400=$A196)*((機器台帳!$B$2:$B$400=$B196)+(機器台帳!$B$2:$B$400="両面")+($B196="両面")&gt;0)*(機器台帳!$C$2:$C$400&lt;=$C196+$D196-1)*(機器台帳!$C$2:$C$400+機器台帳!$D$2:$D$400-1&gt;=$C196)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196&amp;"")))&gt;0)),"／同じUに他の機器(横並びなら正常)","")&amp;IF(AND(M196&lt;&gt;"",COUNTIFS(回路定義!$A:$A,A196,回路定義!$B:$B,M196)=0),"／回路1が定義にない","")&amp;IF(AND(P196&lt;&gt;"",COUNTIFS(回路定義!$A:$A,A196,回路定義!$B:$B,P196)=0),"／回路2が定義にない","")&amp;IF(AND(S196&lt;&gt;"",COUNTIFS(回路定義!$A:$A,A196,回路定義!$B:$B,S196)=0),"／回路3が定義にない",""))="","",MID(IF(AND(Y196=0,NOT(SUMPRODUCT(--ISNUMBER(SEARCH({"棚板","棚","アングル","ｱﾝｸﾞﾙ","使用不可","ケーブル","ｹｰﾌﾞﾙ","PatchPnael","パッチ","引き出し","引出","ブランク","ﾌﾞﾗﾝｸ","マネージ","ﾏﾈｰｼﾞ","PDU","ONU"},$F196&amp;"")))&gt;0),NOT(SUMPRODUCT(--ISNUMBER(SEARCH({"電源オフ","未投入","停止","未使用","撤去"},$X196&amp;"")))&gt;0)),"／電力が未記入","")&amp;IF(AND(NOT(ISNUMBER(J196)),NOT(SUMPRODUCT(--ISNUMBER(SEARCH({"棚板","棚","アングル","ｱﾝｸﾞﾙ","使用不可","ケーブル","ｹｰﾌﾞﾙ","PatchPnael","パッチ","引き出し","引出","ブランク","ﾌﾞﾗﾝｸ","マネージ","ﾏﾈｰｼﾞ","PDU","ONU"},$F196&amp;"")))&gt;0)),"／重量が未記入","")&amp;IF(AND(K196&lt;&gt;"",NOT(ISNUMBER(K196))),"／電圧が数値でない","")&amp;IF(AND(N196&lt;&gt;"",NOT(ISNUMBER(N196))),"／電流が数値でない","")&amp;IF(AND(C196&lt;&gt;"",C196&lt;1),"／開始Uが1未満","")&amp;IF(AND(E196&lt;&gt;"",E196&gt;IFERROR(VLOOKUP(A196,ラック定義!$A:$B,2,FALSE),47)),"／総Uをはみ出す","")&amp;IF(AND(A196&lt;&gt;"",COUNTIF(ラック定義!$A:$A,A196)=0),"／ラックが定義にない","")&amp;IF(AND(SUMPRODUCT((機器台帳!$A$2:$A$400=$A196)*((機器台帳!$B$2:$B$400=$B196)+(機器台帳!$B$2:$B$400="両面")+($B196="両面")&gt;0)*(機器台帳!$C$2:$C$400&lt;=$C196+$D196-1)*(機器台帳!$C$2:$C$400+機器台帳!$D$2:$D$400-1&gt;=$C196)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196&amp;"")))&gt;0)),"／同じUに他の機器(横並びなら正常)","")&amp;IF(AND(M196&lt;&gt;"",COUNTIFS(回路定義!$A:$A,A196,回路定義!$B:$B,M196)=0),"／回路1が定義にない","")&amp;IF(AND(P196&lt;&gt;"",COUNTIFS(回路定義!$A:$A,A196,回路定義!$B:$B,P196)=0),"／回路2が定義にない","")&amp;IF(AND(S196&lt;&gt;"",COUNTIFS(回路定義!$A:$A,A196,回路定義!$B:$B,S196)=0),"／回路3が定義にない",""),2,300)))</f>
        <v/>
      </c>
    </row>
    <row r="197">
      <c r="A197" s="5" t="n"/>
      <c r="B197" s="5" t="n"/>
      <c r="C197" s="5" t="n"/>
      <c r="D197" s="5" t="n"/>
      <c r="E197" s="6">
        <f>IF(C197="","",C197+D197-1)</f>
        <v/>
      </c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6">
        <f>COUNT(N197,Q197,T197)</f>
        <v/>
      </c>
      <c r="Z197" s="6">
        <f>IF(OR(K197="",NOT(ISNUMBER(K197))),"",K197*SUM(N197,Q197,T197))</f>
        <v/>
      </c>
      <c r="AA197" s="6">
        <f>IF(OR(Y197=0,N197=""),"",N197/Y197)</f>
        <v/>
      </c>
      <c r="AB197" s="6">
        <f>IF(OR(Y197=0,Q197=""),"",Q197/Y197)</f>
        <v/>
      </c>
      <c r="AC197" s="6">
        <f>IF(OR(Y197=0,T197=""),"",T197/Y197)</f>
        <v/>
      </c>
      <c r="AD197" s="6">
        <f>IF(F197="","",IF((IF(AND(Y197=0,NOT(SUMPRODUCT(--ISNUMBER(SEARCH({"棚板","棚","アングル","ｱﾝｸﾞﾙ","使用不可","ケーブル","ｹｰﾌﾞﾙ","PatchPnael","パッチ","引き出し","引出","ブランク","ﾌﾞﾗﾝｸ","マネージ","ﾏﾈｰｼﾞ","PDU","ONU"},$F197&amp;"")))&gt;0),NOT(SUMPRODUCT(--ISNUMBER(SEARCH({"電源オフ","未投入","停止","未使用","撤去"},$X197&amp;"")))&gt;0)),"／電力が未記入","")&amp;IF(AND(NOT(ISNUMBER(J197)),NOT(SUMPRODUCT(--ISNUMBER(SEARCH({"棚板","棚","アングル","ｱﾝｸﾞﾙ","使用不可","ケーブル","ｹｰﾌﾞﾙ","PatchPnael","パッチ","引き出し","引出","ブランク","ﾌﾞﾗﾝｸ","マネージ","ﾏﾈｰｼﾞ","PDU","ONU"},$F197&amp;"")))&gt;0)),"／重量が未記入","")&amp;IF(AND(K197&lt;&gt;"",NOT(ISNUMBER(K197))),"／電圧が数値でない","")&amp;IF(AND(N197&lt;&gt;"",NOT(ISNUMBER(N197))),"／電流が数値でない","")&amp;IF(AND(C197&lt;&gt;"",C197&lt;1),"／開始Uが1未満","")&amp;IF(AND(E197&lt;&gt;"",E197&gt;IFERROR(VLOOKUP(A197,ラック定義!$A:$B,2,FALSE),47)),"／総Uをはみ出す","")&amp;IF(AND(A197&lt;&gt;"",COUNTIF(ラック定義!$A:$A,A197)=0),"／ラックが定義にない","")&amp;IF(AND(SUMPRODUCT((機器台帳!$A$2:$A$400=$A197)*((機器台帳!$B$2:$B$400=$B197)+(機器台帳!$B$2:$B$400="両面")+($B197="両面")&gt;0)*(機器台帳!$C$2:$C$400&lt;=$C197+$D197-1)*(機器台帳!$C$2:$C$400+機器台帳!$D$2:$D$400-1&gt;=$C197)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197&amp;"")))&gt;0)),"／同じUに他の機器(横並びなら正常)","")&amp;IF(AND(M197&lt;&gt;"",COUNTIFS(回路定義!$A:$A,A197,回路定義!$B:$B,M197)=0),"／回路1が定義にない","")&amp;IF(AND(P197&lt;&gt;"",COUNTIFS(回路定義!$A:$A,A197,回路定義!$B:$B,P197)=0),"／回路2が定義にない","")&amp;IF(AND(S197&lt;&gt;"",COUNTIFS(回路定義!$A:$A,A197,回路定義!$B:$B,S197)=0),"／回路3が定義にない",""))="","",MID(IF(AND(Y197=0,NOT(SUMPRODUCT(--ISNUMBER(SEARCH({"棚板","棚","アングル","ｱﾝｸﾞﾙ","使用不可","ケーブル","ｹｰﾌﾞﾙ","PatchPnael","パッチ","引き出し","引出","ブランク","ﾌﾞﾗﾝｸ","マネージ","ﾏﾈｰｼﾞ","PDU","ONU"},$F197&amp;"")))&gt;0),NOT(SUMPRODUCT(--ISNUMBER(SEARCH({"電源オフ","未投入","停止","未使用","撤去"},$X197&amp;"")))&gt;0)),"／電力が未記入","")&amp;IF(AND(NOT(ISNUMBER(J197)),NOT(SUMPRODUCT(--ISNUMBER(SEARCH({"棚板","棚","アングル","ｱﾝｸﾞﾙ","使用不可","ケーブル","ｹｰﾌﾞﾙ","PatchPnael","パッチ","引き出し","引出","ブランク","ﾌﾞﾗﾝｸ","マネージ","ﾏﾈｰｼﾞ","PDU","ONU"},$F197&amp;"")))&gt;0)),"／重量が未記入","")&amp;IF(AND(K197&lt;&gt;"",NOT(ISNUMBER(K197))),"／電圧が数値でない","")&amp;IF(AND(N197&lt;&gt;"",NOT(ISNUMBER(N197))),"／電流が数値でない","")&amp;IF(AND(C197&lt;&gt;"",C197&lt;1),"／開始Uが1未満","")&amp;IF(AND(E197&lt;&gt;"",E197&gt;IFERROR(VLOOKUP(A197,ラック定義!$A:$B,2,FALSE),47)),"／総Uをはみ出す","")&amp;IF(AND(A197&lt;&gt;"",COUNTIF(ラック定義!$A:$A,A197)=0),"／ラックが定義にない","")&amp;IF(AND(SUMPRODUCT((機器台帳!$A$2:$A$400=$A197)*((機器台帳!$B$2:$B$400=$B197)+(機器台帳!$B$2:$B$400="両面")+($B197="両面")&gt;0)*(機器台帳!$C$2:$C$400&lt;=$C197+$D197-1)*(機器台帳!$C$2:$C$400+機器台帳!$D$2:$D$400-1&gt;=$C197)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197&amp;"")))&gt;0)),"／同じUに他の機器(横並びなら正常)","")&amp;IF(AND(M197&lt;&gt;"",COUNTIFS(回路定義!$A:$A,A197,回路定義!$B:$B,M197)=0),"／回路1が定義にない","")&amp;IF(AND(P197&lt;&gt;"",COUNTIFS(回路定義!$A:$A,A197,回路定義!$B:$B,P197)=0),"／回路2が定義にない","")&amp;IF(AND(S197&lt;&gt;"",COUNTIFS(回路定義!$A:$A,A197,回路定義!$B:$B,S197)=0),"／回路3が定義にない",""),2,300)))</f>
        <v/>
      </c>
    </row>
    <row r="198">
      <c r="A198" s="5" t="n"/>
      <c r="B198" s="5" t="n"/>
      <c r="C198" s="5" t="n"/>
      <c r="D198" s="5" t="n"/>
      <c r="E198" s="6">
        <f>IF(C198="","",C198+D198-1)</f>
        <v/>
      </c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6">
        <f>COUNT(N198,Q198,T198)</f>
        <v/>
      </c>
      <c r="Z198" s="6">
        <f>IF(OR(K198="",NOT(ISNUMBER(K198))),"",K198*SUM(N198,Q198,T198))</f>
        <v/>
      </c>
      <c r="AA198" s="6">
        <f>IF(OR(Y198=0,N198=""),"",N198/Y198)</f>
        <v/>
      </c>
      <c r="AB198" s="6">
        <f>IF(OR(Y198=0,Q198=""),"",Q198/Y198)</f>
        <v/>
      </c>
      <c r="AC198" s="6">
        <f>IF(OR(Y198=0,T198=""),"",T198/Y198)</f>
        <v/>
      </c>
      <c r="AD198" s="6">
        <f>IF(F198="","",IF((IF(AND(Y198=0,NOT(SUMPRODUCT(--ISNUMBER(SEARCH({"棚板","棚","アングル","ｱﾝｸﾞﾙ","使用不可","ケーブル","ｹｰﾌﾞﾙ","PatchPnael","パッチ","引き出し","引出","ブランク","ﾌﾞﾗﾝｸ","マネージ","ﾏﾈｰｼﾞ","PDU","ONU"},$F198&amp;"")))&gt;0),NOT(SUMPRODUCT(--ISNUMBER(SEARCH({"電源オフ","未投入","停止","未使用","撤去"},$X198&amp;"")))&gt;0)),"／電力が未記入","")&amp;IF(AND(NOT(ISNUMBER(J198)),NOT(SUMPRODUCT(--ISNUMBER(SEARCH({"棚板","棚","アングル","ｱﾝｸﾞﾙ","使用不可","ケーブル","ｹｰﾌﾞﾙ","PatchPnael","パッチ","引き出し","引出","ブランク","ﾌﾞﾗﾝｸ","マネージ","ﾏﾈｰｼﾞ","PDU","ONU"},$F198&amp;"")))&gt;0)),"／重量が未記入","")&amp;IF(AND(K198&lt;&gt;"",NOT(ISNUMBER(K198))),"／電圧が数値でない","")&amp;IF(AND(N198&lt;&gt;"",NOT(ISNUMBER(N198))),"／電流が数値でない","")&amp;IF(AND(C198&lt;&gt;"",C198&lt;1),"／開始Uが1未満","")&amp;IF(AND(E198&lt;&gt;"",E198&gt;IFERROR(VLOOKUP(A198,ラック定義!$A:$B,2,FALSE),47)),"／総Uをはみ出す","")&amp;IF(AND(A198&lt;&gt;"",COUNTIF(ラック定義!$A:$A,A198)=0),"／ラックが定義にない","")&amp;IF(AND(SUMPRODUCT((機器台帳!$A$2:$A$400=$A198)*((機器台帳!$B$2:$B$400=$B198)+(機器台帳!$B$2:$B$400="両面")+($B198="両面")&gt;0)*(機器台帳!$C$2:$C$400&lt;=$C198+$D198-1)*(機器台帳!$C$2:$C$400+機器台帳!$D$2:$D$400-1&gt;=$C198)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198&amp;"")))&gt;0)),"／同じUに他の機器(横並びなら正常)","")&amp;IF(AND(M198&lt;&gt;"",COUNTIFS(回路定義!$A:$A,A198,回路定義!$B:$B,M198)=0),"／回路1が定義にない","")&amp;IF(AND(P198&lt;&gt;"",COUNTIFS(回路定義!$A:$A,A198,回路定義!$B:$B,P198)=0),"／回路2が定義にない","")&amp;IF(AND(S198&lt;&gt;"",COUNTIFS(回路定義!$A:$A,A198,回路定義!$B:$B,S198)=0),"／回路3が定義にない",""))="","",MID(IF(AND(Y198=0,NOT(SUMPRODUCT(--ISNUMBER(SEARCH({"棚板","棚","アングル","ｱﾝｸﾞﾙ","使用不可","ケーブル","ｹｰﾌﾞﾙ","PatchPnael","パッチ","引き出し","引出","ブランク","ﾌﾞﾗﾝｸ","マネージ","ﾏﾈｰｼﾞ","PDU","ONU"},$F198&amp;"")))&gt;0),NOT(SUMPRODUCT(--ISNUMBER(SEARCH({"電源オフ","未投入","停止","未使用","撤去"},$X198&amp;"")))&gt;0)),"／電力が未記入","")&amp;IF(AND(NOT(ISNUMBER(J198)),NOT(SUMPRODUCT(--ISNUMBER(SEARCH({"棚板","棚","アングル","ｱﾝｸﾞﾙ","使用不可","ケーブル","ｹｰﾌﾞﾙ","PatchPnael","パッチ","引き出し","引出","ブランク","ﾌﾞﾗﾝｸ","マネージ","ﾏﾈｰｼﾞ","PDU","ONU"},$F198&amp;"")))&gt;0)),"／重量が未記入","")&amp;IF(AND(K198&lt;&gt;"",NOT(ISNUMBER(K198))),"／電圧が数値でない","")&amp;IF(AND(N198&lt;&gt;"",NOT(ISNUMBER(N198))),"／電流が数値でない","")&amp;IF(AND(C198&lt;&gt;"",C198&lt;1),"／開始Uが1未満","")&amp;IF(AND(E198&lt;&gt;"",E198&gt;IFERROR(VLOOKUP(A198,ラック定義!$A:$B,2,FALSE),47)),"／総Uをはみ出す","")&amp;IF(AND(A198&lt;&gt;"",COUNTIF(ラック定義!$A:$A,A198)=0),"／ラックが定義にない","")&amp;IF(AND(SUMPRODUCT((機器台帳!$A$2:$A$400=$A198)*((機器台帳!$B$2:$B$400=$B198)+(機器台帳!$B$2:$B$400="両面")+($B198="両面")&gt;0)*(機器台帳!$C$2:$C$400&lt;=$C198+$D198-1)*(機器台帳!$C$2:$C$400+機器台帳!$D$2:$D$400-1&gt;=$C198)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198&amp;"")))&gt;0)),"／同じUに他の機器(横並びなら正常)","")&amp;IF(AND(M198&lt;&gt;"",COUNTIFS(回路定義!$A:$A,A198,回路定義!$B:$B,M198)=0),"／回路1が定義にない","")&amp;IF(AND(P198&lt;&gt;"",COUNTIFS(回路定義!$A:$A,A198,回路定義!$B:$B,P198)=0),"／回路2が定義にない","")&amp;IF(AND(S198&lt;&gt;"",COUNTIFS(回路定義!$A:$A,A198,回路定義!$B:$B,S198)=0),"／回路3が定義にない",""),2,300)))</f>
        <v/>
      </c>
    </row>
    <row r="199">
      <c r="A199" s="5" t="n"/>
      <c r="B199" s="5" t="n"/>
      <c r="C199" s="5" t="n"/>
      <c r="D199" s="5" t="n"/>
      <c r="E199" s="6">
        <f>IF(C199="","",C199+D199-1)</f>
        <v/>
      </c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6">
        <f>COUNT(N199,Q199,T199)</f>
        <v/>
      </c>
      <c r="Z199" s="6">
        <f>IF(OR(K199="",NOT(ISNUMBER(K199))),"",K199*SUM(N199,Q199,T199))</f>
        <v/>
      </c>
      <c r="AA199" s="6">
        <f>IF(OR(Y199=0,N199=""),"",N199/Y199)</f>
        <v/>
      </c>
      <c r="AB199" s="6">
        <f>IF(OR(Y199=0,Q199=""),"",Q199/Y199)</f>
        <v/>
      </c>
      <c r="AC199" s="6">
        <f>IF(OR(Y199=0,T199=""),"",T199/Y199)</f>
        <v/>
      </c>
      <c r="AD199" s="6">
        <f>IF(F199="","",IF((IF(AND(Y199=0,NOT(SUMPRODUCT(--ISNUMBER(SEARCH({"棚板","棚","アングル","ｱﾝｸﾞﾙ","使用不可","ケーブル","ｹｰﾌﾞﾙ","PatchPnael","パッチ","引き出し","引出","ブランク","ﾌﾞﾗﾝｸ","マネージ","ﾏﾈｰｼﾞ","PDU","ONU"},$F199&amp;"")))&gt;0),NOT(SUMPRODUCT(--ISNUMBER(SEARCH({"電源オフ","未投入","停止","未使用","撤去"},$X199&amp;"")))&gt;0)),"／電力が未記入","")&amp;IF(AND(NOT(ISNUMBER(J199)),NOT(SUMPRODUCT(--ISNUMBER(SEARCH({"棚板","棚","アングル","ｱﾝｸﾞﾙ","使用不可","ケーブル","ｹｰﾌﾞﾙ","PatchPnael","パッチ","引き出し","引出","ブランク","ﾌﾞﾗﾝｸ","マネージ","ﾏﾈｰｼﾞ","PDU","ONU"},$F199&amp;"")))&gt;0)),"／重量が未記入","")&amp;IF(AND(K199&lt;&gt;"",NOT(ISNUMBER(K199))),"／電圧が数値でない","")&amp;IF(AND(N199&lt;&gt;"",NOT(ISNUMBER(N199))),"／電流が数値でない","")&amp;IF(AND(C199&lt;&gt;"",C199&lt;1),"／開始Uが1未満","")&amp;IF(AND(E199&lt;&gt;"",E199&gt;IFERROR(VLOOKUP(A199,ラック定義!$A:$B,2,FALSE),47)),"／総Uをはみ出す","")&amp;IF(AND(A199&lt;&gt;"",COUNTIF(ラック定義!$A:$A,A199)=0),"／ラックが定義にない","")&amp;IF(AND(SUMPRODUCT((機器台帳!$A$2:$A$400=$A199)*((機器台帳!$B$2:$B$400=$B199)+(機器台帳!$B$2:$B$400="両面")+($B199="両面")&gt;0)*(機器台帳!$C$2:$C$400&lt;=$C199+$D199-1)*(機器台帳!$C$2:$C$400+機器台帳!$D$2:$D$400-1&gt;=$C199)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199&amp;"")))&gt;0)),"／同じUに他の機器(横並びなら正常)","")&amp;IF(AND(M199&lt;&gt;"",COUNTIFS(回路定義!$A:$A,A199,回路定義!$B:$B,M199)=0),"／回路1が定義にない","")&amp;IF(AND(P199&lt;&gt;"",COUNTIFS(回路定義!$A:$A,A199,回路定義!$B:$B,P199)=0),"／回路2が定義にない","")&amp;IF(AND(S199&lt;&gt;"",COUNTIFS(回路定義!$A:$A,A199,回路定義!$B:$B,S199)=0),"／回路3が定義にない",""))="","",MID(IF(AND(Y199=0,NOT(SUMPRODUCT(--ISNUMBER(SEARCH({"棚板","棚","アングル","ｱﾝｸﾞﾙ","使用不可","ケーブル","ｹｰﾌﾞﾙ","PatchPnael","パッチ","引き出し","引出","ブランク","ﾌﾞﾗﾝｸ","マネージ","ﾏﾈｰｼﾞ","PDU","ONU"},$F199&amp;"")))&gt;0),NOT(SUMPRODUCT(--ISNUMBER(SEARCH({"電源オフ","未投入","停止","未使用","撤去"},$X199&amp;"")))&gt;0)),"／電力が未記入","")&amp;IF(AND(NOT(ISNUMBER(J199)),NOT(SUMPRODUCT(--ISNUMBER(SEARCH({"棚板","棚","アングル","ｱﾝｸﾞﾙ","使用不可","ケーブル","ｹｰﾌﾞﾙ","PatchPnael","パッチ","引き出し","引出","ブランク","ﾌﾞﾗﾝｸ","マネージ","ﾏﾈｰｼﾞ","PDU","ONU"},$F199&amp;"")))&gt;0)),"／重量が未記入","")&amp;IF(AND(K199&lt;&gt;"",NOT(ISNUMBER(K199))),"／電圧が数値でない","")&amp;IF(AND(N199&lt;&gt;"",NOT(ISNUMBER(N199))),"／電流が数値でない","")&amp;IF(AND(C199&lt;&gt;"",C199&lt;1),"／開始Uが1未満","")&amp;IF(AND(E199&lt;&gt;"",E199&gt;IFERROR(VLOOKUP(A199,ラック定義!$A:$B,2,FALSE),47)),"／総Uをはみ出す","")&amp;IF(AND(A199&lt;&gt;"",COUNTIF(ラック定義!$A:$A,A199)=0),"／ラックが定義にない","")&amp;IF(AND(SUMPRODUCT((機器台帳!$A$2:$A$400=$A199)*((機器台帳!$B$2:$B$400=$B199)+(機器台帳!$B$2:$B$400="両面")+($B199="両面")&gt;0)*(機器台帳!$C$2:$C$400&lt;=$C199+$D199-1)*(機器台帳!$C$2:$C$400+機器台帳!$D$2:$D$400-1&gt;=$C199)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199&amp;"")))&gt;0)),"／同じUに他の機器(横並びなら正常)","")&amp;IF(AND(M199&lt;&gt;"",COUNTIFS(回路定義!$A:$A,A199,回路定義!$B:$B,M199)=0),"／回路1が定義にない","")&amp;IF(AND(P199&lt;&gt;"",COUNTIFS(回路定義!$A:$A,A199,回路定義!$B:$B,P199)=0),"／回路2が定義にない","")&amp;IF(AND(S199&lt;&gt;"",COUNTIFS(回路定義!$A:$A,A199,回路定義!$B:$B,S199)=0),"／回路3が定義にない",""),2,300)))</f>
        <v/>
      </c>
    </row>
    <row r="200">
      <c r="A200" s="5" t="n"/>
      <c r="B200" s="5" t="n"/>
      <c r="C200" s="5" t="n"/>
      <c r="D200" s="5" t="n"/>
      <c r="E200" s="6">
        <f>IF(C200="","",C200+D200-1)</f>
        <v/>
      </c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6">
        <f>COUNT(N200,Q200,T200)</f>
        <v/>
      </c>
      <c r="Z200" s="6">
        <f>IF(OR(K200="",NOT(ISNUMBER(K200))),"",K200*SUM(N200,Q200,T200))</f>
        <v/>
      </c>
      <c r="AA200" s="6">
        <f>IF(OR(Y200=0,N200=""),"",N200/Y200)</f>
        <v/>
      </c>
      <c r="AB200" s="6">
        <f>IF(OR(Y200=0,Q200=""),"",Q200/Y200)</f>
        <v/>
      </c>
      <c r="AC200" s="6">
        <f>IF(OR(Y200=0,T200=""),"",T200/Y200)</f>
        <v/>
      </c>
      <c r="AD200" s="6">
        <f>IF(F200="","",IF((IF(AND(Y200=0,NOT(SUMPRODUCT(--ISNUMBER(SEARCH({"棚板","棚","アングル","ｱﾝｸﾞﾙ","使用不可","ケーブル","ｹｰﾌﾞﾙ","PatchPnael","パッチ","引き出し","引出","ブランク","ﾌﾞﾗﾝｸ","マネージ","ﾏﾈｰｼﾞ","PDU","ONU"},$F200&amp;"")))&gt;0),NOT(SUMPRODUCT(--ISNUMBER(SEARCH({"電源オフ","未投入","停止","未使用","撤去"},$X200&amp;"")))&gt;0)),"／電力が未記入","")&amp;IF(AND(NOT(ISNUMBER(J200)),NOT(SUMPRODUCT(--ISNUMBER(SEARCH({"棚板","棚","アングル","ｱﾝｸﾞﾙ","使用不可","ケーブル","ｹｰﾌﾞﾙ","PatchPnael","パッチ","引き出し","引出","ブランク","ﾌﾞﾗﾝｸ","マネージ","ﾏﾈｰｼﾞ","PDU","ONU"},$F200&amp;"")))&gt;0)),"／重量が未記入","")&amp;IF(AND(K200&lt;&gt;"",NOT(ISNUMBER(K200))),"／電圧が数値でない","")&amp;IF(AND(N200&lt;&gt;"",NOT(ISNUMBER(N200))),"／電流が数値でない","")&amp;IF(AND(C200&lt;&gt;"",C200&lt;1),"／開始Uが1未満","")&amp;IF(AND(E200&lt;&gt;"",E200&gt;IFERROR(VLOOKUP(A200,ラック定義!$A:$B,2,FALSE),47)),"／総Uをはみ出す","")&amp;IF(AND(A200&lt;&gt;"",COUNTIF(ラック定義!$A:$A,A200)=0),"／ラックが定義にない","")&amp;IF(AND(SUMPRODUCT((機器台帳!$A$2:$A$400=$A200)*((機器台帳!$B$2:$B$400=$B200)+(機器台帳!$B$2:$B$400="両面")+($B200="両面")&gt;0)*(機器台帳!$C$2:$C$400&lt;=$C200+$D200-1)*(機器台帳!$C$2:$C$400+機器台帳!$D$2:$D$400-1&gt;=$C200)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200&amp;"")))&gt;0)),"／同じUに他の機器(横並びなら正常)","")&amp;IF(AND(M200&lt;&gt;"",COUNTIFS(回路定義!$A:$A,A200,回路定義!$B:$B,M200)=0),"／回路1が定義にない","")&amp;IF(AND(P200&lt;&gt;"",COUNTIFS(回路定義!$A:$A,A200,回路定義!$B:$B,P200)=0),"／回路2が定義にない","")&amp;IF(AND(S200&lt;&gt;"",COUNTIFS(回路定義!$A:$A,A200,回路定義!$B:$B,S200)=0),"／回路3が定義にない",""))="","",MID(IF(AND(Y200=0,NOT(SUMPRODUCT(--ISNUMBER(SEARCH({"棚板","棚","アングル","ｱﾝｸﾞﾙ","使用不可","ケーブル","ｹｰﾌﾞﾙ","PatchPnael","パッチ","引き出し","引出","ブランク","ﾌﾞﾗﾝｸ","マネージ","ﾏﾈｰｼﾞ","PDU","ONU"},$F200&amp;"")))&gt;0),NOT(SUMPRODUCT(--ISNUMBER(SEARCH({"電源オフ","未投入","停止","未使用","撤去"},$X200&amp;"")))&gt;0)),"／電力が未記入","")&amp;IF(AND(NOT(ISNUMBER(J200)),NOT(SUMPRODUCT(--ISNUMBER(SEARCH({"棚板","棚","アングル","ｱﾝｸﾞﾙ","使用不可","ケーブル","ｹｰﾌﾞﾙ","PatchPnael","パッチ","引き出し","引出","ブランク","ﾌﾞﾗﾝｸ","マネージ","ﾏﾈｰｼﾞ","PDU","ONU"},$F200&amp;"")))&gt;0)),"／重量が未記入","")&amp;IF(AND(K200&lt;&gt;"",NOT(ISNUMBER(K200))),"／電圧が数値でない","")&amp;IF(AND(N200&lt;&gt;"",NOT(ISNUMBER(N200))),"／電流が数値でない","")&amp;IF(AND(C200&lt;&gt;"",C200&lt;1),"／開始Uが1未満","")&amp;IF(AND(E200&lt;&gt;"",E200&gt;IFERROR(VLOOKUP(A200,ラック定義!$A:$B,2,FALSE),47)),"／総Uをはみ出す","")&amp;IF(AND(A200&lt;&gt;"",COUNTIF(ラック定義!$A:$A,A200)=0),"／ラックが定義にない","")&amp;IF(AND(SUMPRODUCT((機器台帳!$A$2:$A$400=$A200)*((機器台帳!$B$2:$B$400=$B200)+(機器台帳!$B$2:$B$400="両面")+($B200="両面")&gt;0)*(機器台帳!$C$2:$C$400&lt;=$C200+$D200-1)*(機器台帳!$C$2:$C$400+機器台帳!$D$2:$D$400-1&gt;=$C200)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200&amp;"")))&gt;0)),"／同じUに他の機器(横並びなら正常)","")&amp;IF(AND(M200&lt;&gt;"",COUNTIFS(回路定義!$A:$A,A200,回路定義!$B:$B,M200)=0),"／回路1が定義にない","")&amp;IF(AND(P200&lt;&gt;"",COUNTIFS(回路定義!$A:$A,A200,回路定義!$B:$B,P200)=0),"／回路2が定義にない","")&amp;IF(AND(S200&lt;&gt;"",COUNTIFS(回路定義!$A:$A,A200,回路定義!$B:$B,S200)=0),"／回路3が定義にない",""),2,300)))</f>
        <v/>
      </c>
    </row>
    <row r="201">
      <c r="A201" s="5" t="n"/>
      <c r="B201" s="5" t="n"/>
      <c r="C201" s="5" t="n"/>
      <c r="D201" s="5" t="n"/>
      <c r="E201" s="6">
        <f>IF(C201="","",C201+D201-1)</f>
        <v/>
      </c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6">
        <f>COUNT(N201,Q201,T201)</f>
        <v/>
      </c>
      <c r="Z201" s="6">
        <f>IF(OR(K201="",NOT(ISNUMBER(K201))),"",K201*SUM(N201,Q201,T201))</f>
        <v/>
      </c>
      <c r="AA201" s="6">
        <f>IF(OR(Y201=0,N201=""),"",N201/Y201)</f>
        <v/>
      </c>
      <c r="AB201" s="6">
        <f>IF(OR(Y201=0,Q201=""),"",Q201/Y201)</f>
        <v/>
      </c>
      <c r="AC201" s="6">
        <f>IF(OR(Y201=0,T201=""),"",T201/Y201)</f>
        <v/>
      </c>
      <c r="AD201" s="6">
        <f>IF(F201="","",IF((IF(AND(Y201=0,NOT(SUMPRODUCT(--ISNUMBER(SEARCH({"棚板","棚","アングル","ｱﾝｸﾞﾙ","使用不可","ケーブル","ｹｰﾌﾞﾙ","PatchPnael","パッチ","引き出し","引出","ブランク","ﾌﾞﾗﾝｸ","マネージ","ﾏﾈｰｼﾞ","PDU","ONU"},$F201&amp;"")))&gt;0),NOT(SUMPRODUCT(--ISNUMBER(SEARCH({"電源オフ","未投入","停止","未使用","撤去"},$X201&amp;"")))&gt;0)),"／電力が未記入","")&amp;IF(AND(NOT(ISNUMBER(J201)),NOT(SUMPRODUCT(--ISNUMBER(SEARCH({"棚板","棚","アングル","ｱﾝｸﾞﾙ","使用不可","ケーブル","ｹｰﾌﾞﾙ","PatchPnael","パッチ","引き出し","引出","ブランク","ﾌﾞﾗﾝｸ","マネージ","ﾏﾈｰｼﾞ","PDU","ONU"},$F201&amp;"")))&gt;0)),"／重量が未記入","")&amp;IF(AND(K201&lt;&gt;"",NOT(ISNUMBER(K201))),"／電圧が数値でない","")&amp;IF(AND(N201&lt;&gt;"",NOT(ISNUMBER(N201))),"／電流が数値でない","")&amp;IF(AND(C201&lt;&gt;"",C201&lt;1),"／開始Uが1未満","")&amp;IF(AND(E201&lt;&gt;"",E201&gt;IFERROR(VLOOKUP(A201,ラック定義!$A:$B,2,FALSE),47)),"／総Uをはみ出す","")&amp;IF(AND(A201&lt;&gt;"",COUNTIF(ラック定義!$A:$A,A201)=0),"／ラックが定義にない","")&amp;IF(AND(SUMPRODUCT((機器台帳!$A$2:$A$400=$A201)*((機器台帳!$B$2:$B$400=$B201)+(機器台帳!$B$2:$B$400="両面")+($B201="両面")&gt;0)*(機器台帳!$C$2:$C$400&lt;=$C201+$D201-1)*(機器台帳!$C$2:$C$400+機器台帳!$D$2:$D$400-1&gt;=$C201)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201&amp;"")))&gt;0)),"／同じUに他の機器(横並びなら正常)","")&amp;IF(AND(M201&lt;&gt;"",COUNTIFS(回路定義!$A:$A,A201,回路定義!$B:$B,M201)=0),"／回路1が定義にない","")&amp;IF(AND(P201&lt;&gt;"",COUNTIFS(回路定義!$A:$A,A201,回路定義!$B:$B,P201)=0),"／回路2が定義にない","")&amp;IF(AND(S201&lt;&gt;"",COUNTIFS(回路定義!$A:$A,A201,回路定義!$B:$B,S201)=0),"／回路3が定義にない",""))="","",MID(IF(AND(Y201=0,NOT(SUMPRODUCT(--ISNUMBER(SEARCH({"棚板","棚","アングル","ｱﾝｸﾞﾙ","使用不可","ケーブル","ｹｰﾌﾞﾙ","PatchPnael","パッチ","引き出し","引出","ブランク","ﾌﾞﾗﾝｸ","マネージ","ﾏﾈｰｼﾞ","PDU","ONU"},$F201&amp;"")))&gt;0),NOT(SUMPRODUCT(--ISNUMBER(SEARCH({"電源オフ","未投入","停止","未使用","撤去"},$X201&amp;"")))&gt;0)),"／電力が未記入","")&amp;IF(AND(NOT(ISNUMBER(J201)),NOT(SUMPRODUCT(--ISNUMBER(SEARCH({"棚板","棚","アングル","ｱﾝｸﾞﾙ","使用不可","ケーブル","ｹｰﾌﾞﾙ","PatchPnael","パッチ","引き出し","引出","ブランク","ﾌﾞﾗﾝｸ","マネージ","ﾏﾈｰｼﾞ","PDU","ONU"},$F201&amp;"")))&gt;0)),"／重量が未記入","")&amp;IF(AND(K201&lt;&gt;"",NOT(ISNUMBER(K201))),"／電圧が数値でない","")&amp;IF(AND(N201&lt;&gt;"",NOT(ISNUMBER(N201))),"／電流が数値でない","")&amp;IF(AND(C201&lt;&gt;"",C201&lt;1),"／開始Uが1未満","")&amp;IF(AND(E201&lt;&gt;"",E201&gt;IFERROR(VLOOKUP(A201,ラック定義!$A:$B,2,FALSE),47)),"／総Uをはみ出す","")&amp;IF(AND(A201&lt;&gt;"",COUNTIF(ラック定義!$A:$A,A201)=0),"／ラックが定義にない","")&amp;IF(AND(SUMPRODUCT((機器台帳!$A$2:$A$400=$A201)*((機器台帳!$B$2:$B$400=$B201)+(機器台帳!$B$2:$B$400="両面")+($B201="両面")&gt;0)*(機器台帳!$C$2:$C$400&lt;=$C201+$D201-1)*(機器台帳!$C$2:$C$400+機器台帳!$D$2:$D$400-1&gt;=$C201)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201&amp;"")))&gt;0)),"／同じUに他の機器(横並びなら正常)","")&amp;IF(AND(M201&lt;&gt;"",COUNTIFS(回路定義!$A:$A,A201,回路定義!$B:$B,M201)=0),"／回路1が定義にない","")&amp;IF(AND(P201&lt;&gt;"",COUNTIFS(回路定義!$A:$A,A201,回路定義!$B:$B,P201)=0),"／回路2が定義にない","")&amp;IF(AND(S201&lt;&gt;"",COUNTIFS(回路定義!$A:$A,A201,回路定義!$B:$B,S201)=0),"／回路3が定義にない",""),2,300)))</f>
        <v/>
      </c>
    </row>
    <row r="202">
      <c r="A202" s="5" t="n"/>
      <c r="B202" s="5" t="n"/>
      <c r="C202" s="5" t="n"/>
      <c r="D202" s="5" t="n"/>
      <c r="E202" s="6">
        <f>IF(C202="","",C202+D202-1)</f>
        <v/>
      </c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6">
        <f>COUNT(N202,Q202,T202)</f>
        <v/>
      </c>
      <c r="Z202" s="6">
        <f>IF(OR(K202="",NOT(ISNUMBER(K202))),"",K202*SUM(N202,Q202,T202))</f>
        <v/>
      </c>
      <c r="AA202" s="6">
        <f>IF(OR(Y202=0,N202=""),"",N202/Y202)</f>
        <v/>
      </c>
      <c r="AB202" s="6">
        <f>IF(OR(Y202=0,Q202=""),"",Q202/Y202)</f>
        <v/>
      </c>
      <c r="AC202" s="6">
        <f>IF(OR(Y202=0,T202=""),"",T202/Y202)</f>
        <v/>
      </c>
      <c r="AD202" s="6">
        <f>IF(F202="","",IF((IF(AND(Y202=0,NOT(SUMPRODUCT(--ISNUMBER(SEARCH({"棚板","棚","アングル","ｱﾝｸﾞﾙ","使用不可","ケーブル","ｹｰﾌﾞﾙ","PatchPnael","パッチ","引き出し","引出","ブランク","ﾌﾞﾗﾝｸ","マネージ","ﾏﾈｰｼﾞ","PDU","ONU"},$F202&amp;"")))&gt;0),NOT(SUMPRODUCT(--ISNUMBER(SEARCH({"電源オフ","未投入","停止","未使用","撤去"},$X202&amp;"")))&gt;0)),"／電力が未記入","")&amp;IF(AND(NOT(ISNUMBER(J202)),NOT(SUMPRODUCT(--ISNUMBER(SEARCH({"棚板","棚","アングル","ｱﾝｸﾞﾙ","使用不可","ケーブル","ｹｰﾌﾞﾙ","PatchPnael","パッチ","引き出し","引出","ブランク","ﾌﾞﾗﾝｸ","マネージ","ﾏﾈｰｼﾞ","PDU","ONU"},$F202&amp;"")))&gt;0)),"／重量が未記入","")&amp;IF(AND(K202&lt;&gt;"",NOT(ISNUMBER(K202))),"／電圧が数値でない","")&amp;IF(AND(N202&lt;&gt;"",NOT(ISNUMBER(N202))),"／電流が数値でない","")&amp;IF(AND(C202&lt;&gt;"",C202&lt;1),"／開始Uが1未満","")&amp;IF(AND(E202&lt;&gt;"",E202&gt;IFERROR(VLOOKUP(A202,ラック定義!$A:$B,2,FALSE),47)),"／総Uをはみ出す","")&amp;IF(AND(A202&lt;&gt;"",COUNTIF(ラック定義!$A:$A,A202)=0),"／ラックが定義にない","")&amp;IF(AND(SUMPRODUCT((機器台帳!$A$2:$A$400=$A202)*((機器台帳!$B$2:$B$400=$B202)+(機器台帳!$B$2:$B$400="両面")+($B202="両面")&gt;0)*(機器台帳!$C$2:$C$400&lt;=$C202+$D202-1)*(機器台帳!$C$2:$C$400+機器台帳!$D$2:$D$400-1&gt;=$C202)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202&amp;"")))&gt;0)),"／同じUに他の機器(横並びなら正常)","")&amp;IF(AND(M202&lt;&gt;"",COUNTIFS(回路定義!$A:$A,A202,回路定義!$B:$B,M202)=0),"／回路1が定義にない","")&amp;IF(AND(P202&lt;&gt;"",COUNTIFS(回路定義!$A:$A,A202,回路定義!$B:$B,P202)=0),"／回路2が定義にない","")&amp;IF(AND(S202&lt;&gt;"",COUNTIFS(回路定義!$A:$A,A202,回路定義!$B:$B,S202)=0),"／回路3が定義にない",""))="","",MID(IF(AND(Y202=0,NOT(SUMPRODUCT(--ISNUMBER(SEARCH({"棚板","棚","アングル","ｱﾝｸﾞﾙ","使用不可","ケーブル","ｹｰﾌﾞﾙ","PatchPnael","パッチ","引き出し","引出","ブランク","ﾌﾞﾗﾝｸ","マネージ","ﾏﾈｰｼﾞ","PDU","ONU"},$F202&amp;"")))&gt;0),NOT(SUMPRODUCT(--ISNUMBER(SEARCH({"電源オフ","未投入","停止","未使用","撤去"},$X202&amp;"")))&gt;0)),"／電力が未記入","")&amp;IF(AND(NOT(ISNUMBER(J202)),NOT(SUMPRODUCT(--ISNUMBER(SEARCH({"棚板","棚","アングル","ｱﾝｸﾞﾙ","使用不可","ケーブル","ｹｰﾌﾞﾙ","PatchPnael","パッチ","引き出し","引出","ブランク","ﾌﾞﾗﾝｸ","マネージ","ﾏﾈｰｼﾞ","PDU","ONU"},$F202&amp;"")))&gt;0)),"／重量が未記入","")&amp;IF(AND(K202&lt;&gt;"",NOT(ISNUMBER(K202))),"／電圧が数値でない","")&amp;IF(AND(N202&lt;&gt;"",NOT(ISNUMBER(N202))),"／電流が数値でない","")&amp;IF(AND(C202&lt;&gt;"",C202&lt;1),"／開始Uが1未満","")&amp;IF(AND(E202&lt;&gt;"",E202&gt;IFERROR(VLOOKUP(A202,ラック定義!$A:$B,2,FALSE),47)),"／総Uをはみ出す","")&amp;IF(AND(A202&lt;&gt;"",COUNTIF(ラック定義!$A:$A,A202)=0),"／ラックが定義にない","")&amp;IF(AND(SUMPRODUCT((機器台帳!$A$2:$A$400=$A202)*((機器台帳!$B$2:$B$400=$B202)+(機器台帳!$B$2:$B$400="両面")+($B202="両面")&gt;0)*(機器台帳!$C$2:$C$400&lt;=$C202+$D202-1)*(機器台帳!$C$2:$C$400+機器台帳!$D$2:$D$400-1&gt;=$C202)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202&amp;"")))&gt;0)),"／同じUに他の機器(横並びなら正常)","")&amp;IF(AND(M202&lt;&gt;"",COUNTIFS(回路定義!$A:$A,A202,回路定義!$B:$B,M202)=0),"／回路1が定義にない","")&amp;IF(AND(P202&lt;&gt;"",COUNTIFS(回路定義!$A:$A,A202,回路定義!$B:$B,P202)=0),"／回路2が定義にない","")&amp;IF(AND(S202&lt;&gt;"",COUNTIFS(回路定義!$A:$A,A202,回路定義!$B:$B,S202)=0),"／回路3が定義にない",""),2,300)))</f>
        <v/>
      </c>
    </row>
    <row r="203">
      <c r="A203" s="5" t="n"/>
      <c r="B203" s="5" t="n"/>
      <c r="C203" s="5" t="n"/>
      <c r="D203" s="5" t="n"/>
      <c r="E203" s="6">
        <f>IF(C203="","",C203+D203-1)</f>
        <v/>
      </c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6">
        <f>COUNT(N203,Q203,T203)</f>
        <v/>
      </c>
      <c r="Z203" s="6">
        <f>IF(OR(K203="",NOT(ISNUMBER(K203))),"",K203*SUM(N203,Q203,T203))</f>
        <v/>
      </c>
      <c r="AA203" s="6">
        <f>IF(OR(Y203=0,N203=""),"",N203/Y203)</f>
        <v/>
      </c>
      <c r="AB203" s="6">
        <f>IF(OR(Y203=0,Q203=""),"",Q203/Y203)</f>
        <v/>
      </c>
      <c r="AC203" s="6">
        <f>IF(OR(Y203=0,T203=""),"",T203/Y203)</f>
        <v/>
      </c>
      <c r="AD203" s="6">
        <f>IF(F203="","",IF((IF(AND(Y203=0,NOT(SUMPRODUCT(--ISNUMBER(SEARCH({"棚板","棚","アングル","ｱﾝｸﾞﾙ","使用不可","ケーブル","ｹｰﾌﾞﾙ","PatchPnael","パッチ","引き出し","引出","ブランク","ﾌﾞﾗﾝｸ","マネージ","ﾏﾈｰｼﾞ","PDU","ONU"},$F203&amp;"")))&gt;0),NOT(SUMPRODUCT(--ISNUMBER(SEARCH({"電源オフ","未投入","停止","未使用","撤去"},$X203&amp;"")))&gt;0)),"／電力が未記入","")&amp;IF(AND(NOT(ISNUMBER(J203)),NOT(SUMPRODUCT(--ISNUMBER(SEARCH({"棚板","棚","アングル","ｱﾝｸﾞﾙ","使用不可","ケーブル","ｹｰﾌﾞﾙ","PatchPnael","パッチ","引き出し","引出","ブランク","ﾌﾞﾗﾝｸ","マネージ","ﾏﾈｰｼﾞ","PDU","ONU"},$F203&amp;"")))&gt;0)),"／重量が未記入","")&amp;IF(AND(K203&lt;&gt;"",NOT(ISNUMBER(K203))),"／電圧が数値でない","")&amp;IF(AND(N203&lt;&gt;"",NOT(ISNUMBER(N203))),"／電流が数値でない","")&amp;IF(AND(C203&lt;&gt;"",C203&lt;1),"／開始Uが1未満","")&amp;IF(AND(E203&lt;&gt;"",E203&gt;IFERROR(VLOOKUP(A203,ラック定義!$A:$B,2,FALSE),47)),"／総Uをはみ出す","")&amp;IF(AND(A203&lt;&gt;"",COUNTIF(ラック定義!$A:$A,A203)=0),"／ラックが定義にない","")&amp;IF(AND(SUMPRODUCT((機器台帳!$A$2:$A$400=$A203)*((機器台帳!$B$2:$B$400=$B203)+(機器台帳!$B$2:$B$400="両面")+($B203="両面")&gt;0)*(機器台帳!$C$2:$C$400&lt;=$C203+$D203-1)*(機器台帳!$C$2:$C$400+機器台帳!$D$2:$D$400-1&gt;=$C203)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203&amp;"")))&gt;0)),"／同じUに他の機器(横並びなら正常)","")&amp;IF(AND(M203&lt;&gt;"",COUNTIFS(回路定義!$A:$A,A203,回路定義!$B:$B,M203)=0),"／回路1が定義にない","")&amp;IF(AND(P203&lt;&gt;"",COUNTIFS(回路定義!$A:$A,A203,回路定義!$B:$B,P203)=0),"／回路2が定義にない","")&amp;IF(AND(S203&lt;&gt;"",COUNTIFS(回路定義!$A:$A,A203,回路定義!$B:$B,S203)=0),"／回路3が定義にない",""))="","",MID(IF(AND(Y203=0,NOT(SUMPRODUCT(--ISNUMBER(SEARCH({"棚板","棚","アングル","ｱﾝｸﾞﾙ","使用不可","ケーブル","ｹｰﾌﾞﾙ","PatchPnael","パッチ","引き出し","引出","ブランク","ﾌﾞﾗﾝｸ","マネージ","ﾏﾈｰｼﾞ","PDU","ONU"},$F203&amp;"")))&gt;0),NOT(SUMPRODUCT(--ISNUMBER(SEARCH({"電源オフ","未投入","停止","未使用","撤去"},$X203&amp;"")))&gt;0)),"／電力が未記入","")&amp;IF(AND(NOT(ISNUMBER(J203)),NOT(SUMPRODUCT(--ISNUMBER(SEARCH({"棚板","棚","アングル","ｱﾝｸﾞﾙ","使用不可","ケーブル","ｹｰﾌﾞﾙ","PatchPnael","パッチ","引き出し","引出","ブランク","ﾌﾞﾗﾝｸ","マネージ","ﾏﾈｰｼﾞ","PDU","ONU"},$F203&amp;"")))&gt;0)),"／重量が未記入","")&amp;IF(AND(K203&lt;&gt;"",NOT(ISNUMBER(K203))),"／電圧が数値でない","")&amp;IF(AND(N203&lt;&gt;"",NOT(ISNUMBER(N203))),"／電流が数値でない","")&amp;IF(AND(C203&lt;&gt;"",C203&lt;1),"／開始Uが1未満","")&amp;IF(AND(E203&lt;&gt;"",E203&gt;IFERROR(VLOOKUP(A203,ラック定義!$A:$B,2,FALSE),47)),"／総Uをはみ出す","")&amp;IF(AND(A203&lt;&gt;"",COUNTIF(ラック定義!$A:$A,A203)=0),"／ラックが定義にない","")&amp;IF(AND(SUMPRODUCT((機器台帳!$A$2:$A$400=$A203)*((機器台帳!$B$2:$B$400=$B203)+(機器台帳!$B$2:$B$400="両面")+($B203="両面")&gt;0)*(機器台帳!$C$2:$C$400&lt;=$C203+$D203-1)*(機器台帳!$C$2:$C$400+機器台帳!$D$2:$D$400-1&gt;=$C203)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203&amp;"")))&gt;0)),"／同じUに他の機器(横並びなら正常)","")&amp;IF(AND(M203&lt;&gt;"",COUNTIFS(回路定義!$A:$A,A203,回路定義!$B:$B,M203)=0),"／回路1が定義にない","")&amp;IF(AND(P203&lt;&gt;"",COUNTIFS(回路定義!$A:$A,A203,回路定義!$B:$B,P203)=0),"／回路2が定義にない","")&amp;IF(AND(S203&lt;&gt;"",COUNTIFS(回路定義!$A:$A,A203,回路定義!$B:$B,S203)=0),"／回路3が定義にない",""),2,300)))</f>
        <v/>
      </c>
    </row>
    <row r="204">
      <c r="A204" s="5" t="n"/>
      <c r="B204" s="5" t="n"/>
      <c r="C204" s="5" t="n"/>
      <c r="D204" s="5" t="n"/>
      <c r="E204" s="6">
        <f>IF(C204="","",C204+D204-1)</f>
        <v/>
      </c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6">
        <f>COUNT(N204,Q204,T204)</f>
        <v/>
      </c>
      <c r="Z204" s="6">
        <f>IF(OR(K204="",NOT(ISNUMBER(K204))),"",K204*SUM(N204,Q204,T204))</f>
        <v/>
      </c>
      <c r="AA204" s="6">
        <f>IF(OR(Y204=0,N204=""),"",N204/Y204)</f>
        <v/>
      </c>
      <c r="AB204" s="6">
        <f>IF(OR(Y204=0,Q204=""),"",Q204/Y204)</f>
        <v/>
      </c>
      <c r="AC204" s="6">
        <f>IF(OR(Y204=0,T204=""),"",T204/Y204)</f>
        <v/>
      </c>
      <c r="AD204" s="6">
        <f>IF(F204="","",IF((IF(AND(Y204=0,NOT(SUMPRODUCT(--ISNUMBER(SEARCH({"棚板","棚","アングル","ｱﾝｸﾞﾙ","使用不可","ケーブル","ｹｰﾌﾞﾙ","PatchPnael","パッチ","引き出し","引出","ブランク","ﾌﾞﾗﾝｸ","マネージ","ﾏﾈｰｼﾞ","PDU","ONU"},$F204&amp;"")))&gt;0),NOT(SUMPRODUCT(--ISNUMBER(SEARCH({"電源オフ","未投入","停止","未使用","撤去"},$X204&amp;"")))&gt;0)),"／電力が未記入","")&amp;IF(AND(NOT(ISNUMBER(J204)),NOT(SUMPRODUCT(--ISNUMBER(SEARCH({"棚板","棚","アングル","ｱﾝｸﾞﾙ","使用不可","ケーブル","ｹｰﾌﾞﾙ","PatchPnael","パッチ","引き出し","引出","ブランク","ﾌﾞﾗﾝｸ","マネージ","ﾏﾈｰｼﾞ","PDU","ONU"},$F204&amp;"")))&gt;0)),"／重量が未記入","")&amp;IF(AND(K204&lt;&gt;"",NOT(ISNUMBER(K204))),"／電圧が数値でない","")&amp;IF(AND(N204&lt;&gt;"",NOT(ISNUMBER(N204))),"／電流が数値でない","")&amp;IF(AND(C204&lt;&gt;"",C204&lt;1),"／開始Uが1未満","")&amp;IF(AND(E204&lt;&gt;"",E204&gt;IFERROR(VLOOKUP(A204,ラック定義!$A:$B,2,FALSE),47)),"／総Uをはみ出す","")&amp;IF(AND(A204&lt;&gt;"",COUNTIF(ラック定義!$A:$A,A204)=0),"／ラックが定義にない","")&amp;IF(AND(SUMPRODUCT((機器台帳!$A$2:$A$400=$A204)*((機器台帳!$B$2:$B$400=$B204)+(機器台帳!$B$2:$B$400="両面")+($B204="両面")&gt;0)*(機器台帳!$C$2:$C$400&lt;=$C204+$D204-1)*(機器台帳!$C$2:$C$400+機器台帳!$D$2:$D$400-1&gt;=$C204)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204&amp;"")))&gt;0)),"／同じUに他の機器(横並びなら正常)","")&amp;IF(AND(M204&lt;&gt;"",COUNTIFS(回路定義!$A:$A,A204,回路定義!$B:$B,M204)=0),"／回路1が定義にない","")&amp;IF(AND(P204&lt;&gt;"",COUNTIFS(回路定義!$A:$A,A204,回路定義!$B:$B,P204)=0),"／回路2が定義にない","")&amp;IF(AND(S204&lt;&gt;"",COUNTIFS(回路定義!$A:$A,A204,回路定義!$B:$B,S204)=0),"／回路3が定義にない",""))="","",MID(IF(AND(Y204=0,NOT(SUMPRODUCT(--ISNUMBER(SEARCH({"棚板","棚","アングル","ｱﾝｸﾞﾙ","使用不可","ケーブル","ｹｰﾌﾞﾙ","PatchPnael","パッチ","引き出し","引出","ブランク","ﾌﾞﾗﾝｸ","マネージ","ﾏﾈｰｼﾞ","PDU","ONU"},$F204&amp;"")))&gt;0),NOT(SUMPRODUCT(--ISNUMBER(SEARCH({"電源オフ","未投入","停止","未使用","撤去"},$X204&amp;"")))&gt;0)),"／電力が未記入","")&amp;IF(AND(NOT(ISNUMBER(J204)),NOT(SUMPRODUCT(--ISNUMBER(SEARCH({"棚板","棚","アングル","ｱﾝｸﾞﾙ","使用不可","ケーブル","ｹｰﾌﾞﾙ","PatchPnael","パッチ","引き出し","引出","ブランク","ﾌﾞﾗﾝｸ","マネージ","ﾏﾈｰｼﾞ","PDU","ONU"},$F204&amp;"")))&gt;0)),"／重量が未記入","")&amp;IF(AND(K204&lt;&gt;"",NOT(ISNUMBER(K204))),"／電圧が数値でない","")&amp;IF(AND(N204&lt;&gt;"",NOT(ISNUMBER(N204))),"／電流が数値でない","")&amp;IF(AND(C204&lt;&gt;"",C204&lt;1),"／開始Uが1未満","")&amp;IF(AND(E204&lt;&gt;"",E204&gt;IFERROR(VLOOKUP(A204,ラック定義!$A:$B,2,FALSE),47)),"／総Uをはみ出す","")&amp;IF(AND(A204&lt;&gt;"",COUNTIF(ラック定義!$A:$A,A204)=0),"／ラックが定義にない","")&amp;IF(AND(SUMPRODUCT((機器台帳!$A$2:$A$400=$A204)*((機器台帳!$B$2:$B$400=$B204)+(機器台帳!$B$2:$B$400="両面")+($B204="両面")&gt;0)*(機器台帳!$C$2:$C$400&lt;=$C204+$D204-1)*(機器台帳!$C$2:$C$400+機器台帳!$D$2:$D$400-1&gt;=$C204)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204&amp;"")))&gt;0)),"／同じUに他の機器(横並びなら正常)","")&amp;IF(AND(M204&lt;&gt;"",COUNTIFS(回路定義!$A:$A,A204,回路定義!$B:$B,M204)=0),"／回路1が定義にない","")&amp;IF(AND(P204&lt;&gt;"",COUNTIFS(回路定義!$A:$A,A204,回路定義!$B:$B,P204)=0),"／回路2が定義にない","")&amp;IF(AND(S204&lt;&gt;"",COUNTIFS(回路定義!$A:$A,A204,回路定義!$B:$B,S204)=0),"／回路3が定義にない",""),2,300)))</f>
        <v/>
      </c>
    </row>
    <row r="205">
      <c r="A205" s="5" t="n"/>
      <c r="B205" s="5" t="n"/>
      <c r="C205" s="5" t="n"/>
      <c r="D205" s="5" t="n"/>
      <c r="E205" s="6">
        <f>IF(C205="","",C205+D205-1)</f>
        <v/>
      </c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6">
        <f>COUNT(N205,Q205,T205)</f>
        <v/>
      </c>
      <c r="Z205" s="6">
        <f>IF(OR(K205="",NOT(ISNUMBER(K205))),"",K205*SUM(N205,Q205,T205))</f>
        <v/>
      </c>
      <c r="AA205" s="6">
        <f>IF(OR(Y205=0,N205=""),"",N205/Y205)</f>
        <v/>
      </c>
      <c r="AB205" s="6">
        <f>IF(OR(Y205=0,Q205=""),"",Q205/Y205)</f>
        <v/>
      </c>
      <c r="AC205" s="6">
        <f>IF(OR(Y205=0,T205=""),"",T205/Y205)</f>
        <v/>
      </c>
      <c r="AD205" s="6">
        <f>IF(F205="","",IF((IF(AND(Y205=0,NOT(SUMPRODUCT(--ISNUMBER(SEARCH({"棚板","棚","アングル","ｱﾝｸﾞﾙ","使用不可","ケーブル","ｹｰﾌﾞﾙ","PatchPnael","パッチ","引き出し","引出","ブランク","ﾌﾞﾗﾝｸ","マネージ","ﾏﾈｰｼﾞ","PDU","ONU"},$F205&amp;"")))&gt;0),NOT(SUMPRODUCT(--ISNUMBER(SEARCH({"電源オフ","未投入","停止","未使用","撤去"},$X205&amp;"")))&gt;0)),"／電力が未記入","")&amp;IF(AND(NOT(ISNUMBER(J205)),NOT(SUMPRODUCT(--ISNUMBER(SEARCH({"棚板","棚","アングル","ｱﾝｸﾞﾙ","使用不可","ケーブル","ｹｰﾌﾞﾙ","PatchPnael","パッチ","引き出し","引出","ブランク","ﾌﾞﾗﾝｸ","マネージ","ﾏﾈｰｼﾞ","PDU","ONU"},$F205&amp;"")))&gt;0)),"／重量が未記入","")&amp;IF(AND(K205&lt;&gt;"",NOT(ISNUMBER(K205))),"／電圧が数値でない","")&amp;IF(AND(N205&lt;&gt;"",NOT(ISNUMBER(N205))),"／電流が数値でない","")&amp;IF(AND(C205&lt;&gt;"",C205&lt;1),"／開始Uが1未満","")&amp;IF(AND(E205&lt;&gt;"",E205&gt;IFERROR(VLOOKUP(A205,ラック定義!$A:$B,2,FALSE),47)),"／総Uをはみ出す","")&amp;IF(AND(A205&lt;&gt;"",COUNTIF(ラック定義!$A:$A,A205)=0),"／ラックが定義にない","")&amp;IF(AND(SUMPRODUCT((機器台帳!$A$2:$A$400=$A205)*((機器台帳!$B$2:$B$400=$B205)+(機器台帳!$B$2:$B$400="両面")+($B205="両面")&gt;0)*(機器台帳!$C$2:$C$400&lt;=$C205+$D205-1)*(機器台帳!$C$2:$C$400+機器台帳!$D$2:$D$400-1&gt;=$C205)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205&amp;"")))&gt;0)),"／同じUに他の機器(横並びなら正常)","")&amp;IF(AND(M205&lt;&gt;"",COUNTIFS(回路定義!$A:$A,A205,回路定義!$B:$B,M205)=0),"／回路1が定義にない","")&amp;IF(AND(P205&lt;&gt;"",COUNTIFS(回路定義!$A:$A,A205,回路定義!$B:$B,P205)=0),"／回路2が定義にない","")&amp;IF(AND(S205&lt;&gt;"",COUNTIFS(回路定義!$A:$A,A205,回路定義!$B:$B,S205)=0),"／回路3が定義にない",""))="","",MID(IF(AND(Y205=0,NOT(SUMPRODUCT(--ISNUMBER(SEARCH({"棚板","棚","アングル","ｱﾝｸﾞﾙ","使用不可","ケーブル","ｹｰﾌﾞﾙ","PatchPnael","パッチ","引き出し","引出","ブランク","ﾌﾞﾗﾝｸ","マネージ","ﾏﾈｰｼﾞ","PDU","ONU"},$F205&amp;"")))&gt;0),NOT(SUMPRODUCT(--ISNUMBER(SEARCH({"電源オフ","未投入","停止","未使用","撤去"},$X205&amp;"")))&gt;0)),"／電力が未記入","")&amp;IF(AND(NOT(ISNUMBER(J205)),NOT(SUMPRODUCT(--ISNUMBER(SEARCH({"棚板","棚","アングル","ｱﾝｸﾞﾙ","使用不可","ケーブル","ｹｰﾌﾞﾙ","PatchPnael","パッチ","引き出し","引出","ブランク","ﾌﾞﾗﾝｸ","マネージ","ﾏﾈｰｼﾞ","PDU","ONU"},$F205&amp;"")))&gt;0)),"／重量が未記入","")&amp;IF(AND(K205&lt;&gt;"",NOT(ISNUMBER(K205))),"／電圧が数値でない","")&amp;IF(AND(N205&lt;&gt;"",NOT(ISNUMBER(N205))),"／電流が数値でない","")&amp;IF(AND(C205&lt;&gt;"",C205&lt;1),"／開始Uが1未満","")&amp;IF(AND(E205&lt;&gt;"",E205&gt;IFERROR(VLOOKUP(A205,ラック定義!$A:$B,2,FALSE),47)),"／総Uをはみ出す","")&amp;IF(AND(A205&lt;&gt;"",COUNTIF(ラック定義!$A:$A,A205)=0),"／ラックが定義にない","")&amp;IF(AND(SUMPRODUCT((機器台帳!$A$2:$A$400=$A205)*((機器台帳!$B$2:$B$400=$B205)+(機器台帳!$B$2:$B$400="両面")+($B205="両面")&gt;0)*(機器台帳!$C$2:$C$400&lt;=$C205+$D205-1)*(機器台帳!$C$2:$C$400+機器台帳!$D$2:$D$400-1&gt;=$C205)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205&amp;"")))&gt;0)),"／同じUに他の機器(横並びなら正常)","")&amp;IF(AND(M205&lt;&gt;"",COUNTIFS(回路定義!$A:$A,A205,回路定義!$B:$B,M205)=0),"／回路1が定義にない","")&amp;IF(AND(P205&lt;&gt;"",COUNTIFS(回路定義!$A:$A,A205,回路定義!$B:$B,P205)=0),"／回路2が定義にない","")&amp;IF(AND(S205&lt;&gt;"",COUNTIFS(回路定義!$A:$A,A205,回路定義!$B:$B,S205)=0),"／回路3が定義にない",""),2,300)))</f>
        <v/>
      </c>
    </row>
    <row r="206">
      <c r="A206" s="5" t="n"/>
      <c r="B206" s="5" t="n"/>
      <c r="C206" s="5" t="n"/>
      <c r="D206" s="5" t="n"/>
      <c r="E206" s="6">
        <f>IF(C206="","",C206+D206-1)</f>
        <v/>
      </c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6">
        <f>COUNT(N206,Q206,T206)</f>
        <v/>
      </c>
      <c r="Z206" s="6">
        <f>IF(OR(K206="",NOT(ISNUMBER(K206))),"",K206*SUM(N206,Q206,T206))</f>
        <v/>
      </c>
      <c r="AA206" s="6">
        <f>IF(OR(Y206=0,N206=""),"",N206/Y206)</f>
        <v/>
      </c>
      <c r="AB206" s="6">
        <f>IF(OR(Y206=0,Q206=""),"",Q206/Y206)</f>
        <v/>
      </c>
      <c r="AC206" s="6">
        <f>IF(OR(Y206=0,T206=""),"",T206/Y206)</f>
        <v/>
      </c>
      <c r="AD206" s="6">
        <f>IF(F206="","",IF((IF(AND(Y206=0,NOT(SUMPRODUCT(--ISNUMBER(SEARCH({"棚板","棚","アングル","ｱﾝｸﾞﾙ","使用不可","ケーブル","ｹｰﾌﾞﾙ","PatchPnael","パッチ","引き出し","引出","ブランク","ﾌﾞﾗﾝｸ","マネージ","ﾏﾈｰｼﾞ","PDU","ONU"},$F206&amp;"")))&gt;0),NOT(SUMPRODUCT(--ISNUMBER(SEARCH({"電源オフ","未投入","停止","未使用","撤去"},$X206&amp;"")))&gt;0)),"／電力が未記入","")&amp;IF(AND(NOT(ISNUMBER(J206)),NOT(SUMPRODUCT(--ISNUMBER(SEARCH({"棚板","棚","アングル","ｱﾝｸﾞﾙ","使用不可","ケーブル","ｹｰﾌﾞﾙ","PatchPnael","パッチ","引き出し","引出","ブランク","ﾌﾞﾗﾝｸ","マネージ","ﾏﾈｰｼﾞ","PDU","ONU"},$F206&amp;"")))&gt;0)),"／重量が未記入","")&amp;IF(AND(K206&lt;&gt;"",NOT(ISNUMBER(K206))),"／電圧が数値でない","")&amp;IF(AND(N206&lt;&gt;"",NOT(ISNUMBER(N206))),"／電流が数値でない","")&amp;IF(AND(C206&lt;&gt;"",C206&lt;1),"／開始Uが1未満","")&amp;IF(AND(E206&lt;&gt;"",E206&gt;IFERROR(VLOOKUP(A206,ラック定義!$A:$B,2,FALSE),47)),"／総Uをはみ出す","")&amp;IF(AND(A206&lt;&gt;"",COUNTIF(ラック定義!$A:$A,A206)=0),"／ラックが定義にない","")&amp;IF(AND(SUMPRODUCT((機器台帳!$A$2:$A$400=$A206)*((機器台帳!$B$2:$B$400=$B206)+(機器台帳!$B$2:$B$400="両面")+($B206="両面")&gt;0)*(機器台帳!$C$2:$C$400&lt;=$C206+$D206-1)*(機器台帳!$C$2:$C$400+機器台帳!$D$2:$D$400-1&gt;=$C206)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206&amp;"")))&gt;0)),"／同じUに他の機器(横並びなら正常)","")&amp;IF(AND(M206&lt;&gt;"",COUNTIFS(回路定義!$A:$A,A206,回路定義!$B:$B,M206)=0),"／回路1が定義にない","")&amp;IF(AND(P206&lt;&gt;"",COUNTIFS(回路定義!$A:$A,A206,回路定義!$B:$B,P206)=0),"／回路2が定義にない","")&amp;IF(AND(S206&lt;&gt;"",COUNTIFS(回路定義!$A:$A,A206,回路定義!$B:$B,S206)=0),"／回路3が定義にない",""))="","",MID(IF(AND(Y206=0,NOT(SUMPRODUCT(--ISNUMBER(SEARCH({"棚板","棚","アングル","ｱﾝｸﾞﾙ","使用不可","ケーブル","ｹｰﾌﾞﾙ","PatchPnael","パッチ","引き出し","引出","ブランク","ﾌﾞﾗﾝｸ","マネージ","ﾏﾈｰｼﾞ","PDU","ONU"},$F206&amp;"")))&gt;0),NOT(SUMPRODUCT(--ISNUMBER(SEARCH({"電源オフ","未投入","停止","未使用","撤去"},$X206&amp;"")))&gt;0)),"／電力が未記入","")&amp;IF(AND(NOT(ISNUMBER(J206)),NOT(SUMPRODUCT(--ISNUMBER(SEARCH({"棚板","棚","アングル","ｱﾝｸﾞﾙ","使用不可","ケーブル","ｹｰﾌﾞﾙ","PatchPnael","パッチ","引き出し","引出","ブランク","ﾌﾞﾗﾝｸ","マネージ","ﾏﾈｰｼﾞ","PDU","ONU"},$F206&amp;"")))&gt;0)),"／重量が未記入","")&amp;IF(AND(K206&lt;&gt;"",NOT(ISNUMBER(K206))),"／電圧が数値でない","")&amp;IF(AND(N206&lt;&gt;"",NOT(ISNUMBER(N206))),"／電流が数値でない","")&amp;IF(AND(C206&lt;&gt;"",C206&lt;1),"／開始Uが1未満","")&amp;IF(AND(E206&lt;&gt;"",E206&gt;IFERROR(VLOOKUP(A206,ラック定義!$A:$B,2,FALSE),47)),"／総Uをはみ出す","")&amp;IF(AND(A206&lt;&gt;"",COUNTIF(ラック定義!$A:$A,A206)=0),"／ラックが定義にない","")&amp;IF(AND(SUMPRODUCT((機器台帳!$A$2:$A$400=$A206)*((機器台帳!$B$2:$B$400=$B206)+(機器台帳!$B$2:$B$400="両面")+($B206="両面")&gt;0)*(機器台帳!$C$2:$C$400&lt;=$C206+$D206-1)*(機器台帳!$C$2:$C$400+機器台帳!$D$2:$D$400-1&gt;=$C206)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206&amp;"")))&gt;0)),"／同じUに他の機器(横並びなら正常)","")&amp;IF(AND(M206&lt;&gt;"",COUNTIFS(回路定義!$A:$A,A206,回路定義!$B:$B,M206)=0),"／回路1が定義にない","")&amp;IF(AND(P206&lt;&gt;"",COUNTIFS(回路定義!$A:$A,A206,回路定義!$B:$B,P206)=0),"／回路2が定義にない","")&amp;IF(AND(S206&lt;&gt;"",COUNTIFS(回路定義!$A:$A,A206,回路定義!$B:$B,S206)=0),"／回路3が定義にない",""),2,300)))</f>
        <v/>
      </c>
    </row>
    <row r="207">
      <c r="A207" s="5" t="n"/>
      <c r="B207" s="5" t="n"/>
      <c r="C207" s="5" t="n"/>
      <c r="D207" s="5" t="n"/>
      <c r="E207" s="6">
        <f>IF(C207="","",C207+D207-1)</f>
        <v/>
      </c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6">
        <f>COUNT(N207,Q207,T207)</f>
        <v/>
      </c>
      <c r="Z207" s="6">
        <f>IF(OR(K207="",NOT(ISNUMBER(K207))),"",K207*SUM(N207,Q207,T207))</f>
        <v/>
      </c>
      <c r="AA207" s="6">
        <f>IF(OR(Y207=0,N207=""),"",N207/Y207)</f>
        <v/>
      </c>
      <c r="AB207" s="6">
        <f>IF(OR(Y207=0,Q207=""),"",Q207/Y207)</f>
        <v/>
      </c>
      <c r="AC207" s="6">
        <f>IF(OR(Y207=0,T207=""),"",T207/Y207)</f>
        <v/>
      </c>
      <c r="AD207" s="6">
        <f>IF(F207="","",IF((IF(AND(Y207=0,NOT(SUMPRODUCT(--ISNUMBER(SEARCH({"棚板","棚","アングル","ｱﾝｸﾞﾙ","使用不可","ケーブル","ｹｰﾌﾞﾙ","PatchPnael","パッチ","引き出し","引出","ブランク","ﾌﾞﾗﾝｸ","マネージ","ﾏﾈｰｼﾞ","PDU","ONU"},$F207&amp;"")))&gt;0),NOT(SUMPRODUCT(--ISNUMBER(SEARCH({"電源オフ","未投入","停止","未使用","撤去"},$X207&amp;"")))&gt;0)),"／電力が未記入","")&amp;IF(AND(NOT(ISNUMBER(J207)),NOT(SUMPRODUCT(--ISNUMBER(SEARCH({"棚板","棚","アングル","ｱﾝｸﾞﾙ","使用不可","ケーブル","ｹｰﾌﾞﾙ","PatchPnael","パッチ","引き出し","引出","ブランク","ﾌﾞﾗﾝｸ","マネージ","ﾏﾈｰｼﾞ","PDU","ONU"},$F207&amp;"")))&gt;0)),"／重量が未記入","")&amp;IF(AND(K207&lt;&gt;"",NOT(ISNUMBER(K207))),"／電圧が数値でない","")&amp;IF(AND(N207&lt;&gt;"",NOT(ISNUMBER(N207))),"／電流が数値でない","")&amp;IF(AND(C207&lt;&gt;"",C207&lt;1),"／開始Uが1未満","")&amp;IF(AND(E207&lt;&gt;"",E207&gt;IFERROR(VLOOKUP(A207,ラック定義!$A:$B,2,FALSE),47)),"／総Uをはみ出す","")&amp;IF(AND(A207&lt;&gt;"",COUNTIF(ラック定義!$A:$A,A207)=0),"／ラックが定義にない","")&amp;IF(AND(SUMPRODUCT((機器台帳!$A$2:$A$400=$A207)*((機器台帳!$B$2:$B$400=$B207)+(機器台帳!$B$2:$B$400="両面")+($B207="両面")&gt;0)*(機器台帳!$C$2:$C$400&lt;=$C207+$D207-1)*(機器台帳!$C$2:$C$400+機器台帳!$D$2:$D$400-1&gt;=$C207)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207&amp;"")))&gt;0)),"／同じUに他の機器(横並びなら正常)","")&amp;IF(AND(M207&lt;&gt;"",COUNTIFS(回路定義!$A:$A,A207,回路定義!$B:$B,M207)=0),"／回路1が定義にない","")&amp;IF(AND(P207&lt;&gt;"",COUNTIFS(回路定義!$A:$A,A207,回路定義!$B:$B,P207)=0),"／回路2が定義にない","")&amp;IF(AND(S207&lt;&gt;"",COUNTIFS(回路定義!$A:$A,A207,回路定義!$B:$B,S207)=0),"／回路3が定義にない",""))="","",MID(IF(AND(Y207=0,NOT(SUMPRODUCT(--ISNUMBER(SEARCH({"棚板","棚","アングル","ｱﾝｸﾞﾙ","使用不可","ケーブル","ｹｰﾌﾞﾙ","PatchPnael","パッチ","引き出し","引出","ブランク","ﾌﾞﾗﾝｸ","マネージ","ﾏﾈｰｼﾞ","PDU","ONU"},$F207&amp;"")))&gt;0),NOT(SUMPRODUCT(--ISNUMBER(SEARCH({"電源オフ","未投入","停止","未使用","撤去"},$X207&amp;"")))&gt;0)),"／電力が未記入","")&amp;IF(AND(NOT(ISNUMBER(J207)),NOT(SUMPRODUCT(--ISNUMBER(SEARCH({"棚板","棚","アングル","ｱﾝｸﾞﾙ","使用不可","ケーブル","ｹｰﾌﾞﾙ","PatchPnael","パッチ","引き出し","引出","ブランク","ﾌﾞﾗﾝｸ","マネージ","ﾏﾈｰｼﾞ","PDU","ONU"},$F207&amp;"")))&gt;0)),"／重量が未記入","")&amp;IF(AND(K207&lt;&gt;"",NOT(ISNUMBER(K207))),"／電圧が数値でない","")&amp;IF(AND(N207&lt;&gt;"",NOT(ISNUMBER(N207))),"／電流が数値でない","")&amp;IF(AND(C207&lt;&gt;"",C207&lt;1),"／開始Uが1未満","")&amp;IF(AND(E207&lt;&gt;"",E207&gt;IFERROR(VLOOKUP(A207,ラック定義!$A:$B,2,FALSE),47)),"／総Uをはみ出す","")&amp;IF(AND(A207&lt;&gt;"",COUNTIF(ラック定義!$A:$A,A207)=0),"／ラックが定義にない","")&amp;IF(AND(SUMPRODUCT((機器台帳!$A$2:$A$400=$A207)*((機器台帳!$B$2:$B$400=$B207)+(機器台帳!$B$2:$B$400="両面")+($B207="両面")&gt;0)*(機器台帳!$C$2:$C$400&lt;=$C207+$D207-1)*(機器台帳!$C$2:$C$400+機器台帳!$D$2:$D$400-1&gt;=$C207)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207&amp;"")))&gt;0)),"／同じUに他の機器(横並びなら正常)","")&amp;IF(AND(M207&lt;&gt;"",COUNTIFS(回路定義!$A:$A,A207,回路定義!$B:$B,M207)=0),"／回路1が定義にない","")&amp;IF(AND(P207&lt;&gt;"",COUNTIFS(回路定義!$A:$A,A207,回路定義!$B:$B,P207)=0),"／回路2が定義にない","")&amp;IF(AND(S207&lt;&gt;"",COUNTIFS(回路定義!$A:$A,A207,回路定義!$B:$B,S207)=0),"／回路3が定義にない",""),2,300)))</f>
        <v/>
      </c>
    </row>
    <row r="208">
      <c r="A208" s="5" t="n"/>
      <c r="B208" s="5" t="n"/>
      <c r="C208" s="5" t="n"/>
      <c r="D208" s="5" t="n"/>
      <c r="E208" s="6">
        <f>IF(C208="","",C208+D208-1)</f>
        <v/>
      </c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6">
        <f>COUNT(N208,Q208,T208)</f>
        <v/>
      </c>
      <c r="Z208" s="6">
        <f>IF(OR(K208="",NOT(ISNUMBER(K208))),"",K208*SUM(N208,Q208,T208))</f>
        <v/>
      </c>
      <c r="AA208" s="6">
        <f>IF(OR(Y208=0,N208=""),"",N208/Y208)</f>
        <v/>
      </c>
      <c r="AB208" s="6">
        <f>IF(OR(Y208=0,Q208=""),"",Q208/Y208)</f>
        <v/>
      </c>
      <c r="AC208" s="6">
        <f>IF(OR(Y208=0,T208=""),"",T208/Y208)</f>
        <v/>
      </c>
      <c r="AD208" s="6">
        <f>IF(F208="","",IF((IF(AND(Y208=0,NOT(SUMPRODUCT(--ISNUMBER(SEARCH({"棚板","棚","アングル","ｱﾝｸﾞﾙ","使用不可","ケーブル","ｹｰﾌﾞﾙ","PatchPnael","パッチ","引き出し","引出","ブランク","ﾌﾞﾗﾝｸ","マネージ","ﾏﾈｰｼﾞ","PDU","ONU"},$F208&amp;"")))&gt;0),NOT(SUMPRODUCT(--ISNUMBER(SEARCH({"電源オフ","未投入","停止","未使用","撤去"},$X208&amp;"")))&gt;0)),"／電力が未記入","")&amp;IF(AND(NOT(ISNUMBER(J208)),NOT(SUMPRODUCT(--ISNUMBER(SEARCH({"棚板","棚","アングル","ｱﾝｸﾞﾙ","使用不可","ケーブル","ｹｰﾌﾞﾙ","PatchPnael","パッチ","引き出し","引出","ブランク","ﾌﾞﾗﾝｸ","マネージ","ﾏﾈｰｼﾞ","PDU","ONU"},$F208&amp;"")))&gt;0)),"／重量が未記入","")&amp;IF(AND(K208&lt;&gt;"",NOT(ISNUMBER(K208))),"／電圧が数値でない","")&amp;IF(AND(N208&lt;&gt;"",NOT(ISNUMBER(N208))),"／電流が数値でない","")&amp;IF(AND(C208&lt;&gt;"",C208&lt;1),"／開始Uが1未満","")&amp;IF(AND(E208&lt;&gt;"",E208&gt;IFERROR(VLOOKUP(A208,ラック定義!$A:$B,2,FALSE),47)),"／総Uをはみ出す","")&amp;IF(AND(A208&lt;&gt;"",COUNTIF(ラック定義!$A:$A,A208)=0),"／ラックが定義にない","")&amp;IF(AND(SUMPRODUCT((機器台帳!$A$2:$A$400=$A208)*((機器台帳!$B$2:$B$400=$B208)+(機器台帳!$B$2:$B$400="両面")+($B208="両面")&gt;0)*(機器台帳!$C$2:$C$400&lt;=$C208+$D208-1)*(機器台帳!$C$2:$C$400+機器台帳!$D$2:$D$400-1&gt;=$C208)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208&amp;"")))&gt;0)),"／同じUに他の機器(横並びなら正常)","")&amp;IF(AND(M208&lt;&gt;"",COUNTIFS(回路定義!$A:$A,A208,回路定義!$B:$B,M208)=0),"／回路1が定義にない","")&amp;IF(AND(P208&lt;&gt;"",COUNTIFS(回路定義!$A:$A,A208,回路定義!$B:$B,P208)=0),"／回路2が定義にない","")&amp;IF(AND(S208&lt;&gt;"",COUNTIFS(回路定義!$A:$A,A208,回路定義!$B:$B,S208)=0),"／回路3が定義にない",""))="","",MID(IF(AND(Y208=0,NOT(SUMPRODUCT(--ISNUMBER(SEARCH({"棚板","棚","アングル","ｱﾝｸﾞﾙ","使用不可","ケーブル","ｹｰﾌﾞﾙ","PatchPnael","パッチ","引き出し","引出","ブランク","ﾌﾞﾗﾝｸ","マネージ","ﾏﾈｰｼﾞ","PDU","ONU"},$F208&amp;"")))&gt;0),NOT(SUMPRODUCT(--ISNUMBER(SEARCH({"電源オフ","未投入","停止","未使用","撤去"},$X208&amp;"")))&gt;0)),"／電力が未記入","")&amp;IF(AND(NOT(ISNUMBER(J208)),NOT(SUMPRODUCT(--ISNUMBER(SEARCH({"棚板","棚","アングル","ｱﾝｸﾞﾙ","使用不可","ケーブル","ｹｰﾌﾞﾙ","PatchPnael","パッチ","引き出し","引出","ブランク","ﾌﾞﾗﾝｸ","マネージ","ﾏﾈｰｼﾞ","PDU","ONU"},$F208&amp;"")))&gt;0)),"／重量が未記入","")&amp;IF(AND(K208&lt;&gt;"",NOT(ISNUMBER(K208))),"／電圧が数値でない","")&amp;IF(AND(N208&lt;&gt;"",NOT(ISNUMBER(N208))),"／電流が数値でない","")&amp;IF(AND(C208&lt;&gt;"",C208&lt;1),"／開始Uが1未満","")&amp;IF(AND(E208&lt;&gt;"",E208&gt;IFERROR(VLOOKUP(A208,ラック定義!$A:$B,2,FALSE),47)),"／総Uをはみ出す","")&amp;IF(AND(A208&lt;&gt;"",COUNTIF(ラック定義!$A:$A,A208)=0),"／ラックが定義にない","")&amp;IF(AND(SUMPRODUCT((機器台帳!$A$2:$A$400=$A208)*((機器台帳!$B$2:$B$400=$B208)+(機器台帳!$B$2:$B$400="両面")+($B208="両面")&gt;0)*(機器台帳!$C$2:$C$400&lt;=$C208+$D208-1)*(機器台帳!$C$2:$C$400+機器台帳!$D$2:$D$400-1&gt;=$C208)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208&amp;"")))&gt;0)),"／同じUに他の機器(横並びなら正常)","")&amp;IF(AND(M208&lt;&gt;"",COUNTIFS(回路定義!$A:$A,A208,回路定義!$B:$B,M208)=0),"／回路1が定義にない","")&amp;IF(AND(P208&lt;&gt;"",COUNTIFS(回路定義!$A:$A,A208,回路定義!$B:$B,P208)=0),"／回路2が定義にない","")&amp;IF(AND(S208&lt;&gt;"",COUNTIFS(回路定義!$A:$A,A208,回路定義!$B:$B,S208)=0),"／回路3が定義にない",""),2,300)))</f>
        <v/>
      </c>
    </row>
    <row r="209">
      <c r="A209" s="5" t="n"/>
      <c r="B209" s="5" t="n"/>
      <c r="C209" s="5" t="n"/>
      <c r="D209" s="5" t="n"/>
      <c r="E209" s="6">
        <f>IF(C209="","",C209+D209-1)</f>
        <v/>
      </c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6">
        <f>COUNT(N209,Q209,T209)</f>
        <v/>
      </c>
      <c r="Z209" s="6">
        <f>IF(OR(K209="",NOT(ISNUMBER(K209))),"",K209*SUM(N209,Q209,T209))</f>
        <v/>
      </c>
      <c r="AA209" s="6">
        <f>IF(OR(Y209=0,N209=""),"",N209/Y209)</f>
        <v/>
      </c>
      <c r="AB209" s="6">
        <f>IF(OR(Y209=0,Q209=""),"",Q209/Y209)</f>
        <v/>
      </c>
      <c r="AC209" s="6">
        <f>IF(OR(Y209=0,T209=""),"",T209/Y209)</f>
        <v/>
      </c>
      <c r="AD209" s="6">
        <f>IF(F209="","",IF((IF(AND(Y209=0,NOT(SUMPRODUCT(--ISNUMBER(SEARCH({"棚板","棚","アングル","ｱﾝｸﾞﾙ","使用不可","ケーブル","ｹｰﾌﾞﾙ","PatchPnael","パッチ","引き出し","引出","ブランク","ﾌﾞﾗﾝｸ","マネージ","ﾏﾈｰｼﾞ","PDU","ONU"},$F209&amp;"")))&gt;0),NOT(SUMPRODUCT(--ISNUMBER(SEARCH({"電源オフ","未投入","停止","未使用","撤去"},$X209&amp;"")))&gt;0)),"／電力が未記入","")&amp;IF(AND(NOT(ISNUMBER(J209)),NOT(SUMPRODUCT(--ISNUMBER(SEARCH({"棚板","棚","アングル","ｱﾝｸﾞﾙ","使用不可","ケーブル","ｹｰﾌﾞﾙ","PatchPnael","パッチ","引き出し","引出","ブランク","ﾌﾞﾗﾝｸ","マネージ","ﾏﾈｰｼﾞ","PDU","ONU"},$F209&amp;"")))&gt;0)),"／重量が未記入","")&amp;IF(AND(K209&lt;&gt;"",NOT(ISNUMBER(K209))),"／電圧が数値でない","")&amp;IF(AND(N209&lt;&gt;"",NOT(ISNUMBER(N209))),"／電流が数値でない","")&amp;IF(AND(C209&lt;&gt;"",C209&lt;1),"／開始Uが1未満","")&amp;IF(AND(E209&lt;&gt;"",E209&gt;IFERROR(VLOOKUP(A209,ラック定義!$A:$B,2,FALSE),47)),"／総Uをはみ出す","")&amp;IF(AND(A209&lt;&gt;"",COUNTIF(ラック定義!$A:$A,A209)=0),"／ラックが定義にない","")&amp;IF(AND(SUMPRODUCT((機器台帳!$A$2:$A$400=$A209)*((機器台帳!$B$2:$B$400=$B209)+(機器台帳!$B$2:$B$400="両面")+($B209="両面")&gt;0)*(機器台帳!$C$2:$C$400&lt;=$C209+$D209-1)*(機器台帳!$C$2:$C$400+機器台帳!$D$2:$D$400-1&gt;=$C209)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209&amp;"")))&gt;0)),"／同じUに他の機器(横並びなら正常)","")&amp;IF(AND(M209&lt;&gt;"",COUNTIFS(回路定義!$A:$A,A209,回路定義!$B:$B,M209)=0),"／回路1が定義にない","")&amp;IF(AND(P209&lt;&gt;"",COUNTIFS(回路定義!$A:$A,A209,回路定義!$B:$B,P209)=0),"／回路2が定義にない","")&amp;IF(AND(S209&lt;&gt;"",COUNTIFS(回路定義!$A:$A,A209,回路定義!$B:$B,S209)=0),"／回路3が定義にない",""))="","",MID(IF(AND(Y209=0,NOT(SUMPRODUCT(--ISNUMBER(SEARCH({"棚板","棚","アングル","ｱﾝｸﾞﾙ","使用不可","ケーブル","ｹｰﾌﾞﾙ","PatchPnael","パッチ","引き出し","引出","ブランク","ﾌﾞﾗﾝｸ","マネージ","ﾏﾈｰｼﾞ","PDU","ONU"},$F209&amp;"")))&gt;0),NOT(SUMPRODUCT(--ISNUMBER(SEARCH({"電源オフ","未投入","停止","未使用","撤去"},$X209&amp;"")))&gt;0)),"／電力が未記入","")&amp;IF(AND(NOT(ISNUMBER(J209)),NOT(SUMPRODUCT(--ISNUMBER(SEARCH({"棚板","棚","アングル","ｱﾝｸﾞﾙ","使用不可","ケーブル","ｹｰﾌﾞﾙ","PatchPnael","パッチ","引き出し","引出","ブランク","ﾌﾞﾗﾝｸ","マネージ","ﾏﾈｰｼﾞ","PDU","ONU"},$F209&amp;"")))&gt;0)),"／重量が未記入","")&amp;IF(AND(K209&lt;&gt;"",NOT(ISNUMBER(K209))),"／電圧が数値でない","")&amp;IF(AND(N209&lt;&gt;"",NOT(ISNUMBER(N209))),"／電流が数値でない","")&amp;IF(AND(C209&lt;&gt;"",C209&lt;1),"／開始Uが1未満","")&amp;IF(AND(E209&lt;&gt;"",E209&gt;IFERROR(VLOOKUP(A209,ラック定義!$A:$B,2,FALSE),47)),"／総Uをはみ出す","")&amp;IF(AND(A209&lt;&gt;"",COUNTIF(ラック定義!$A:$A,A209)=0),"／ラックが定義にない","")&amp;IF(AND(SUMPRODUCT((機器台帳!$A$2:$A$400=$A209)*((機器台帳!$B$2:$B$400=$B209)+(機器台帳!$B$2:$B$400="両面")+($B209="両面")&gt;0)*(機器台帳!$C$2:$C$400&lt;=$C209+$D209-1)*(機器台帳!$C$2:$C$400+機器台帳!$D$2:$D$400-1&gt;=$C209)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209&amp;"")))&gt;0)),"／同じUに他の機器(横並びなら正常)","")&amp;IF(AND(M209&lt;&gt;"",COUNTIFS(回路定義!$A:$A,A209,回路定義!$B:$B,M209)=0),"／回路1が定義にない","")&amp;IF(AND(P209&lt;&gt;"",COUNTIFS(回路定義!$A:$A,A209,回路定義!$B:$B,P209)=0),"／回路2が定義にない","")&amp;IF(AND(S209&lt;&gt;"",COUNTIFS(回路定義!$A:$A,A209,回路定義!$B:$B,S209)=0),"／回路3が定義にない",""),2,300)))</f>
        <v/>
      </c>
    </row>
    <row r="210">
      <c r="A210" s="5" t="n"/>
      <c r="B210" s="5" t="n"/>
      <c r="C210" s="5" t="n"/>
      <c r="D210" s="5" t="n"/>
      <c r="E210" s="6">
        <f>IF(C210="","",C210+D210-1)</f>
        <v/>
      </c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6">
        <f>COUNT(N210,Q210,T210)</f>
        <v/>
      </c>
      <c r="Z210" s="6">
        <f>IF(OR(K210="",NOT(ISNUMBER(K210))),"",K210*SUM(N210,Q210,T210))</f>
        <v/>
      </c>
      <c r="AA210" s="6">
        <f>IF(OR(Y210=0,N210=""),"",N210/Y210)</f>
        <v/>
      </c>
      <c r="AB210" s="6">
        <f>IF(OR(Y210=0,Q210=""),"",Q210/Y210)</f>
        <v/>
      </c>
      <c r="AC210" s="6">
        <f>IF(OR(Y210=0,T210=""),"",T210/Y210)</f>
        <v/>
      </c>
      <c r="AD210" s="6">
        <f>IF(F210="","",IF((IF(AND(Y210=0,NOT(SUMPRODUCT(--ISNUMBER(SEARCH({"棚板","棚","アングル","ｱﾝｸﾞﾙ","使用不可","ケーブル","ｹｰﾌﾞﾙ","PatchPnael","パッチ","引き出し","引出","ブランク","ﾌﾞﾗﾝｸ","マネージ","ﾏﾈｰｼﾞ","PDU","ONU"},$F210&amp;"")))&gt;0),NOT(SUMPRODUCT(--ISNUMBER(SEARCH({"電源オフ","未投入","停止","未使用","撤去"},$X210&amp;"")))&gt;0)),"／電力が未記入","")&amp;IF(AND(NOT(ISNUMBER(J210)),NOT(SUMPRODUCT(--ISNUMBER(SEARCH({"棚板","棚","アングル","ｱﾝｸﾞﾙ","使用不可","ケーブル","ｹｰﾌﾞﾙ","PatchPnael","パッチ","引き出し","引出","ブランク","ﾌﾞﾗﾝｸ","マネージ","ﾏﾈｰｼﾞ","PDU","ONU"},$F210&amp;"")))&gt;0)),"／重量が未記入","")&amp;IF(AND(K210&lt;&gt;"",NOT(ISNUMBER(K210))),"／電圧が数値でない","")&amp;IF(AND(N210&lt;&gt;"",NOT(ISNUMBER(N210))),"／電流が数値でない","")&amp;IF(AND(C210&lt;&gt;"",C210&lt;1),"／開始Uが1未満","")&amp;IF(AND(E210&lt;&gt;"",E210&gt;IFERROR(VLOOKUP(A210,ラック定義!$A:$B,2,FALSE),47)),"／総Uをはみ出す","")&amp;IF(AND(A210&lt;&gt;"",COUNTIF(ラック定義!$A:$A,A210)=0),"／ラックが定義にない","")&amp;IF(AND(SUMPRODUCT((機器台帳!$A$2:$A$400=$A210)*((機器台帳!$B$2:$B$400=$B210)+(機器台帳!$B$2:$B$400="両面")+($B210="両面")&gt;0)*(機器台帳!$C$2:$C$400&lt;=$C210+$D210-1)*(機器台帳!$C$2:$C$400+機器台帳!$D$2:$D$400-1&gt;=$C210)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210&amp;"")))&gt;0)),"／同じUに他の機器(横並びなら正常)","")&amp;IF(AND(M210&lt;&gt;"",COUNTIFS(回路定義!$A:$A,A210,回路定義!$B:$B,M210)=0),"／回路1が定義にない","")&amp;IF(AND(P210&lt;&gt;"",COUNTIFS(回路定義!$A:$A,A210,回路定義!$B:$B,P210)=0),"／回路2が定義にない","")&amp;IF(AND(S210&lt;&gt;"",COUNTIFS(回路定義!$A:$A,A210,回路定義!$B:$B,S210)=0),"／回路3が定義にない",""))="","",MID(IF(AND(Y210=0,NOT(SUMPRODUCT(--ISNUMBER(SEARCH({"棚板","棚","アングル","ｱﾝｸﾞﾙ","使用不可","ケーブル","ｹｰﾌﾞﾙ","PatchPnael","パッチ","引き出し","引出","ブランク","ﾌﾞﾗﾝｸ","マネージ","ﾏﾈｰｼﾞ","PDU","ONU"},$F210&amp;"")))&gt;0),NOT(SUMPRODUCT(--ISNUMBER(SEARCH({"電源オフ","未投入","停止","未使用","撤去"},$X210&amp;"")))&gt;0)),"／電力が未記入","")&amp;IF(AND(NOT(ISNUMBER(J210)),NOT(SUMPRODUCT(--ISNUMBER(SEARCH({"棚板","棚","アングル","ｱﾝｸﾞﾙ","使用不可","ケーブル","ｹｰﾌﾞﾙ","PatchPnael","パッチ","引き出し","引出","ブランク","ﾌﾞﾗﾝｸ","マネージ","ﾏﾈｰｼﾞ","PDU","ONU"},$F210&amp;"")))&gt;0)),"／重量が未記入","")&amp;IF(AND(K210&lt;&gt;"",NOT(ISNUMBER(K210))),"／電圧が数値でない","")&amp;IF(AND(N210&lt;&gt;"",NOT(ISNUMBER(N210))),"／電流が数値でない","")&amp;IF(AND(C210&lt;&gt;"",C210&lt;1),"／開始Uが1未満","")&amp;IF(AND(E210&lt;&gt;"",E210&gt;IFERROR(VLOOKUP(A210,ラック定義!$A:$B,2,FALSE),47)),"／総Uをはみ出す","")&amp;IF(AND(A210&lt;&gt;"",COUNTIF(ラック定義!$A:$A,A210)=0),"／ラックが定義にない","")&amp;IF(AND(SUMPRODUCT((機器台帳!$A$2:$A$400=$A210)*((機器台帳!$B$2:$B$400=$B210)+(機器台帳!$B$2:$B$400="両面")+($B210="両面")&gt;0)*(機器台帳!$C$2:$C$400&lt;=$C210+$D210-1)*(機器台帳!$C$2:$C$400+機器台帳!$D$2:$D$400-1&gt;=$C210)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210&amp;"")))&gt;0)),"／同じUに他の機器(横並びなら正常)","")&amp;IF(AND(M210&lt;&gt;"",COUNTIFS(回路定義!$A:$A,A210,回路定義!$B:$B,M210)=0),"／回路1が定義にない","")&amp;IF(AND(P210&lt;&gt;"",COUNTIFS(回路定義!$A:$A,A210,回路定義!$B:$B,P210)=0),"／回路2が定義にない","")&amp;IF(AND(S210&lt;&gt;"",COUNTIFS(回路定義!$A:$A,A210,回路定義!$B:$B,S210)=0),"／回路3が定義にない",""),2,300)))</f>
        <v/>
      </c>
    </row>
    <row r="211">
      <c r="A211" s="5" t="n"/>
      <c r="B211" s="5" t="n"/>
      <c r="C211" s="5" t="n"/>
      <c r="D211" s="5" t="n"/>
      <c r="E211" s="6">
        <f>IF(C211="","",C211+D211-1)</f>
        <v/>
      </c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6">
        <f>COUNT(N211,Q211,T211)</f>
        <v/>
      </c>
      <c r="Z211" s="6">
        <f>IF(OR(K211="",NOT(ISNUMBER(K211))),"",K211*SUM(N211,Q211,T211))</f>
        <v/>
      </c>
      <c r="AA211" s="6">
        <f>IF(OR(Y211=0,N211=""),"",N211/Y211)</f>
        <v/>
      </c>
      <c r="AB211" s="6">
        <f>IF(OR(Y211=0,Q211=""),"",Q211/Y211)</f>
        <v/>
      </c>
      <c r="AC211" s="6">
        <f>IF(OR(Y211=0,T211=""),"",T211/Y211)</f>
        <v/>
      </c>
      <c r="AD211" s="6">
        <f>IF(F211="","",IF((IF(AND(Y211=0,NOT(SUMPRODUCT(--ISNUMBER(SEARCH({"棚板","棚","アングル","ｱﾝｸﾞﾙ","使用不可","ケーブル","ｹｰﾌﾞﾙ","PatchPnael","パッチ","引き出し","引出","ブランク","ﾌﾞﾗﾝｸ","マネージ","ﾏﾈｰｼﾞ","PDU","ONU"},$F211&amp;"")))&gt;0),NOT(SUMPRODUCT(--ISNUMBER(SEARCH({"電源オフ","未投入","停止","未使用","撤去"},$X211&amp;"")))&gt;0)),"／電力が未記入","")&amp;IF(AND(NOT(ISNUMBER(J211)),NOT(SUMPRODUCT(--ISNUMBER(SEARCH({"棚板","棚","アングル","ｱﾝｸﾞﾙ","使用不可","ケーブル","ｹｰﾌﾞﾙ","PatchPnael","パッチ","引き出し","引出","ブランク","ﾌﾞﾗﾝｸ","マネージ","ﾏﾈｰｼﾞ","PDU","ONU"},$F211&amp;"")))&gt;0)),"／重量が未記入","")&amp;IF(AND(K211&lt;&gt;"",NOT(ISNUMBER(K211))),"／電圧が数値でない","")&amp;IF(AND(N211&lt;&gt;"",NOT(ISNUMBER(N211))),"／電流が数値でない","")&amp;IF(AND(C211&lt;&gt;"",C211&lt;1),"／開始Uが1未満","")&amp;IF(AND(E211&lt;&gt;"",E211&gt;IFERROR(VLOOKUP(A211,ラック定義!$A:$B,2,FALSE),47)),"／総Uをはみ出す","")&amp;IF(AND(A211&lt;&gt;"",COUNTIF(ラック定義!$A:$A,A211)=0),"／ラックが定義にない","")&amp;IF(AND(SUMPRODUCT((機器台帳!$A$2:$A$400=$A211)*((機器台帳!$B$2:$B$400=$B211)+(機器台帳!$B$2:$B$400="両面")+($B211="両面")&gt;0)*(機器台帳!$C$2:$C$400&lt;=$C211+$D211-1)*(機器台帳!$C$2:$C$400+機器台帳!$D$2:$D$400-1&gt;=$C211)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211&amp;"")))&gt;0)),"／同じUに他の機器(横並びなら正常)","")&amp;IF(AND(M211&lt;&gt;"",COUNTIFS(回路定義!$A:$A,A211,回路定義!$B:$B,M211)=0),"／回路1が定義にない","")&amp;IF(AND(P211&lt;&gt;"",COUNTIFS(回路定義!$A:$A,A211,回路定義!$B:$B,P211)=0),"／回路2が定義にない","")&amp;IF(AND(S211&lt;&gt;"",COUNTIFS(回路定義!$A:$A,A211,回路定義!$B:$B,S211)=0),"／回路3が定義にない",""))="","",MID(IF(AND(Y211=0,NOT(SUMPRODUCT(--ISNUMBER(SEARCH({"棚板","棚","アングル","ｱﾝｸﾞﾙ","使用不可","ケーブル","ｹｰﾌﾞﾙ","PatchPnael","パッチ","引き出し","引出","ブランク","ﾌﾞﾗﾝｸ","マネージ","ﾏﾈｰｼﾞ","PDU","ONU"},$F211&amp;"")))&gt;0),NOT(SUMPRODUCT(--ISNUMBER(SEARCH({"電源オフ","未投入","停止","未使用","撤去"},$X211&amp;"")))&gt;0)),"／電力が未記入","")&amp;IF(AND(NOT(ISNUMBER(J211)),NOT(SUMPRODUCT(--ISNUMBER(SEARCH({"棚板","棚","アングル","ｱﾝｸﾞﾙ","使用不可","ケーブル","ｹｰﾌﾞﾙ","PatchPnael","パッチ","引き出し","引出","ブランク","ﾌﾞﾗﾝｸ","マネージ","ﾏﾈｰｼﾞ","PDU","ONU"},$F211&amp;"")))&gt;0)),"／重量が未記入","")&amp;IF(AND(K211&lt;&gt;"",NOT(ISNUMBER(K211))),"／電圧が数値でない","")&amp;IF(AND(N211&lt;&gt;"",NOT(ISNUMBER(N211))),"／電流が数値でない","")&amp;IF(AND(C211&lt;&gt;"",C211&lt;1),"／開始Uが1未満","")&amp;IF(AND(E211&lt;&gt;"",E211&gt;IFERROR(VLOOKUP(A211,ラック定義!$A:$B,2,FALSE),47)),"／総Uをはみ出す","")&amp;IF(AND(A211&lt;&gt;"",COUNTIF(ラック定義!$A:$A,A211)=0),"／ラックが定義にない","")&amp;IF(AND(SUMPRODUCT((機器台帳!$A$2:$A$400=$A211)*((機器台帳!$B$2:$B$400=$B211)+(機器台帳!$B$2:$B$400="両面")+($B211="両面")&gt;0)*(機器台帳!$C$2:$C$400&lt;=$C211+$D211-1)*(機器台帳!$C$2:$C$400+機器台帳!$D$2:$D$400-1&gt;=$C211)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211&amp;"")))&gt;0)),"／同じUに他の機器(横並びなら正常)","")&amp;IF(AND(M211&lt;&gt;"",COUNTIFS(回路定義!$A:$A,A211,回路定義!$B:$B,M211)=0),"／回路1が定義にない","")&amp;IF(AND(P211&lt;&gt;"",COUNTIFS(回路定義!$A:$A,A211,回路定義!$B:$B,P211)=0),"／回路2が定義にない","")&amp;IF(AND(S211&lt;&gt;"",COUNTIFS(回路定義!$A:$A,A211,回路定義!$B:$B,S211)=0),"／回路3が定義にない",""),2,300)))</f>
        <v/>
      </c>
    </row>
    <row r="212">
      <c r="A212" s="5" t="n"/>
      <c r="B212" s="5" t="n"/>
      <c r="C212" s="5" t="n"/>
      <c r="D212" s="5" t="n"/>
      <c r="E212" s="6">
        <f>IF(C212="","",C212+D212-1)</f>
        <v/>
      </c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6">
        <f>COUNT(N212,Q212,T212)</f>
        <v/>
      </c>
      <c r="Z212" s="6">
        <f>IF(OR(K212="",NOT(ISNUMBER(K212))),"",K212*SUM(N212,Q212,T212))</f>
        <v/>
      </c>
      <c r="AA212" s="6">
        <f>IF(OR(Y212=0,N212=""),"",N212/Y212)</f>
        <v/>
      </c>
      <c r="AB212" s="6">
        <f>IF(OR(Y212=0,Q212=""),"",Q212/Y212)</f>
        <v/>
      </c>
      <c r="AC212" s="6">
        <f>IF(OR(Y212=0,T212=""),"",T212/Y212)</f>
        <v/>
      </c>
      <c r="AD212" s="6">
        <f>IF(F212="","",IF((IF(AND(Y212=0,NOT(SUMPRODUCT(--ISNUMBER(SEARCH({"棚板","棚","アングル","ｱﾝｸﾞﾙ","使用不可","ケーブル","ｹｰﾌﾞﾙ","PatchPnael","パッチ","引き出し","引出","ブランク","ﾌﾞﾗﾝｸ","マネージ","ﾏﾈｰｼﾞ","PDU","ONU"},$F212&amp;"")))&gt;0),NOT(SUMPRODUCT(--ISNUMBER(SEARCH({"電源オフ","未投入","停止","未使用","撤去"},$X212&amp;"")))&gt;0)),"／電力が未記入","")&amp;IF(AND(NOT(ISNUMBER(J212)),NOT(SUMPRODUCT(--ISNUMBER(SEARCH({"棚板","棚","アングル","ｱﾝｸﾞﾙ","使用不可","ケーブル","ｹｰﾌﾞﾙ","PatchPnael","パッチ","引き出し","引出","ブランク","ﾌﾞﾗﾝｸ","マネージ","ﾏﾈｰｼﾞ","PDU","ONU"},$F212&amp;"")))&gt;0)),"／重量が未記入","")&amp;IF(AND(K212&lt;&gt;"",NOT(ISNUMBER(K212))),"／電圧が数値でない","")&amp;IF(AND(N212&lt;&gt;"",NOT(ISNUMBER(N212))),"／電流が数値でない","")&amp;IF(AND(C212&lt;&gt;"",C212&lt;1),"／開始Uが1未満","")&amp;IF(AND(E212&lt;&gt;"",E212&gt;IFERROR(VLOOKUP(A212,ラック定義!$A:$B,2,FALSE),47)),"／総Uをはみ出す","")&amp;IF(AND(A212&lt;&gt;"",COUNTIF(ラック定義!$A:$A,A212)=0),"／ラックが定義にない","")&amp;IF(AND(SUMPRODUCT((機器台帳!$A$2:$A$400=$A212)*((機器台帳!$B$2:$B$400=$B212)+(機器台帳!$B$2:$B$400="両面")+($B212="両面")&gt;0)*(機器台帳!$C$2:$C$400&lt;=$C212+$D212-1)*(機器台帳!$C$2:$C$400+機器台帳!$D$2:$D$400-1&gt;=$C212)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212&amp;"")))&gt;0)),"／同じUに他の機器(横並びなら正常)","")&amp;IF(AND(M212&lt;&gt;"",COUNTIFS(回路定義!$A:$A,A212,回路定義!$B:$B,M212)=0),"／回路1が定義にない","")&amp;IF(AND(P212&lt;&gt;"",COUNTIFS(回路定義!$A:$A,A212,回路定義!$B:$B,P212)=0),"／回路2が定義にない","")&amp;IF(AND(S212&lt;&gt;"",COUNTIFS(回路定義!$A:$A,A212,回路定義!$B:$B,S212)=0),"／回路3が定義にない",""))="","",MID(IF(AND(Y212=0,NOT(SUMPRODUCT(--ISNUMBER(SEARCH({"棚板","棚","アングル","ｱﾝｸﾞﾙ","使用不可","ケーブル","ｹｰﾌﾞﾙ","PatchPnael","パッチ","引き出し","引出","ブランク","ﾌﾞﾗﾝｸ","マネージ","ﾏﾈｰｼﾞ","PDU","ONU"},$F212&amp;"")))&gt;0),NOT(SUMPRODUCT(--ISNUMBER(SEARCH({"電源オフ","未投入","停止","未使用","撤去"},$X212&amp;"")))&gt;0)),"／電力が未記入","")&amp;IF(AND(NOT(ISNUMBER(J212)),NOT(SUMPRODUCT(--ISNUMBER(SEARCH({"棚板","棚","アングル","ｱﾝｸﾞﾙ","使用不可","ケーブル","ｹｰﾌﾞﾙ","PatchPnael","パッチ","引き出し","引出","ブランク","ﾌﾞﾗﾝｸ","マネージ","ﾏﾈｰｼﾞ","PDU","ONU"},$F212&amp;"")))&gt;0)),"／重量が未記入","")&amp;IF(AND(K212&lt;&gt;"",NOT(ISNUMBER(K212))),"／電圧が数値でない","")&amp;IF(AND(N212&lt;&gt;"",NOT(ISNUMBER(N212))),"／電流が数値でない","")&amp;IF(AND(C212&lt;&gt;"",C212&lt;1),"／開始Uが1未満","")&amp;IF(AND(E212&lt;&gt;"",E212&gt;IFERROR(VLOOKUP(A212,ラック定義!$A:$B,2,FALSE),47)),"／総Uをはみ出す","")&amp;IF(AND(A212&lt;&gt;"",COUNTIF(ラック定義!$A:$A,A212)=0),"／ラックが定義にない","")&amp;IF(AND(SUMPRODUCT((機器台帳!$A$2:$A$400=$A212)*((機器台帳!$B$2:$B$400=$B212)+(機器台帳!$B$2:$B$400="両面")+($B212="両面")&gt;0)*(機器台帳!$C$2:$C$400&lt;=$C212+$D212-1)*(機器台帳!$C$2:$C$400+機器台帳!$D$2:$D$400-1&gt;=$C212)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212&amp;"")))&gt;0)),"／同じUに他の機器(横並びなら正常)","")&amp;IF(AND(M212&lt;&gt;"",COUNTIFS(回路定義!$A:$A,A212,回路定義!$B:$B,M212)=0),"／回路1が定義にない","")&amp;IF(AND(P212&lt;&gt;"",COUNTIFS(回路定義!$A:$A,A212,回路定義!$B:$B,P212)=0),"／回路2が定義にない","")&amp;IF(AND(S212&lt;&gt;"",COUNTIFS(回路定義!$A:$A,A212,回路定義!$B:$B,S212)=0),"／回路3が定義にない",""),2,300)))</f>
        <v/>
      </c>
    </row>
    <row r="213">
      <c r="A213" s="5" t="n"/>
      <c r="B213" s="5" t="n"/>
      <c r="C213" s="5" t="n"/>
      <c r="D213" s="5" t="n"/>
      <c r="E213" s="6">
        <f>IF(C213="","",C213+D213-1)</f>
        <v/>
      </c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6">
        <f>COUNT(N213,Q213,T213)</f>
        <v/>
      </c>
      <c r="Z213" s="6">
        <f>IF(OR(K213="",NOT(ISNUMBER(K213))),"",K213*SUM(N213,Q213,T213))</f>
        <v/>
      </c>
      <c r="AA213" s="6">
        <f>IF(OR(Y213=0,N213=""),"",N213/Y213)</f>
        <v/>
      </c>
      <c r="AB213" s="6">
        <f>IF(OR(Y213=0,Q213=""),"",Q213/Y213)</f>
        <v/>
      </c>
      <c r="AC213" s="6">
        <f>IF(OR(Y213=0,T213=""),"",T213/Y213)</f>
        <v/>
      </c>
      <c r="AD213" s="6">
        <f>IF(F213="","",IF((IF(AND(Y213=0,NOT(SUMPRODUCT(--ISNUMBER(SEARCH({"棚板","棚","アングル","ｱﾝｸﾞﾙ","使用不可","ケーブル","ｹｰﾌﾞﾙ","PatchPnael","パッチ","引き出し","引出","ブランク","ﾌﾞﾗﾝｸ","マネージ","ﾏﾈｰｼﾞ","PDU","ONU"},$F213&amp;"")))&gt;0),NOT(SUMPRODUCT(--ISNUMBER(SEARCH({"電源オフ","未投入","停止","未使用","撤去"},$X213&amp;"")))&gt;0)),"／電力が未記入","")&amp;IF(AND(NOT(ISNUMBER(J213)),NOT(SUMPRODUCT(--ISNUMBER(SEARCH({"棚板","棚","アングル","ｱﾝｸﾞﾙ","使用不可","ケーブル","ｹｰﾌﾞﾙ","PatchPnael","パッチ","引き出し","引出","ブランク","ﾌﾞﾗﾝｸ","マネージ","ﾏﾈｰｼﾞ","PDU","ONU"},$F213&amp;"")))&gt;0)),"／重量が未記入","")&amp;IF(AND(K213&lt;&gt;"",NOT(ISNUMBER(K213))),"／電圧が数値でない","")&amp;IF(AND(N213&lt;&gt;"",NOT(ISNUMBER(N213))),"／電流が数値でない","")&amp;IF(AND(C213&lt;&gt;"",C213&lt;1),"／開始Uが1未満","")&amp;IF(AND(E213&lt;&gt;"",E213&gt;IFERROR(VLOOKUP(A213,ラック定義!$A:$B,2,FALSE),47)),"／総Uをはみ出す","")&amp;IF(AND(A213&lt;&gt;"",COUNTIF(ラック定義!$A:$A,A213)=0),"／ラックが定義にない","")&amp;IF(AND(SUMPRODUCT((機器台帳!$A$2:$A$400=$A213)*((機器台帳!$B$2:$B$400=$B213)+(機器台帳!$B$2:$B$400="両面")+($B213="両面")&gt;0)*(機器台帳!$C$2:$C$400&lt;=$C213+$D213-1)*(機器台帳!$C$2:$C$400+機器台帳!$D$2:$D$400-1&gt;=$C213)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213&amp;"")))&gt;0)),"／同じUに他の機器(横並びなら正常)","")&amp;IF(AND(M213&lt;&gt;"",COUNTIFS(回路定義!$A:$A,A213,回路定義!$B:$B,M213)=0),"／回路1が定義にない","")&amp;IF(AND(P213&lt;&gt;"",COUNTIFS(回路定義!$A:$A,A213,回路定義!$B:$B,P213)=0),"／回路2が定義にない","")&amp;IF(AND(S213&lt;&gt;"",COUNTIFS(回路定義!$A:$A,A213,回路定義!$B:$B,S213)=0),"／回路3が定義にない",""))="","",MID(IF(AND(Y213=0,NOT(SUMPRODUCT(--ISNUMBER(SEARCH({"棚板","棚","アングル","ｱﾝｸﾞﾙ","使用不可","ケーブル","ｹｰﾌﾞﾙ","PatchPnael","パッチ","引き出し","引出","ブランク","ﾌﾞﾗﾝｸ","マネージ","ﾏﾈｰｼﾞ","PDU","ONU"},$F213&amp;"")))&gt;0),NOT(SUMPRODUCT(--ISNUMBER(SEARCH({"電源オフ","未投入","停止","未使用","撤去"},$X213&amp;"")))&gt;0)),"／電力が未記入","")&amp;IF(AND(NOT(ISNUMBER(J213)),NOT(SUMPRODUCT(--ISNUMBER(SEARCH({"棚板","棚","アングル","ｱﾝｸﾞﾙ","使用不可","ケーブル","ｹｰﾌﾞﾙ","PatchPnael","パッチ","引き出し","引出","ブランク","ﾌﾞﾗﾝｸ","マネージ","ﾏﾈｰｼﾞ","PDU","ONU"},$F213&amp;"")))&gt;0)),"／重量が未記入","")&amp;IF(AND(K213&lt;&gt;"",NOT(ISNUMBER(K213))),"／電圧が数値でない","")&amp;IF(AND(N213&lt;&gt;"",NOT(ISNUMBER(N213))),"／電流が数値でない","")&amp;IF(AND(C213&lt;&gt;"",C213&lt;1),"／開始Uが1未満","")&amp;IF(AND(E213&lt;&gt;"",E213&gt;IFERROR(VLOOKUP(A213,ラック定義!$A:$B,2,FALSE),47)),"／総Uをはみ出す","")&amp;IF(AND(A213&lt;&gt;"",COUNTIF(ラック定義!$A:$A,A213)=0),"／ラックが定義にない","")&amp;IF(AND(SUMPRODUCT((機器台帳!$A$2:$A$400=$A213)*((機器台帳!$B$2:$B$400=$B213)+(機器台帳!$B$2:$B$400="両面")+($B213="両面")&gt;0)*(機器台帳!$C$2:$C$400&lt;=$C213+$D213-1)*(機器台帳!$C$2:$C$400+機器台帳!$D$2:$D$400-1&gt;=$C213)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213&amp;"")))&gt;0)),"／同じUに他の機器(横並びなら正常)","")&amp;IF(AND(M213&lt;&gt;"",COUNTIFS(回路定義!$A:$A,A213,回路定義!$B:$B,M213)=0),"／回路1が定義にない","")&amp;IF(AND(P213&lt;&gt;"",COUNTIFS(回路定義!$A:$A,A213,回路定義!$B:$B,P213)=0),"／回路2が定義にない","")&amp;IF(AND(S213&lt;&gt;"",COUNTIFS(回路定義!$A:$A,A213,回路定義!$B:$B,S213)=0),"／回路3が定義にない",""),2,300)))</f>
        <v/>
      </c>
    </row>
    <row r="214">
      <c r="A214" s="5" t="n"/>
      <c r="B214" s="5" t="n"/>
      <c r="C214" s="5" t="n"/>
      <c r="D214" s="5" t="n"/>
      <c r="E214" s="6">
        <f>IF(C214="","",C214+D214-1)</f>
        <v/>
      </c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6">
        <f>COUNT(N214,Q214,T214)</f>
        <v/>
      </c>
      <c r="Z214" s="6">
        <f>IF(OR(K214="",NOT(ISNUMBER(K214))),"",K214*SUM(N214,Q214,T214))</f>
        <v/>
      </c>
      <c r="AA214" s="6">
        <f>IF(OR(Y214=0,N214=""),"",N214/Y214)</f>
        <v/>
      </c>
      <c r="AB214" s="6">
        <f>IF(OR(Y214=0,Q214=""),"",Q214/Y214)</f>
        <v/>
      </c>
      <c r="AC214" s="6">
        <f>IF(OR(Y214=0,T214=""),"",T214/Y214)</f>
        <v/>
      </c>
      <c r="AD214" s="6">
        <f>IF(F214="","",IF((IF(AND(Y214=0,NOT(SUMPRODUCT(--ISNUMBER(SEARCH({"棚板","棚","アングル","ｱﾝｸﾞﾙ","使用不可","ケーブル","ｹｰﾌﾞﾙ","PatchPnael","パッチ","引き出し","引出","ブランク","ﾌﾞﾗﾝｸ","マネージ","ﾏﾈｰｼﾞ","PDU","ONU"},$F214&amp;"")))&gt;0),NOT(SUMPRODUCT(--ISNUMBER(SEARCH({"電源オフ","未投入","停止","未使用","撤去"},$X214&amp;"")))&gt;0)),"／電力が未記入","")&amp;IF(AND(NOT(ISNUMBER(J214)),NOT(SUMPRODUCT(--ISNUMBER(SEARCH({"棚板","棚","アングル","ｱﾝｸﾞﾙ","使用不可","ケーブル","ｹｰﾌﾞﾙ","PatchPnael","パッチ","引き出し","引出","ブランク","ﾌﾞﾗﾝｸ","マネージ","ﾏﾈｰｼﾞ","PDU","ONU"},$F214&amp;"")))&gt;0)),"／重量が未記入","")&amp;IF(AND(K214&lt;&gt;"",NOT(ISNUMBER(K214))),"／電圧が数値でない","")&amp;IF(AND(N214&lt;&gt;"",NOT(ISNUMBER(N214))),"／電流が数値でない","")&amp;IF(AND(C214&lt;&gt;"",C214&lt;1),"／開始Uが1未満","")&amp;IF(AND(E214&lt;&gt;"",E214&gt;IFERROR(VLOOKUP(A214,ラック定義!$A:$B,2,FALSE),47)),"／総Uをはみ出す","")&amp;IF(AND(A214&lt;&gt;"",COUNTIF(ラック定義!$A:$A,A214)=0),"／ラックが定義にない","")&amp;IF(AND(SUMPRODUCT((機器台帳!$A$2:$A$400=$A214)*((機器台帳!$B$2:$B$400=$B214)+(機器台帳!$B$2:$B$400="両面")+($B214="両面")&gt;0)*(機器台帳!$C$2:$C$400&lt;=$C214+$D214-1)*(機器台帳!$C$2:$C$400+機器台帳!$D$2:$D$400-1&gt;=$C214)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214&amp;"")))&gt;0)),"／同じUに他の機器(横並びなら正常)","")&amp;IF(AND(M214&lt;&gt;"",COUNTIFS(回路定義!$A:$A,A214,回路定義!$B:$B,M214)=0),"／回路1が定義にない","")&amp;IF(AND(P214&lt;&gt;"",COUNTIFS(回路定義!$A:$A,A214,回路定義!$B:$B,P214)=0),"／回路2が定義にない","")&amp;IF(AND(S214&lt;&gt;"",COUNTIFS(回路定義!$A:$A,A214,回路定義!$B:$B,S214)=0),"／回路3が定義にない",""))="","",MID(IF(AND(Y214=0,NOT(SUMPRODUCT(--ISNUMBER(SEARCH({"棚板","棚","アングル","ｱﾝｸﾞﾙ","使用不可","ケーブル","ｹｰﾌﾞﾙ","PatchPnael","パッチ","引き出し","引出","ブランク","ﾌﾞﾗﾝｸ","マネージ","ﾏﾈｰｼﾞ","PDU","ONU"},$F214&amp;"")))&gt;0),NOT(SUMPRODUCT(--ISNUMBER(SEARCH({"電源オフ","未投入","停止","未使用","撤去"},$X214&amp;"")))&gt;0)),"／電力が未記入","")&amp;IF(AND(NOT(ISNUMBER(J214)),NOT(SUMPRODUCT(--ISNUMBER(SEARCH({"棚板","棚","アングル","ｱﾝｸﾞﾙ","使用不可","ケーブル","ｹｰﾌﾞﾙ","PatchPnael","パッチ","引き出し","引出","ブランク","ﾌﾞﾗﾝｸ","マネージ","ﾏﾈｰｼﾞ","PDU","ONU"},$F214&amp;"")))&gt;0)),"／重量が未記入","")&amp;IF(AND(K214&lt;&gt;"",NOT(ISNUMBER(K214))),"／電圧が数値でない","")&amp;IF(AND(N214&lt;&gt;"",NOT(ISNUMBER(N214))),"／電流が数値でない","")&amp;IF(AND(C214&lt;&gt;"",C214&lt;1),"／開始Uが1未満","")&amp;IF(AND(E214&lt;&gt;"",E214&gt;IFERROR(VLOOKUP(A214,ラック定義!$A:$B,2,FALSE),47)),"／総Uをはみ出す","")&amp;IF(AND(A214&lt;&gt;"",COUNTIF(ラック定義!$A:$A,A214)=0),"／ラックが定義にない","")&amp;IF(AND(SUMPRODUCT((機器台帳!$A$2:$A$400=$A214)*((機器台帳!$B$2:$B$400=$B214)+(機器台帳!$B$2:$B$400="両面")+($B214="両面")&gt;0)*(機器台帳!$C$2:$C$400&lt;=$C214+$D214-1)*(機器台帳!$C$2:$C$400+機器台帳!$D$2:$D$400-1&gt;=$C214)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214&amp;"")))&gt;0)),"／同じUに他の機器(横並びなら正常)","")&amp;IF(AND(M214&lt;&gt;"",COUNTIFS(回路定義!$A:$A,A214,回路定義!$B:$B,M214)=0),"／回路1が定義にない","")&amp;IF(AND(P214&lt;&gt;"",COUNTIFS(回路定義!$A:$A,A214,回路定義!$B:$B,P214)=0),"／回路2が定義にない","")&amp;IF(AND(S214&lt;&gt;"",COUNTIFS(回路定義!$A:$A,A214,回路定義!$B:$B,S214)=0),"／回路3が定義にない",""),2,300)))</f>
        <v/>
      </c>
    </row>
    <row r="215">
      <c r="A215" s="5" t="n"/>
      <c r="B215" s="5" t="n"/>
      <c r="C215" s="5" t="n"/>
      <c r="D215" s="5" t="n"/>
      <c r="E215" s="6">
        <f>IF(C215="","",C215+D215-1)</f>
        <v/>
      </c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6">
        <f>COUNT(N215,Q215,T215)</f>
        <v/>
      </c>
      <c r="Z215" s="6">
        <f>IF(OR(K215="",NOT(ISNUMBER(K215))),"",K215*SUM(N215,Q215,T215))</f>
        <v/>
      </c>
      <c r="AA215" s="6">
        <f>IF(OR(Y215=0,N215=""),"",N215/Y215)</f>
        <v/>
      </c>
      <c r="AB215" s="6">
        <f>IF(OR(Y215=0,Q215=""),"",Q215/Y215)</f>
        <v/>
      </c>
      <c r="AC215" s="6">
        <f>IF(OR(Y215=0,T215=""),"",T215/Y215)</f>
        <v/>
      </c>
      <c r="AD215" s="6">
        <f>IF(F215="","",IF((IF(AND(Y215=0,NOT(SUMPRODUCT(--ISNUMBER(SEARCH({"棚板","棚","アングル","ｱﾝｸﾞﾙ","使用不可","ケーブル","ｹｰﾌﾞﾙ","PatchPnael","パッチ","引き出し","引出","ブランク","ﾌﾞﾗﾝｸ","マネージ","ﾏﾈｰｼﾞ","PDU","ONU"},$F215&amp;"")))&gt;0),NOT(SUMPRODUCT(--ISNUMBER(SEARCH({"電源オフ","未投入","停止","未使用","撤去"},$X215&amp;"")))&gt;0)),"／電力が未記入","")&amp;IF(AND(NOT(ISNUMBER(J215)),NOT(SUMPRODUCT(--ISNUMBER(SEARCH({"棚板","棚","アングル","ｱﾝｸﾞﾙ","使用不可","ケーブル","ｹｰﾌﾞﾙ","PatchPnael","パッチ","引き出し","引出","ブランク","ﾌﾞﾗﾝｸ","マネージ","ﾏﾈｰｼﾞ","PDU","ONU"},$F215&amp;"")))&gt;0)),"／重量が未記入","")&amp;IF(AND(K215&lt;&gt;"",NOT(ISNUMBER(K215))),"／電圧が数値でない","")&amp;IF(AND(N215&lt;&gt;"",NOT(ISNUMBER(N215))),"／電流が数値でない","")&amp;IF(AND(C215&lt;&gt;"",C215&lt;1),"／開始Uが1未満","")&amp;IF(AND(E215&lt;&gt;"",E215&gt;IFERROR(VLOOKUP(A215,ラック定義!$A:$B,2,FALSE),47)),"／総Uをはみ出す","")&amp;IF(AND(A215&lt;&gt;"",COUNTIF(ラック定義!$A:$A,A215)=0),"／ラックが定義にない","")&amp;IF(AND(SUMPRODUCT((機器台帳!$A$2:$A$400=$A215)*((機器台帳!$B$2:$B$400=$B215)+(機器台帳!$B$2:$B$400="両面")+($B215="両面")&gt;0)*(機器台帳!$C$2:$C$400&lt;=$C215+$D215-1)*(機器台帳!$C$2:$C$400+機器台帳!$D$2:$D$400-1&gt;=$C215)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215&amp;"")))&gt;0)),"／同じUに他の機器(横並びなら正常)","")&amp;IF(AND(M215&lt;&gt;"",COUNTIFS(回路定義!$A:$A,A215,回路定義!$B:$B,M215)=0),"／回路1が定義にない","")&amp;IF(AND(P215&lt;&gt;"",COUNTIFS(回路定義!$A:$A,A215,回路定義!$B:$B,P215)=0),"／回路2が定義にない","")&amp;IF(AND(S215&lt;&gt;"",COUNTIFS(回路定義!$A:$A,A215,回路定義!$B:$B,S215)=0),"／回路3が定義にない",""))="","",MID(IF(AND(Y215=0,NOT(SUMPRODUCT(--ISNUMBER(SEARCH({"棚板","棚","アングル","ｱﾝｸﾞﾙ","使用不可","ケーブル","ｹｰﾌﾞﾙ","PatchPnael","パッチ","引き出し","引出","ブランク","ﾌﾞﾗﾝｸ","マネージ","ﾏﾈｰｼﾞ","PDU","ONU"},$F215&amp;"")))&gt;0),NOT(SUMPRODUCT(--ISNUMBER(SEARCH({"電源オフ","未投入","停止","未使用","撤去"},$X215&amp;"")))&gt;0)),"／電力が未記入","")&amp;IF(AND(NOT(ISNUMBER(J215)),NOT(SUMPRODUCT(--ISNUMBER(SEARCH({"棚板","棚","アングル","ｱﾝｸﾞﾙ","使用不可","ケーブル","ｹｰﾌﾞﾙ","PatchPnael","パッチ","引き出し","引出","ブランク","ﾌﾞﾗﾝｸ","マネージ","ﾏﾈｰｼﾞ","PDU","ONU"},$F215&amp;"")))&gt;0)),"／重量が未記入","")&amp;IF(AND(K215&lt;&gt;"",NOT(ISNUMBER(K215))),"／電圧が数値でない","")&amp;IF(AND(N215&lt;&gt;"",NOT(ISNUMBER(N215))),"／電流が数値でない","")&amp;IF(AND(C215&lt;&gt;"",C215&lt;1),"／開始Uが1未満","")&amp;IF(AND(E215&lt;&gt;"",E215&gt;IFERROR(VLOOKUP(A215,ラック定義!$A:$B,2,FALSE),47)),"／総Uをはみ出す","")&amp;IF(AND(A215&lt;&gt;"",COUNTIF(ラック定義!$A:$A,A215)=0),"／ラックが定義にない","")&amp;IF(AND(SUMPRODUCT((機器台帳!$A$2:$A$400=$A215)*((機器台帳!$B$2:$B$400=$B215)+(機器台帳!$B$2:$B$400="両面")+($B215="両面")&gt;0)*(機器台帳!$C$2:$C$400&lt;=$C215+$D215-1)*(機器台帳!$C$2:$C$400+機器台帳!$D$2:$D$400-1&gt;=$C215)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215&amp;"")))&gt;0)),"／同じUに他の機器(横並びなら正常)","")&amp;IF(AND(M215&lt;&gt;"",COUNTIFS(回路定義!$A:$A,A215,回路定義!$B:$B,M215)=0),"／回路1が定義にない","")&amp;IF(AND(P215&lt;&gt;"",COUNTIFS(回路定義!$A:$A,A215,回路定義!$B:$B,P215)=0),"／回路2が定義にない","")&amp;IF(AND(S215&lt;&gt;"",COUNTIFS(回路定義!$A:$A,A215,回路定義!$B:$B,S215)=0),"／回路3が定義にない",""),2,300)))</f>
        <v/>
      </c>
    </row>
    <row r="216">
      <c r="A216" s="5" t="n"/>
      <c r="B216" s="5" t="n"/>
      <c r="C216" s="5" t="n"/>
      <c r="D216" s="5" t="n"/>
      <c r="E216" s="6">
        <f>IF(C216="","",C216+D216-1)</f>
        <v/>
      </c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6">
        <f>COUNT(N216,Q216,T216)</f>
        <v/>
      </c>
      <c r="Z216" s="6">
        <f>IF(OR(K216="",NOT(ISNUMBER(K216))),"",K216*SUM(N216,Q216,T216))</f>
        <v/>
      </c>
      <c r="AA216" s="6">
        <f>IF(OR(Y216=0,N216=""),"",N216/Y216)</f>
        <v/>
      </c>
      <c r="AB216" s="6">
        <f>IF(OR(Y216=0,Q216=""),"",Q216/Y216)</f>
        <v/>
      </c>
      <c r="AC216" s="6">
        <f>IF(OR(Y216=0,T216=""),"",T216/Y216)</f>
        <v/>
      </c>
      <c r="AD216" s="6">
        <f>IF(F216="","",IF((IF(AND(Y216=0,NOT(SUMPRODUCT(--ISNUMBER(SEARCH({"棚板","棚","アングル","ｱﾝｸﾞﾙ","使用不可","ケーブル","ｹｰﾌﾞﾙ","PatchPnael","パッチ","引き出し","引出","ブランク","ﾌﾞﾗﾝｸ","マネージ","ﾏﾈｰｼﾞ","PDU","ONU"},$F216&amp;"")))&gt;0),NOT(SUMPRODUCT(--ISNUMBER(SEARCH({"電源オフ","未投入","停止","未使用","撤去"},$X216&amp;"")))&gt;0)),"／電力が未記入","")&amp;IF(AND(NOT(ISNUMBER(J216)),NOT(SUMPRODUCT(--ISNUMBER(SEARCH({"棚板","棚","アングル","ｱﾝｸﾞﾙ","使用不可","ケーブル","ｹｰﾌﾞﾙ","PatchPnael","パッチ","引き出し","引出","ブランク","ﾌﾞﾗﾝｸ","マネージ","ﾏﾈｰｼﾞ","PDU","ONU"},$F216&amp;"")))&gt;0)),"／重量が未記入","")&amp;IF(AND(K216&lt;&gt;"",NOT(ISNUMBER(K216))),"／電圧が数値でない","")&amp;IF(AND(N216&lt;&gt;"",NOT(ISNUMBER(N216))),"／電流が数値でない","")&amp;IF(AND(C216&lt;&gt;"",C216&lt;1),"／開始Uが1未満","")&amp;IF(AND(E216&lt;&gt;"",E216&gt;IFERROR(VLOOKUP(A216,ラック定義!$A:$B,2,FALSE),47)),"／総Uをはみ出す","")&amp;IF(AND(A216&lt;&gt;"",COUNTIF(ラック定義!$A:$A,A216)=0),"／ラックが定義にない","")&amp;IF(AND(SUMPRODUCT((機器台帳!$A$2:$A$400=$A216)*((機器台帳!$B$2:$B$400=$B216)+(機器台帳!$B$2:$B$400="両面")+($B216="両面")&gt;0)*(機器台帳!$C$2:$C$400&lt;=$C216+$D216-1)*(機器台帳!$C$2:$C$400+機器台帳!$D$2:$D$400-1&gt;=$C216)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216&amp;"")))&gt;0)),"／同じUに他の機器(横並びなら正常)","")&amp;IF(AND(M216&lt;&gt;"",COUNTIFS(回路定義!$A:$A,A216,回路定義!$B:$B,M216)=0),"／回路1が定義にない","")&amp;IF(AND(P216&lt;&gt;"",COUNTIFS(回路定義!$A:$A,A216,回路定義!$B:$B,P216)=0),"／回路2が定義にない","")&amp;IF(AND(S216&lt;&gt;"",COUNTIFS(回路定義!$A:$A,A216,回路定義!$B:$B,S216)=0),"／回路3が定義にない",""))="","",MID(IF(AND(Y216=0,NOT(SUMPRODUCT(--ISNUMBER(SEARCH({"棚板","棚","アングル","ｱﾝｸﾞﾙ","使用不可","ケーブル","ｹｰﾌﾞﾙ","PatchPnael","パッチ","引き出し","引出","ブランク","ﾌﾞﾗﾝｸ","マネージ","ﾏﾈｰｼﾞ","PDU","ONU"},$F216&amp;"")))&gt;0),NOT(SUMPRODUCT(--ISNUMBER(SEARCH({"電源オフ","未投入","停止","未使用","撤去"},$X216&amp;"")))&gt;0)),"／電力が未記入","")&amp;IF(AND(NOT(ISNUMBER(J216)),NOT(SUMPRODUCT(--ISNUMBER(SEARCH({"棚板","棚","アングル","ｱﾝｸﾞﾙ","使用不可","ケーブル","ｹｰﾌﾞﾙ","PatchPnael","パッチ","引き出し","引出","ブランク","ﾌﾞﾗﾝｸ","マネージ","ﾏﾈｰｼﾞ","PDU","ONU"},$F216&amp;"")))&gt;0)),"／重量が未記入","")&amp;IF(AND(K216&lt;&gt;"",NOT(ISNUMBER(K216))),"／電圧が数値でない","")&amp;IF(AND(N216&lt;&gt;"",NOT(ISNUMBER(N216))),"／電流が数値でない","")&amp;IF(AND(C216&lt;&gt;"",C216&lt;1),"／開始Uが1未満","")&amp;IF(AND(E216&lt;&gt;"",E216&gt;IFERROR(VLOOKUP(A216,ラック定義!$A:$B,2,FALSE),47)),"／総Uをはみ出す","")&amp;IF(AND(A216&lt;&gt;"",COUNTIF(ラック定義!$A:$A,A216)=0),"／ラックが定義にない","")&amp;IF(AND(SUMPRODUCT((機器台帳!$A$2:$A$400=$A216)*((機器台帳!$B$2:$B$400=$B216)+(機器台帳!$B$2:$B$400="両面")+($B216="両面")&gt;0)*(機器台帳!$C$2:$C$400&lt;=$C216+$D216-1)*(機器台帳!$C$2:$C$400+機器台帳!$D$2:$D$400-1&gt;=$C216)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216&amp;"")))&gt;0)),"／同じUに他の機器(横並びなら正常)","")&amp;IF(AND(M216&lt;&gt;"",COUNTIFS(回路定義!$A:$A,A216,回路定義!$B:$B,M216)=0),"／回路1が定義にない","")&amp;IF(AND(P216&lt;&gt;"",COUNTIFS(回路定義!$A:$A,A216,回路定義!$B:$B,P216)=0),"／回路2が定義にない","")&amp;IF(AND(S216&lt;&gt;"",COUNTIFS(回路定義!$A:$A,A216,回路定義!$B:$B,S216)=0),"／回路3が定義にない",""),2,300)))</f>
        <v/>
      </c>
    </row>
    <row r="217">
      <c r="A217" s="5" t="n"/>
      <c r="B217" s="5" t="n"/>
      <c r="C217" s="5" t="n"/>
      <c r="D217" s="5" t="n"/>
      <c r="E217" s="6">
        <f>IF(C217="","",C217+D217-1)</f>
        <v/>
      </c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6">
        <f>COUNT(N217,Q217,T217)</f>
        <v/>
      </c>
      <c r="Z217" s="6">
        <f>IF(OR(K217="",NOT(ISNUMBER(K217))),"",K217*SUM(N217,Q217,T217))</f>
        <v/>
      </c>
      <c r="AA217" s="6">
        <f>IF(OR(Y217=0,N217=""),"",N217/Y217)</f>
        <v/>
      </c>
      <c r="AB217" s="6">
        <f>IF(OR(Y217=0,Q217=""),"",Q217/Y217)</f>
        <v/>
      </c>
      <c r="AC217" s="6">
        <f>IF(OR(Y217=0,T217=""),"",T217/Y217)</f>
        <v/>
      </c>
      <c r="AD217" s="6">
        <f>IF(F217="","",IF((IF(AND(Y217=0,NOT(SUMPRODUCT(--ISNUMBER(SEARCH({"棚板","棚","アングル","ｱﾝｸﾞﾙ","使用不可","ケーブル","ｹｰﾌﾞﾙ","PatchPnael","パッチ","引き出し","引出","ブランク","ﾌﾞﾗﾝｸ","マネージ","ﾏﾈｰｼﾞ","PDU","ONU"},$F217&amp;"")))&gt;0),NOT(SUMPRODUCT(--ISNUMBER(SEARCH({"電源オフ","未投入","停止","未使用","撤去"},$X217&amp;"")))&gt;0)),"／電力が未記入","")&amp;IF(AND(NOT(ISNUMBER(J217)),NOT(SUMPRODUCT(--ISNUMBER(SEARCH({"棚板","棚","アングル","ｱﾝｸﾞﾙ","使用不可","ケーブル","ｹｰﾌﾞﾙ","PatchPnael","パッチ","引き出し","引出","ブランク","ﾌﾞﾗﾝｸ","マネージ","ﾏﾈｰｼﾞ","PDU","ONU"},$F217&amp;"")))&gt;0)),"／重量が未記入","")&amp;IF(AND(K217&lt;&gt;"",NOT(ISNUMBER(K217))),"／電圧が数値でない","")&amp;IF(AND(N217&lt;&gt;"",NOT(ISNUMBER(N217))),"／電流が数値でない","")&amp;IF(AND(C217&lt;&gt;"",C217&lt;1),"／開始Uが1未満","")&amp;IF(AND(E217&lt;&gt;"",E217&gt;IFERROR(VLOOKUP(A217,ラック定義!$A:$B,2,FALSE),47)),"／総Uをはみ出す","")&amp;IF(AND(A217&lt;&gt;"",COUNTIF(ラック定義!$A:$A,A217)=0),"／ラックが定義にない","")&amp;IF(AND(SUMPRODUCT((機器台帳!$A$2:$A$400=$A217)*((機器台帳!$B$2:$B$400=$B217)+(機器台帳!$B$2:$B$400="両面")+($B217="両面")&gt;0)*(機器台帳!$C$2:$C$400&lt;=$C217+$D217-1)*(機器台帳!$C$2:$C$400+機器台帳!$D$2:$D$400-1&gt;=$C217)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217&amp;"")))&gt;0)),"／同じUに他の機器(横並びなら正常)","")&amp;IF(AND(M217&lt;&gt;"",COUNTIFS(回路定義!$A:$A,A217,回路定義!$B:$B,M217)=0),"／回路1が定義にない","")&amp;IF(AND(P217&lt;&gt;"",COUNTIFS(回路定義!$A:$A,A217,回路定義!$B:$B,P217)=0),"／回路2が定義にない","")&amp;IF(AND(S217&lt;&gt;"",COUNTIFS(回路定義!$A:$A,A217,回路定義!$B:$B,S217)=0),"／回路3が定義にない",""))="","",MID(IF(AND(Y217=0,NOT(SUMPRODUCT(--ISNUMBER(SEARCH({"棚板","棚","アングル","ｱﾝｸﾞﾙ","使用不可","ケーブル","ｹｰﾌﾞﾙ","PatchPnael","パッチ","引き出し","引出","ブランク","ﾌﾞﾗﾝｸ","マネージ","ﾏﾈｰｼﾞ","PDU","ONU"},$F217&amp;"")))&gt;0),NOT(SUMPRODUCT(--ISNUMBER(SEARCH({"電源オフ","未投入","停止","未使用","撤去"},$X217&amp;"")))&gt;0)),"／電力が未記入","")&amp;IF(AND(NOT(ISNUMBER(J217)),NOT(SUMPRODUCT(--ISNUMBER(SEARCH({"棚板","棚","アングル","ｱﾝｸﾞﾙ","使用不可","ケーブル","ｹｰﾌﾞﾙ","PatchPnael","パッチ","引き出し","引出","ブランク","ﾌﾞﾗﾝｸ","マネージ","ﾏﾈｰｼﾞ","PDU","ONU"},$F217&amp;"")))&gt;0)),"／重量が未記入","")&amp;IF(AND(K217&lt;&gt;"",NOT(ISNUMBER(K217))),"／電圧が数値でない","")&amp;IF(AND(N217&lt;&gt;"",NOT(ISNUMBER(N217))),"／電流が数値でない","")&amp;IF(AND(C217&lt;&gt;"",C217&lt;1),"／開始Uが1未満","")&amp;IF(AND(E217&lt;&gt;"",E217&gt;IFERROR(VLOOKUP(A217,ラック定義!$A:$B,2,FALSE),47)),"／総Uをはみ出す","")&amp;IF(AND(A217&lt;&gt;"",COUNTIF(ラック定義!$A:$A,A217)=0),"／ラックが定義にない","")&amp;IF(AND(SUMPRODUCT((機器台帳!$A$2:$A$400=$A217)*((機器台帳!$B$2:$B$400=$B217)+(機器台帳!$B$2:$B$400="両面")+($B217="両面")&gt;0)*(機器台帳!$C$2:$C$400&lt;=$C217+$D217-1)*(機器台帳!$C$2:$C$400+機器台帳!$D$2:$D$400-1&gt;=$C217)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217&amp;"")))&gt;0)),"／同じUに他の機器(横並びなら正常)","")&amp;IF(AND(M217&lt;&gt;"",COUNTIFS(回路定義!$A:$A,A217,回路定義!$B:$B,M217)=0),"／回路1が定義にない","")&amp;IF(AND(P217&lt;&gt;"",COUNTIFS(回路定義!$A:$A,A217,回路定義!$B:$B,P217)=0),"／回路2が定義にない","")&amp;IF(AND(S217&lt;&gt;"",COUNTIFS(回路定義!$A:$A,A217,回路定義!$B:$B,S217)=0),"／回路3が定義にない",""),2,300)))</f>
        <v/>
      </c>
    </row>
    <row r="218">
      <c r="A218" s="5" t="n"/>
      <c r="B218" s="5" t="n"/>
      <c r="C218" s="5" t="n"/>
      <c r="D218" s="5" t="n"/>
      <c r="E218" s="6">
        <f>IF(C218="","",C218+D218-1)</f>
        <v/>
      </c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6">
        <f>COUNT(N218,Q218,T218)</f>
        <v/>
      </c>
      <c r="Z218" s="6">
        <f>IF(OR(K218="",NOT(ISNUMBER(K218))),"",K218*SUM(N218,Q218,T218))</f>
        <v/>
      </c>
      <c r="AA218" s="6">
        <f>IF(OR(Y218=0,N218=""),"",N218/Y218)</f>
        <v/>
      </c>
      <c r="AB218" s="6">
        <f>IF(OR(Y218=0,Q218=""),"",Q218/Y218)</f>
        <v/>
      </c>
      <c r="AC218" s="6">
        <f>IF(OR(Y218=0,T218=""),"",T218/Y218)</f>
        <v/>
      </c>
      <c r="AD218" s="6">
        <f>IF(F218="","",IF((IF(AND(Y218=0,NOT(SUMPRODUCT(--ISNUMBER(SEARCH({"棚板","棚","アングル","ｱﾝｸﾞﾙ","使用不可","ケーブル","ｹｰﾌﾞﾙ","PatchPnael","パッチ","引き出し","引出","ブランク","ﾌﾞﾗﾝｸ","マネージ","ﾏﾈｰｼﾞ","PDU","ONU"},$F218&amp;"")))&gt;0),NOT(SUMPRODUCT(--ISNUMBER(SEARCH({"電源オフ","未投入","停止","未使用","撤去"},$X218&amp;"")))&gt;0)),"／電力が未記入","")&amp;IF(AND(NOT(ISNUMBER(J218)),NOT(SUMPRODUCT(--ISNUMBER(SEARCH({"棚板","棚","アングル","ｱﾝｸﾞﾙ","使用不可","ケーブル","ｹｰﾌﾞﾙ","PatchPnael","パッチ","引き出し","引出","ブランク","ﾌﾞﾗﾝｸ","マネージ","ﾏﾈｰｼﾞ","PDU","ONU"},$F218&amp;"")))&gt;0)),"／重量が未記入","")&amp;IF(AND(K218&lt;&gt;"",NOT(ISNUMBER(K218))),"／電圧が数値でない","")&amp;IF(AND(N218&lt;&gt;"",NOT(ISNUMBER(N218))),"／電流が数値でない","")&amp;IF(AND(C218&lt;&gt;"",C218&lt;1),"／開始Uが1未満","")&amp;IF(AND(E218&lt;&gt;"",E218&gt;IFERROR(VLOOKUP(A218,ラック定義!$A:$B,2,FALSE),47)),"／総Uをはみ出す","")&amp;IF(AND(A218&lt;&gt;"",COUNTIF(ラック定義!$A:$A,A218)=0),"／ラックが定義にない","")&amp;IF(AND(SUMPRODUCT((機器台帳!$A$2:$A$400=$A218)*((機器台帳!$B$2:$B$400=$B218)+(機器台帳!$B$2:$B$400="両面")+($B218="両面")&gt;0)*(機器台帳!$C$2:$C$400&lt;=$C218+$D218-1)*(機器台帳!$C$2:$C$400+機器台帳!$D$2:$D$400-1&gt;=$C218)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218&amp;"")))&gt;0)),"／同じUに他の機器(横並びなら正常)","")&amp;IF(AND(M218&lt;&gt;"",COUNTIFS(回路定義!$A:$A,A218,回路定義!$B:$B,M218)=0),"／回路1が定義にない","")&amp;IF(AND(P218&lt;&gt;"",COUNTIFS(回路定義!$A:$A,A218,回路定義!$B:$B,P218)=0),"／回路2が定義にない","")&amp;IF(AND(S218&lt;&gt;"",COUNTIFS(回路定義!$A:$A,A218,回路定義!$B:$B,S218)=0),"／回路3が定義にない",""))="","",MID(IF(AND(Y218=0,NOT(SUMPRODUCT(--ISNUMBER(SEARCH({"棚板","棚","アングル","ｱﾝｸﾞﾙ","使用不可","ケーブル","ｹｰﾌﾞﾙ","PatchPnael","パッチ","引き出し","引出","ブランク","ﾌﾞﾗﾝｸ","マネージ","ﾏﾈｰｼﾞ","PDU","ONU"},$F218&amp;"")))&gt;0),NOT(SUMPRODUCT(--ISNUMBER(SEARCH({"電源オフ","未投入","停止","未使用","撤去"},$X218&amp;"")))&gt;0)),"／電力が未記入","")&amp;IF(AND(NOT(ISNUMBER(J218)),NOT(SUMPRODUCT(--ISNUMBER(SEARCH({"棚板","棚","アングル","ｱﾝｸﾞﾙ","使用不可","ケーブル","ｹｰﾌﾞﾙ","PatchPnael","パッチ","引き出し","引出","ブランク","ﾌﾞﾗﾝｸ","マネージ","ﾏﾈｰｼﾞ","PDU","ONU"},$F218&amp;"")))&gt;0)),"／重量が未記入","")&amp;IF(AND(K218&lt;&gt;"",NOT(ISNUMBER(K218))),"／電圧が数値でない","")&amp;IF(AND(N218&lt;&gt;"",NOT(ISNUMBER(N218))),"／電流が数値でない","")&amp;IF(AND(C218&lt;&gt;"",C218&lt;1),"／開始Uが1未満","")&amp;IF(AND(E218&lt;&gt;"",E218&gt;IFERROR(VLOOKUP(A218,ラック定義!$A:$B,2,FALSE),47)),"／総Uをはみ出す","")&amp;IF(AND(A218&lt;&gt;"",COUNTIF(ラック定義!$A:$A,A218)=0),"／ラックが定義にない","")&amp;IF(AND(SUMPRODUCT((機器台帳!$A$2:$A$400=$A218)*((機器台帳!$B$2:$B$400=$B218)+(機器台帳!$B$2:$B$400="両面")+($B218="両面")&gt;0)*(機器台帳!$C$2:$C$400&lt;=$C218+$D218-1)*(機器台帳!$C$2:$C$400+機器台帳!$D$2:$D$400-1&gt;=$C218)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218&amp;"")))&gt;0)),"／同じUに他の機器(横並びなら正常)","")&amp;IF(AND(M218&lt;&gt;"",COUNTIFS(回路定義!$A:$A,A218,回路定義!$B:$B,M218)=0),"／回路1が定義にない","")&amp;IF(AND(P218&lt;&gt;"",COUNTIFS(回路定義!$A:$A,A218,回路定義!$B:$B,P218)=0),"／回路2が定義にない","")&amp;IF(AND(S218&lt;&gt;"",COUNTIFS(回路定義!$A:$A,A218,回路定義!$B:$B,S218)=0),"／回路3が定義にない",""),2,300)))</f>
        <v/>
      </c>
    </row>
    <row r="219">
      <c r="A219" s="5" t="n"/>
      <c r="B219" s="5" t="n"/>
      <c r="C219" s="5" t="n"/>
      <c r="D219" s="5" t="n"/>
      <c r="E219" s="6">
        <f>IF(C219="","",C219+D219-1)</f>
        <v/>
      </c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6">
        <f>COUNT(N219,Q219,T219)</f>
        <v/>
      </c>
      <c r="Z219" s="6">
        <f>IF(OR(K219="",NOT(ISNUMBER(K219))),"",K219*SUM(N219,Q219,T219))</f>
        <v/>
      </c>
      <c r="AA219" s="6">
        <f>IF(OR(Y219=0,N219=""),"",N219/Y219)</f>
        <v/>
      </c>
      <c r="AB219" s="6">
        <f>IF(OR(Y219=0,Q219=""),"",Q219/Y219)</f>
        <v/>
      </c>
      <c r="AC219" s="6">
        <f>IF(OR(Y219=0,T219=""),"",T219/Y219)</f>
        <v/>
      </c>
      <c r="AD219" s="6">
        <f>IF(F219="","",IF((IF(AND(Y219=0,NOT(SUMPRODUCT(--ISNUMBER(SEARCH({"棚板","棚","アングル","ｱﾝｸﾞﾙ","使用不可","ケーブル","ｹｰﾌﾞﾙ","PatchPnael","パッチ","引き出し","引出","ブランク","ﾌﾞﾗﾝｸ","マネージ","ﾏﾈｰｼﾞ","PDU","ONU"},$F219&amp;"")))&gt;0),NOT(SUMPRODUCT(--ISNUMBER(SEARCH({"電源オフ","未投入","停止","未使用","撤去"},$X219&amp;"")))&gt;0)),"／電力が未記入","")&amp;IF(AND(NOT(ISNUMBER(J219)),NOT(SUMPRODUCT(--ISNUMBER(SEARCH({"棚板","棚","アングル","ｱﾝｸﾞﾙ","使用不可","ケーブル","ｹｰﾌﾞﾙ","PatchPnael","パッチ","引き出し","引出","ブランク","ﾌﾞﾗﾝｸ","マネージ","ﾏﾈｰｼﾞ","PDU","ONU"},$F219&amp;"")))&gt;0)),"／重量が未記入","")&amp;IF(AND(K219&lt;&gt;"",NOT(ISNUMBER(K219))),"／電圧が数値でない","")&amp;IF(AND(N219&lt;&gt;"",NOT(ISNUMBER(N219))),"／電流が数値でない","")&amp;IF(AND(C219&lt;&gt;"",C219&lt;1),"／開始Uが1未満","")&amp;IF(AND(E219&lt;&gt;"",E219&gt;IFERROR(VLOOKUP(A219,ラック定義!$A:$B,2,FALSE),47)),"／総Uをはみ出す","")&amp;IF(AND(A219&lt;&gt;"",COUNTIF(ラック定義!$A:$A,A219)=0),"／ラックが定義にない","")&amp;IF(AND(SUMPRODUCT((機器台帳!$A$2:$A$400=$A219)*((機器台帳!$B$2:$B$400=$B219)+(機器台帳!$B$2:$B$400="両面")+($B219="両面")&gt;0)*(機器台帳!$C$2:$C$400&lt;=$C219+$D219-1)*(機器台帳!$C$2:$C$400+機器台帳!$D$2:$D$400-1&gt;=$C219)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219&amp;"")))&gt;0)),"／同じUに他の機器(横並びなら正常)","")&amp;IF(AND(M219&lt;&gt;"",COUNTIFS(回路定義!$A:$A,A219,回路定義!$B:$B,M219)=0),"／回路1が定義にない","")&amp;IF(AND(P219&lt;&gt;"",COUNTIFS(回路定義!$A:$A,A219,回路定義!$B:$B,P219)=0),"／回路2が定義にない","")&amp;IF(AND(S219&lt;&gt;"",COUNTIFS(回路定義!$A:$A,A219,回路定義!$B:$B,S219)=0),"／回路3が定義にない",""))="","",MID(IF(AND(Y219=0,NOT(SUMPRODUCT(--ISNUMBER(SEARCH({"棚板","棚","アングル","ｱﾝｸﾞﾙ","使用不可","ケーブル","ｹｰﾌﾞﾙ","PatchPnael","パッチ","引き出し","引出","ブランク","ﾌﾞﾗﾝｸ","マネージ","ﾏﾈｰｼﾞ","PDU","ONU"},$F219&amp;"")))&gt;0),NOT(SUMPRODUCT(--ISNUMBER(SEARCH({"電源オフ","未投入","停止","未使用","撤去"},$X219&amp;"")))&gt;0)),"／電力が未記入","")&amp;IF(AND(NOT(ISNUMBER(J219)),NOT(SUMPRODUCT(--ISNUMBER(SEARCH({"棚板","棚","アングル","ｱﾝｸﾞﾙ","使用不可","ケーブル","ｹｰﾌﾞﾙ","PatchPnael","パッチ","引き出し","引出","ブランク","ﾌﾞﾗﾝｸ","マネージ","ﾏﾈｰｼﾞ","PDU","ONU"},$F219&amp;"")))&gt;0)),"／重量が未記入","")&amp;IF(AND(K219&lt;&gt;"",NOT(ISNUMBER(K219))),"／電圧が数値でない","")&amp;IF(AND(N219&lt;&gt;"",NOT(ISNUMBER(N219))),"／電流が数値でない","")&amp;IF(AND(C219&lt;&gt;"",C219&lt;1),"／開始Uが1未満","")&amp;IF(AND(E219&lt;&gt;"",E219&gt;IFERROR(VLOOKUP(A219,ラック定義!$A:$B,2,FALSE),47)),"／総Uをはみ出す","")&amp;IF(AND(A219&lt;&gt;"",COUNTIF(ラック定義!$A:$A,A219)=0),"／ラックが定義にない","")&amp;IF(AND(SUMPRODUCT((機器台帳!$A$2:$A$400=$A219)*((機器台帳!$B$2:$B$400=$B219)+(機器台帳!$B$2:$B$400="両面")+($B219="両面")&gt;0)*(機器台帳!$C$2:$C$400&lt;=$C219+$D219-1)*(機器台帳!$C$2:$C$400+機器台帳!$D$2:$D$400-1&gt;=$C219)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219&amp;"")))&gt;0)),"／同じUに他の機器(横並びなら正常)","")&amp;IF(AND(M219&lt;&gt;"",COUNTIFS(回路定義!$A:$A,A219,回路定義!$B:$B,M219)=0),"／回路1が定義にない","")&amp;IF(AND(P219&lt;&gt;"",COUNTIFS(回路定義!$A:$A,A219,回路定義!$B:$B,P219)=0),"／回路2が定義にない","")&amp;IF(AND(S219&lt;&gt;"",COUNTIFS(回路定義!$A:$A,A219,回路定義!$B:$B,S219)=0),"／回路3が定義にない",""),2,300)))</f>
        <v/>
      </c>
    </row>
    <row r="220">
      <c r="A220" s="5" t="n"/>
      <c r="B220" s="5" t="n"/>
      <c r="C220" s="5" t="n"/>
      <c r="D220" s="5" t="n"/>
      <c r="E220" s="6">
        <f>IF(C220="","",C220+D220-1)</f>
        <v/>
      </c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6">
        <f>COUNT(N220,Q220,T220)</f>
        <v/>
      </c>
      <c r="Z220" s="6">
        <f>IF(OR(K220="",NOT(ISNUMBER(K220))),"",K220*SUM(N220,Q220,T220))</f>
        <v/>
      </c>
      <c r="AA220" s="6">
        <f>IF(OR(Y220=0,N220=""),"",N220/Y220)</f>
        <v/>
      </c>
      <c r="AB220" s="6">
        <f>IF(OR(Y220=0,Q220=""),"",Q220/Y220)</f>
        <v/>
      </c>
      <c r="AC220" s="6">
        <f>IF(OR(Y220=0,T220=""),"",T220/Y220)</f>
        <v/>
      </c>
      <c r="AD220" s="6">
        <f>IF(F220="","",IF((IF(AND(Y220=0,NOT(SUMPRODUCT(--ISNUMBER(SEARCH({"棚板","棚","アングル","ｱﾝｸﾞﾙ","使用不可","ケーブル","ｹｰﾌﾞﾙ","PatchPnael","パッチ","引き出し","引出","ブランク","ﾌﾞﾗﾝｸ","マネージ","ﾏﾈｰｼﾞ","PDU","ONU"},$F220&amp;"")))&gt;0),NOT(SUMPRODUCT(--ISNUMBER(SEARCH({"電源オフ","未投入","停止","未使用","撤去"},$X220&amp;"")))&gt;0)),"／電力が未記入","")&amp;IF(AND(NOT(ISNUMBER(J220)),NOT(SUMPRODUCT(--ISNUMBER(SEARCH({"棚板","棚","アングル","ｱﾝｸﾞﾙ","使用不可","ケーブル","ｹｰﾌﾞﾙ","PatchPnael","パッチ","引き出し","引出","ブランク","ﾌﾞﾗﾝｸ","マネージ","ﾏﾈｰｼﾞ","PDU","ONU"},$F220&amp;"")))&gt;0)),"／重量が未記入","")&amp;IF(AND(K220&lt;&gt;"",NOT(ISNUMBER(K220))),"／電圧が数値でない","")&amp;IF(AND(N220&lt;&gt;"",NOT(ISNUMBER(N220))),"／電流が数値でない","")&amp;IF(AND(C220&lt;&gt;"",C220&lt;1),"／開始Uが1未満","")&amp;IF(AND(E220&lt;&gt;"",E220&gt;IFERROR(VLOOKUP(A220,ラック定義!$A:$B,2,FALSE),47)),"／総Uをはみ出す","")&amp;IF(AND(A220&lt;&gt;"",COUNTIF(ラック定義!$A:$A,A220)=0),"／ラックが定義にない","")&amp;IF(AND(SUMPRODUCT((機器台帳!$A$2:$A$400=$A220)*((機器台帳!$B$2:$B$400=$B220)+(機器台帳!$B$2:$B$400="両面")+($B220="両面")&gt;0)*(機器台帳!$C$2:$C$400&lt;=$C220+$D220-1)*(機器台帳!$C$2:$C$400+機器台帳!$D$2:$D$400-1&gt;=$C220)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220&amp;"")))&gt;0)),"／同じUに他の機器(横並びなら正常)","")&amp;IF(AND(M220&lt;&gt;"",COUNTIFS(回路定義!$A:$A,A220,回路定義!$B:$B,M220)=0),"／回路1が定義にない","")&amp;IF(AND(P220&lt;&gt;"",COUNTIFS(回路定義!$A:$A,A220,回路定義!$B:$B,P220)=0),"／回路2が定義にない","")&amp;IF(AND(S220&lt;&gt;"",COUNTIFS(回路定義!$A:$A,A220,回路定義!$B:$B,S220)=0),"／回路3が定義にない",""))="","",MID(IF(AND(Y220=0,NOT(SUMPRODUCT(--ISNUMBER(SEARCH({"棚板","棚","アングル","ｱﾝｸﾞﾙ","使用不可","ケーブル","ｹｰﾌﾞﾙ","PatchPnael","パッチ","引き出し","引出","ブランク","ﾌﾞﾗﾝｸ","マネージ","ﾏﾈｰｼﾞ","PDU","ONU"},$F220&amp;"")))&gt;0),NOT(SUMPRODUCT(--ISNUMBER(SEARCH({"電源オフ","未投入","停止","未使用","撤去"},$X220&amp;"")))&gt;0)),"／電力が未記入","")&amp;IF(AND(NOT(ISNUMBER(J220)),NOT(SUMPRODUCT(--ISNUMBER(SEARCH({"棚板","棚","アングル","ｱﾝｸﾞﾙ","使用不可","ケーブル","ｹｰﾌﾞﾙ","PatchPnael","パッチ","引き出し","引出","ブランク","ﾌﾞﾗﾝｸ","マネージ","ﾏﾈｰｼﾞ","PDU","ONU"},$F220&amp;"")))&gt;0)),"／重量が未記入","")&amp;IF(AND(K220&lt;&gt;"",NOT(ISNUMBER(K220))),"／電圧が数値でない","")&amp;IF(AND(N220&lt;&gt;"",NOT(ISNUMBER(N220))),"／電流が数値でない","")&amp;IF(AND(C220&lt;&gt;"",C220&lt;1),"／開始Uが1未満","")&amp;IF(AND(E220&lt;&gt;"",E220&gt;IFERROR(VLOOKUP(A220,ラック定義!$A:$B,2,FALSE),47)),"／総Uをはみ出す","")&amp;IF(AND(A220&lt;&gt;"",COUNTIF(ラック定義!$A:$A,A220)=0),"／ラックが定義にない","")&amp;IF(AND(SUMPRODUCT((機器台帳!$A$2:$A$400=$A220)*((機器台帳!$B$2:$B$400=$B220)+(機器台帳!$B$2:$B$400="両面")+($B220="両面")&gt;0)*(機器台帳!$C$2:$C$400&lt;=$C220+$D220-1)*(機器台帳!$C$2:$C$400+機器台帳!$D$2:$D$400-1&gt;=$C220)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220&amp;"")))&gt;0)),"／同じUに他の機器(横並びなら正常)","")&amp;IF(AND(M220&lt;&gt;"",COUNTIFS(回路定義!$A:$A,A220,回路定義!$B:$B,M220)=0),"／回路1が定義にない","")&amp;IF(AND(P220&lt;&gt;"",COUNTIFS(回路定義!$A:$A,A220,回路定義!$B:$B,P220)=0),"／回路2が定義にない","")&amp;IF(AND(S220&lt;&gt;"",COUNTIFS(回路定義!$A:$A,A220,回路定義!$B:$B,S220)=0),"／回路3が定義にない",""),2,300)))</f>
        <v/>
      </c>
    </row>
    <row r="221">
      <c r="A221" s="5" t="n"/>
      <c r="B221" s="5" t="n"/>
      <c r="C221" s="5" t="n"/>
      <c r="D221" s="5" t="n"/>
      <c r="E221" s="6">
        <f>IF(C221="","",C221+D221-1)</f>
        <v/>
      </c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6">
        <f>COUNT(N221,Q221,T221)</f>
        <v/>
      </c>
      <c r="Z221" s="6">
        <f>IF(OR(K221="",NOT(ISNUMBER(K221))),"",K221*SUM(N221,Q221,T221))</f>
        <v/>
      </c>
      <c r="AA221" s="6">
        <f>IF(OR(Y221=0,N221=""),"",N221/Y221)</f>
        <v/>
      </c>
      <c r="AB221" s="6">
        <f>IF(OR(Y221=0,Q221=""),"",Q221/Y221)</f>
        <v/>
      </c>
      <c r="AC221" s="6">
        <f>IF(OR(Y221=0,T221=""),"",T221/Y221)</f>
        <v/>
      </c>
      <c r="AD221" s="6">
        <f>IF(F221="","",IF((IF(AND(Y221=0,NOT(SUMPRODUCT(--ISNUMBER(SEARCH({"棚板","棚","アングル","ｱﾝｸﾞﾙ","使用不可","ケーブル","ｹｰﾌﾞﾙ","PatchPnael","パッチ","引き出し","引出","ブランク","ﾌﾞﾗﾝｸ","マネージ","ﾏﾈｰｼﾞ","PDU","ONU"},$F221&amp;"")))&gt;0),NOT(SUMPRODUCT(--ISNUMBER(SEARCH({"電源オフ","未投入","停止","未使用","撤去"},$X221&amp;"")))&gt;0)),"／電力が未記入","")&amp;IF(AND(NOT(ISNUMBER(J221)),NOT(SUMPRODUCT(--ISNUMBER(SEARCH({"棚板","棚","アングル","ｱﾝｸﾞﾙ","使用不可","ケーブル","ｹｰﾌﾞﾙ","PatchPnael","パッチ","引き出し","引出","ブランク","ﾌﾞﾗﾝｸ","マネージ","ﾏﾈｰｼﾞ","PDU","ONU"},$F221&amp;"")))&gt;0)),"／重量が未記入","")&amp;IF(AND(K221&lt;&gt;"",NOT(ISNUMBER(K221))),"／電圧が数値でない","")&amp;IF(AND(N221&lt;&gt;"",NOT(ISNUMBER(N221))),"／電流が数値でない","")&amp;IF(AND(C221&lt;&gt;"",C221&lt;1),"／開始Uが1未満","")&amp;IF(AND(E221&lt;&gt;"",E221&gt;IFERROR(VLOOKUP(A221,ラック定義!$A:$B,2,FALSE),47)),"／総Uをはみ出す","")&amp;IF(AND(A221&lt;&gt;"",COUNTIF(ラック定義!$A:$A,A221)=0),"／ラックが定義にない","")&amp;IF(AND(SUMPRODUCT((機器台帳!$A$2:$A$400=$A221)*((機器台帳!$B$2:$B$400=$B221)+(機器台帳!$B$2:$B$400="両面")+($B221="両面")&gt;0)*(機器台帳!$C$2:$C$400&lt;=$C221+$D221-1)*(機器台帳!$C$2:$C$400+機器台帳!$D$2:$D$400-1&gt;=$C221)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221&amp;"")))&gt;0)),"／同じUに他の機器(横並びなら正常)","")&amp;IF(AND(M221&lt;&gt;"",COUNTIFS(回路定義!$A:$A,A221,回路定義!$B:$B,M221)=0),"／回路1が定義にない","")&amp;IF(AND(P221&lt;&gt;"",COUNTIFS(回路定義!$A:$A,A221,回路定義!$B:$B,P221)=0),"／回路2が定義にない","")&amp;IF(AND(S221&lt;&gt;"",COUNTIFS(回路定義!$A:$A,A221,回路定義!$B:$B,S221)=0),"／回路3が定義にない",""))="","",MID(IF(AND(Y221=0,NOT(SUMPRODUCT(--ISNUMBER(SEARCH({"棚板","棚","アングル","ｱﾝｸﾞﾙ","使用不可","ケーブル","ｹｰﾌﾞﾙ","PatchPnael","パッチ","引き出し","引出","ブランク","ﾌﾞﾗﾝｸ","マネージ","ﾏﾈｰｼﾞ","PDU","ONU"},$F221&amp;"")))&gt;0),NOT(SUMPRODUCT(--ISNUMBER(SEARCH({"電源オフ","未投入","停止","未使用","撤去"},$X221&amp;"")))&gt;0)),"／電力が未記入","")&amp;IF(AND(NOT(ISNUMBER(J221)),NOT(SUMPRODUCT(--ISNUMBER(SEARCH({"棚板","棚","アングル","ｱﾝｸﾞﾙ","使用不可","ケーブル","ｹｰﾌﾞﾙ","PatchPnael","パッチ","引き出し","引出","ブランク","ﾌﾞﾗﾝｸ","マネージ","ﾏﾈｰｼﾞ","PDU","ONU"},$F221&amp;"")))&gt;0)),"／重量が未記入","")&amp;IF(AND(K221&lt;&gt;"",NOT(ISNUMBER(K221))),"／電圧が数値でない","")&amp;IF(AND(N221&lt;&gt;"",NOT(ISNUMBER(N221))),"／電流が数値でない","")&amp;IF(AND(C221&lt;&gt;"",C221&lt;1),"／開始Uが1未満","")&amp;IF(AND(E221&lt;&gt;"",E221&gt;IFERROR(VLOOKUP(A221,ラック定義!$A:$B,2,FALSE),47)),"／総Uをはみ出す","")&amp;IF(AND(A221&lt;&gt;"",COUNTIF(ラック定義!$A:$A,A221)=0),"／ラックが定義にない","")&amp;IF(AND(SUMPRODUCT((機器台帳!$A$2:$A$400=$A221)*((機器台帳!$B$2:$B$400=$B221)+(機器台帳!$B$2:$B$400="両面")+($B221="両面")&gt;0)*(機器台帳!$C$2:$C$400&lt;=$C221+$D221-1)*(機器台帳!$C$2:$C$400+機器台帳!$D$2:$D$400-1&gt;=$C221)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221&amp;"")))&gt;0)),"／同じUに他の機器(横並びなら正常)","")&amp;IF(AND(M221&lt;&gt;"",COUNTIFS(回路定義!$A:$A,A221,回路定義!$B:$B,M221)=0),"／回路1が定義にない","")&amp;IF(AND(P221&lt;&gt;"",COUNTIFS(回路定義!$A:$A,A221,回路定義!$B:$B,P221)=0),"／回路2が定義にない","")&amp;IF(AND(S221&lt;&gt;"",COUNTIFS(回路定義!$A:$A,A221,回路定義!$B:$B,S221)=0),"／回路3が定義にない",""),2,300)))</f>
        <v/>
      </c>
    </row>
    <row r="222">
      <c r="A222" s="5" t="n"/>
      <c r="B222" s="5" t="n"/>
      <c r="C222" s="5" t="n"/>
      <c r="D222" s="5" t="n"/>
      <c r="E222" s="6">
        <f>IF(C222="","",C222+D222-1)</f>
        <v/>
      </c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6">
        <f>COUNT(N222,Q222,T222)</f>
        <v/>
      </c>
      <c r="Z222" s="6">
        <f>IF(OR(K222="",NOT(ISNUMBER(K222))),"",K222*SUM(N222,Q222,T222))</f>
        <v/>
      </c>
      <c r="AA222" s="6">
        <f>IF(OR(Y222=0,N222=""),"",N222/Y222)</f>
        <v/>
      </c>
      <c r="AB222" s="6">
        <f>IF(OR(Y222=0,Q222=""),"",Q222/Y222)</f>
        <v/>
      </c>
      <c r="AC222" s="6">
        <f>IF(OR(Y222=0,T222=""),"",T222/Y222)</f>
        <v/>
      </c>
      <c r="AD222" s="6">
        <f>IF(F222="","",IF((IF(AND(Y222=0,NOT(SUMPRODUCT(--ISNUMBER(SEARCH({"棚板","棚","アングル","ｱﾝｸﾞﾙ","使用不可","ケーブル","ｹｰﾌﾞﾙ","PatchPnael","パッチ","引き出し","引出","ブランク","ﾌﾞﾗﾝｸ","マネージ","ﾏﾈｰｼﾞ","PDU","ONU"},$F222&amp;"")))&gt;0),NOT(SUMPRODUCT(--ISNUMBER(SEARCH({"電源オフ","未投入","停止","未使用","撤去"},$X222&amp;"")))&gt;0)),"／電力が未記入","")&amp;IF(AND(NOT(ISNUMBER(J222)),NOT(SUMPRODUCT(--ISNUMBER(SEARCH({"棚板","棚","アングル","ｱﾝｸﾞﾙ","使用不可","ケーブル","ｹｰﾌﾞﾙ","PatchPnael","パッチ","引き出し","引出","ブランク","ﾌﾞﾗﾝｸ","マネージ","ﾏﾈｰｼﾞ","PDU","ONU"},$F222&amp;"")))&gt;0)),"／重量が未記入","")&amp;IF(AND(K222&lt;&gt;"",NOT(ISNUMBER(K222))),"／電圧が数値でない","")&amp;IF(AND(N222&lt;&gt;"",NOT(ISNUMBER(N222))),"／電流が数値でない","")&amp;IF(AND(C222&lt;&gt;"",C222&lt;1),"／開始Uが1未満","")&amp;IF(AND(E222&lt;&gt;"",E222&gt;IFERROR(VLOOKUP(A222,ラック定義!$A:$B,2,FALSE),47)),"／総Uをはみ出す","")&amp;IF(AND(A222&lt;&gt;"",COUNTIF(ラック定義!$A:$A,A222)=0),"／ラックが定義にない","")&amp;IF(AND(SUMPRODUCT((機器台帳!$A$2:$A$400=$A222)*((機器台帳!$B$2:$B$400=$B222)+(機器台帳!$B$2:$B$400="両面")+($B222="両面")&gt;0)*(機器台帳!$C$2:$C$400&lt;=$C222+$D222-1)*(機器台帳!$C$2:$C$400+機器台帳!$D$2:$D$400-1&gt;=$C222)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222&amp;"")))&gt;0)),"／同じUに他の機器(横並びなら正常)","")&amp;IF(AND(M222&lt;&gt;"",COUNTIFS(回路定義!$A:$A,A222,回路定義!$B:$B,M222)=0),"／回路1が定義にない","")&amp;IF(AND(P222&lt;&gt;"",COUNTIFS(回路定義!$A:$A,A222,回路定義!$B:$B,P222)=0),"／回路2が定義にない","")&amp;IF(AND(S222&lt;&gt;"",COUNTIFS(回路定義!$A:$A,A222,回路定義!$B:$B,S222)=0),"／回路3が定義にない",""))="","",MID(IF(AND(Y222=0,NOT(SUMPRODUCT(--ISNUMBER(SEARCH({"棚板","棚","アングル","ｱﾝｸﾞﾙ","使用不可","ケーブル","ｹｰﾌﾞﾙ","PatchPnael","パッチ","引き出し","引出","ブランク","ﾌﾞﾗﾝｸ","マネージ","ﾏﾈｰｼﾞ","PDU","ONU"},$F222&amp;"")))&gt;0),NOT(SUMPRODUCT(--ISNUMBER(SEARCH({"電源オフ","未投入","停止","未使用","撤去"},$X222&amp;"")))&gt;0)),"／電力が未記入","")&amp;IF(AND(NOT(ISNUMBER(J222)),NOT(SUMPRODUCT(--ISNUMBER(SEARCH({"棚板","棚","アングル","ｱﾝｸﾞﾙ","使用不可","ケーブル","ｹｰﾌﾞﾙ","PatchPnael","パッチ","引き出し","引出","ブランク","ﾌﾞﾗﾝｸ","マネージ","ﾏﾈｰｼﾞ","PDU","ONU"},$F222&amp;"")))&gt;0)),"／重量が未記入","")&amp;IF(AND(K222&lt;&gt;"",NOT(ISNUMBER(K222))),"／電圧が数値でない","")&amp;IF(AND(N222&lt;&gt;"",NOT(ISNUMBER(N222))),"／電流が数値でない","")&amp;IF(AND(C222&lt;&gt;"",C222&lt;1),"／開始Uが1未満","")&amp;IF(AND(E222&lt;&gt;"",E222&gt;IFERROR(VLOOKUP(A222,ラック定義!$A:$B,2,FALSE),47)),"／総Uをはみ出す","")&amp;IF(AND(A222&lt;&gt;"",COUNTIF(ラック定義!$A:$A,A222)=0),"／ラックが定義にない","")&amp;IF(AND(SUMPRODUCT((機器台帳!$A$2:$A$400=$A222)*((機器台帳!$B$2:$B$400=$B222)+(機器台帳!$B$2:$B$400="両面")+($B222="両面")&gt;0)*(機器台帳!$C$2:$C$400&lt;=$C222+$D222-1)*(機器台帳!$C$2:$C$400+機器台帳!$D$2:$D$400-1&gt;=$C222)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222&amp;"")))&gt;0)),"／同じUに他の機器(横並びなら正常)","")&amp;IF(AND(M222&lt;&gt;"",COUNTIFS(回路定義!$A:$A,A222,回路定義!$B:$B,M222)=0),"／回路1が定義にない","")&amp;IF(AND(P222&lt;&gt;"",COUNTIFS(回路定義!$A:$A,A222,回路定義!$B:$B,P222)=0),"／回路2が定義にない","")&amp;IF(AND(S222&lt;&gt;"",COUNTIFS(回路定義!$A:$A,A222,回路定義!$B:$B,S222)=0),"／回路3が定義にない",""),2,300)))</f>
        <v/>
      </c>
    </row>
    <row r="223">
      <c r="A223" s="5" t="n"/>
      <c r="B223" s="5" t="n"/>
      <c r="C223" s="5" t="n"/>
      <c r="D223" s="5" t="n"/>
      <c r="E223" s="6">
        <f>IF(C223="","",C223+D223-1)</f>
        <v/>
      </c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6">
        <f>COUNT(N223,Q223,T223)</f>
        <v/>
      </c>
      <c r="Z223" s="6">
        <f>IF(OR(K223="",NOT(ISNUMBER(K223))),"",K223*SUM(N223,Q223,T223))</f>
        <v/>
      </c>
      <c r="AA223" s="6">
        <f>IF(OR(Y223=0,N223=""),"",N223/Y223)</f>
        <v/>
      </c>
      <c r="AB223" s="6">
        <f>IF(OR(Y223=0,Q223=""),"",Q223/Y223)</f>
        <v/>
      </c>
      <c r="AC223" s="6">
        <f>IF(OR(Y223=0,T223=""),"",T223/Y223)</f>
        <v/>
      </c>
      <c r="AD223" s="6">
        <f>IF(F223="","",IF((IF(AND(Y223=0,NOT(SUMPRODUCT(--ISNUMBER(SEARCH({"棚板","棚","アングル","ｱﾝｸﾞﾙ","使用不可","ケーブル","ｹｰﾌﾞﾙ","PatchPnael","パッチ","引き出し","引出","ブランク","ﾌﾞﾗﾝｸ","マネージ","ﾏﾈｰｼﾞ","PDU","ONU"},$F223&amp;"")))&gt;0),NOT(SUMPRODUCT(--ISNUMBER(SEARCH({"電源オフ","未投入","停止","未使用","撤去"},$X223&amp;"")))&gt;0)),"／電力が未記入","")&amp;IF(AND(NOT(ISNUMBER(J223)),NOT(SUMPRODUCT(--ISNUMBER(SEARCH({"棚板","棚","アングル","ｱﾝｸﾞﾙ","使用不可","ケーブル","ｹｰﾌﾞﾙ","PatchPnael","パッチ","引き出し","引出","ブランク","ﾌﾞﾗﾝｸ","マネージ","ﾏﾈｰｼﾞ","PDU","ONU"},$F223&amp;"")))&gt;0)),"／重量が未記入","")&amp;IF(AND(K223&lt;&gt;"",NOT(ISNUMBER(K223))),"／電圧が数値でない","")&amp;IF(AND(N223&lt;&gt;"",NOT(ISNUMBER(N223))),"／電流が数値でない","")&amp;IF(AND(C223&lt;&gt;"",C223&lt;1),"／開始Uが1未満","")&amp;IF(AND(E223&lt;&gt;"",E223&gt;IFERROR(VLOOKUP(A223,ラック定義!$A:$B,2,FALSE),47)),"／総Uをはみ出す","")&amp;IF(AND(A223&lt;&gt;"",COUNTIF(ラック定義!$A:$A,A223)=0),"／ラックが定義にない","")&amp;IF(AND(SUMPRODUCT((機器台帳!$A$2:$A$400=$A223)*((機器台帳!$B$2:$B$400=$B223)+(機器台帳!$B$2:$B$400="両面")+($B223="両面")&gt;0)*(機器台帳!$C$2:$C$400&lt;=$C223+$D223-1)*(機器台帳!$C$2:$C$400+機器台帳!$D$2:$D$400-1&gt;=$C223)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223&amp;"")))&gt;0)),"／同じUに他の機器(横並びなら正常)","")&amp;IF(AND(M223&lt;&gt;"",COUNTIFS(回路定義!$A:$A,A223,回路定義!$B:$B,M223)=0),"／回路1が定義にない","")&amp;IF(AND(P223&lt;&gt;"",COUNTIFS(回路定義!$A:$A,A223,回路定義!$B:$B,P223)=0),"／回路2が定義にない","")&amp;IF(AND(S223&lt;&gt;"",COUNTIFS(回路定義!$A:$A,A223,回路定義!$B:$B,S223)=0),"／回路3が定義にない",""))="","",MID(IF(AND(Y223=0,NOT(SUMPRODUCT(--ISNUMBER(SEARCH({"棚板","棚","アングル","ｱﾝｸﾞﾙ","使用不可","ケーブル","ｹｰﾌﾞﾙ","PatchPnael","パッチ","引き出し","引出","ブランク","ﾌﾞﾗﾝｸ","マネージ","ﾏﾈｰｼﾞ","PDU","ONU"},$F223&amp;"")))&gt;0),NOT(SUMPRODUCT(--ISNUMBER(SEARCH({"電源オフ","未投入","停止","未使用","撤去"},$X223&amp;"")))&gt;0)),"／電力が未記入","")&amp;IF(AND(NOT(ISNUMBER(J223)),NOT(SUMPRODUCT(--ISNUMBER(SEARCH({"棚板","棚","アングル","ｱﾝｸﾞﾙ","使用不可","ケーブル","ｹｰﾌﾞﾙ","PatchPnael","パッチ","引き出し","引出","ブランク","ﾌﾞﾗﾝｸ","マネージ","ﾏﾈｰｼﾞ","PDU","ONU"},$F223&amp;"")))&gt;0)),"／重量が未記入","")&amp;IF(AND(K223&lt;&gt;"",NOT(ISNUMBER(K223))),"／電圧が数値でない","")&amp;IF(AND(N223&lt;&gt;"",NOT(ISNUMBER(N223))),"／電流が数値でない","")&amp;IF(AND(C223&lt;&gt;"",C223&lt;1),"／開始Uが1未満","")&amp;IF(AND(E223&lt;&gt;"",E223&gt;IFERROR(VLOOKUP(A223,ラック定義!$A:$B,2,FALSE),47)),"／総Uをはみ出す","")&amp;IF(AND(A223&lt;&gt;"",COUNTIF(ラック定義!$A:$A,A223)=0),"／ラックが定義にない","")&amp;IF(AND(SUMPRODUCT((機器台帳!$A$2:$A$400=$A223)*((機器台帳!$B$2:$B$400=$B223)+(機器台帳!$B$2:$B$400="両面")+($B223="両面")&gt;0)*(機器台帳!$C$2:$C$400&lt;=$C223+$D223-1)*(機器台帳!$C$2:$C$400+機器台帳!$D$2:$D$400-1&gt;=$C223)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223&amp;"")))&gt;0)),"／同じUに他の機器(横並びなら正常)","")&amp;IF(AND(M223&lt;&gt;"",COUNTIFS(回路定義!$A:$A,A223,回路定義!$B:$B,M223)=0),"／回路1が定義にない","")&amp;IF(AND(P223&lt;&gt;"",COUNTIFS(回路定義!$A:$A,A223,回路定義!$B:$B,P223)=0),"／回路2が定義にない","")&amp;IF(AND(S223&lt;&gt;"",COUNTIFS(回路定義!$A:$A,A223,回路定義!$B:$B,S223)=0),"／回路3が定義にない",""),2,300)))</f>
        <v/>
      </c>
    </row>
    <row r="224">
      <c r="A224" s="5" t="n"/>
      <c r="B224" s="5" t="n"/>
      <c r="C224" s="5" t="n"/>
      <c r="D224" s="5" t="n"/>
      <c r="E224" s="6">
        <f>IF(C224="","",C224+D224-1)</f>
        <v/>
      </c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6">
        <f>COUNT(N224,Q224,T224)</f>
        <v/>
      </c>
      <c r="Z224" s="6">
        <f>IF(OR(K224="",NOT(ISNUMBER(K224))),"",K224*SUM(N224,Q224,T224))</f>
        <v/>
      </c>
      <c r="AA224" s="6">
        <f>IF(OR(Y224=0,N224=""),"",N224/Y224)</f>
        <v/>
      </c>
      <c r="AB224" s="6">
        <f>IF(OR(Y224=0,Q224=""),"",Q224/Y224)</f>
        <v/>
      </c>
      <c r="AC224" s="6">
        <f>IF(OR(Y224=0,T224=""),"",T224/Y224)</f>
        <v/>
      </c>
      <c r="AD224" s="6">
        <f>IF(F224="","",IF((IF(AND(Y224=0,NOT(SUMPRODUCT(--ISNUMBER(SEARCH({"棚板","棚","アングル","ｱﾝｸﾞﾙ","使用不可","ケーブル","ｹｰﾌﾞﾙ","PatchPnael","パッチ","引き出し","引出","ブランク","ﾌﾞﾗﾝｸ","マネージ","ﾏﾈｰｼﾞ","PDU","ONU"},$F224&amp;"")))&gt;0),NOT(SUMPRODUCT(--ISNUMBER(SEARCH({"電源オフ","未投入","停止","未使用","撤去"},$X224&amp;"")))&gt;0)),"／電力が未記入","")&amp;IF(AND(NOT(ISNUMBER(J224)),NOT(SUMPRODUCT(--ISNUMBER(SEARCH({"棚板","棚","アングル","ｱﾝｸﾞﾙ","使用不可","ケーブル","ｹｰﾌﾞﾙ","PatchPnael","パッチ","引き出し","引出","ブランク","ﾌﾞﾗﾝｸ","マネージ","ﾏﾈｰｼﾞ","PDU","ONU"},$F224&amp;"")))&gt;0)),"／重量が未記入","")&amp;IF(AND(K224&lt;&gt;"",NOT(ISNUMBER(K224))),"／電圧が数値でない","")&amp;IF(AND(N224&lt;&gt;"",NOT(ISNUMBER(N224))),"／電流が数値でない","")&amp;IF(AND(C224&lt;&gt;"",C224&lt;1),"／開始Uが1未満","")&amp;IF(AND(E224&lt;&gt;"",E224&gt;IFERROR(VLOOKUP(A224,ラック定義!$A:$B,2,FALSE),47)),"／総Uをはみ出す","")&amp;IF(AND(A224&lt;&gt;"",COUNTIF(ラック定義!$A:$A,A224)=0),"／ラックが定義にない","")&amp;IF(AND(SUMPRODUCT((機器台帳!$A$2:$A$400=$A224)*((機器台帳!$B$2:$B$400=$B224)+(機器台帳!$B$2:$B$400="両面")+($B224="両面")&gt;0)*(機器台帳!$C$2:$C$400&lt;=$C224+$D224-1)*(機器台帳!$C$2:$C$400+機器台帳!$D$2:$D$400-1&gt;=$C224)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224&amp;"")))&gt;0)),"／同じUに他の機器(横並びなら正常)","")&amp;IF(AND(M224&lt;&gt;"",COUNTIFS(回路定義!$A:$A,A224,回路定義!$B:$B,M224)=0),"／回路1が定義にない","")&amp;IF(AND(P224&lt;&gt;"",COUNTIFS(回路定義!$A:$A,A224,回路定義!$B:$B,P224)=0),"／回路2が定義にない","")&amp;IF(AND(S224&lt;&gt;"",COUNTIFS(回路定義!$A:$A,A224,回路定義!$B:$B,S224)=0),"／回路3が定義にない",""))="","",MID(IF(AND(Y224=0,NOT(SUMPRODUCT(--ISNUMBER(SEARCH({"棚板","棚","アングル","ｱﾝｸﾞﾙ","使用不可","ケーブル","ｹｰﾌﾞﾙ","PatchPnael","パッチ","引き出し","引出","ブランク","ﾌﾞﾗﾝｸ","マネージ","ﾏﾈｰｼﾞ","PDU","ONU"},$F224&amp;"")))&gt;0),NOT(SUMPRODUCT(--ISNUMBER(SEARCH({"電源オフ","未投入","停止","未使用","撤去"},$X224&amp;"")))&gt;0)),"／電力が未記入","")&amp;IF(AND(NOT(ISNUMBER(J224)),NOT(SUMPRODUCT(--ISNUMBER(SEARCH({"棚板","棚","アングル","ｱﾝｸﾞﾙ","使用不可","ケーブル","ｹｰﾌﾞﾙ","PatchPnael","パッチ","引き出し","引出","ブランク","ﾌﾞﾗﾝｸ","マネージ","ﾏﾈｰｼﾞ","PDU","ONU"},$F224&amp;"")))&gt;0)),"／重量が未記入","")&amp;IF(AND(K224&lt;&gt;"",NOT(ISNUMBER(K224))),"／電圧が数値でない","")&amp;IF(AND(N224&lt;&gt;"",NOT(ISNUMBER(N224))),"／電流が数値でない","")&amp;IF(AND(C224&lt;&gt;"",C224&lt;1),"／開始Uが1未満","")&amp;IF(AND(E224&lt;&gt;"",E224&gt;IFERROR(VLOOKUP(A224,ラック定義!$A:$B,2,FALSE),47)),"／総Uをはみ出す","")&amp;IF(AND(A224&lt;&gt;"",COUNTIF(ラック定義!$A:$A,A224)=0),"／ラックが定義にない","")&amp;IF(AND(SUMPRODUCT((機器台帳!$A$2:$A$400=$A224)*((機器台帳!$B$2:$B$400=$B224)+(機器台帳!$B$2:$B$400="両面")+($B224="両面")&gt;0)*(機器台帳!$C$2:$C$400&lt;=$C224+$D224-1)*(機器台帳!$C$2:$C$400+機器台帳!$D$2:$D$400-1&gt;=$C224)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224&amp;"")))&gt;0)),"／同じUに他の機器(横並びなら正常)","")&amp;IF(AND(M224&lt;&gt;"",COUNTIFS(回路定義!$A:$A,A224,回路定義!$B:$B,M224)=0),"／回路1が定義にない","")&amp;IF(AND(P224&lt;&gt;"",COUNTIFS(回路定義!$A:$A,A224,回路定義!$B:$B,P224)=0),"／回路2が定義にない","")&amp;IF(AND(S224&lt;&gt;"",COUNTIFS(回路定義!$A:$A,A224,回路定義!$B:$B,S224)=0),"／回路3が定義にない",""),2,300)))</f>
        <v/>
      </c>
    </row>
    <row r="225">
      <c r="A225" s="5" t="n"/>
      <c r="B225" s="5" t="n"/>
      <c r="C225" s="5" t="n"/>
      <c r="D225" s="5" t="n"/>
      <c r="E225" s="6">
        <f>IF(C225="","",C225+D225-1)</f>
        <v/>
      </c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6">
        <f>COUNT(N225,Q225,T225)</f>
        <v/>
      </c>
      <c r="Z225" s="6">
        <f>IF(OR(K225="",NOT(ISNUMBER(K225))),"",K225*SUM(N225,Q225,T225))</f>
        <v/>
      </c>
      <c r="AA225" s="6">
        <f>IF(OR(Y225=0,N225=""),"",N225/Y225)</f>
        <v/>
      </c>
      <c r="AB225" s="6">
        <f>IF(OR(Y225=0,Q225=""),"",Q225/Y225)</f>
        <v/>
      </c>
      <c r="AC225" s="6">
        <f>IF(OR(Y225=0,T225=""),"",T225/Y225)</f>
        <v/>
      </c>
      <c r="AD225" s="6">
        <f>IF(F225="","",IF((IF(AND(Y225=0,NOT(SUMPRODUCT(--ISNUMBER(SEARCH({"棚板","棚","アングル","ｱﾝｸﾞﾙ","使用不可","ケーブル","ｹｰﾌﾞﾙ","PatchPnael","パッチ","引き出し","引出","ブランク","ﾌﾞﾗﾝｸ","マネージ","ﾏﾈｰｼﾞ","PDU","ONU"},$F225&amp;"")))&gt;0),NOT(SUMPRODUCT(--ISNUMBER(SEARCH({"電源オフ","未投入","停止","未使用","撤去"},$X225&amp;"")))&gt;0)),"／電力が未記入","")&amp;IF(AND(NOT(ISNUMBER(J225)),NOT(SUMPRODUCT(--ISNUMBER(SEARCH({"棚板","棚","アングル","ｱﾝｸﾞﾙ","使用不可","ケーブル","ｹｰﾌﾞﾙ","PatchPnael","パッチ","引き出し","引出","ブランク","ﾌﾞﾗﾝｸ","マネージ","ﾏﾈｰｼﾞ","PDU","ONU"},$F225&amp;"")))&gt;0)),"／重量が未記入","")&amp;IF(AND(K225&lt;&gt;"",NOT(ISNUMBER(K225))),"／電圧が数値でない","")&amp;IF(AND(N225&lt;&gt;"",NOT(ISNUMBER(N225))),"／電流が数値でない","")&amp;IF(AND(C225&lt;&gt;"",C225&lt;1),"／開始Uが1未満","")&amp;IF(AND(E225&lt;&gt;"",E225&gt;IFERROR(VLOOKUP(A225,ラック定義!$A:$B,2,FALSE),47)),"／総Uをはみ出す","")&amp;IF(AND(A225&lt;&gt;"",COUNTIF(ラック定義!$A:$A,A225)=0),"／ラックが定義にない","")&amp;IF(AND(SUMPRODUCT((機器台帳!$A$2:$A$400=$A225)*((機器台帳!$B$2:$B$400=$B225)+(機器台帳!$B$2:$B$400="両面")+($B225="両面")&gt;0)*(機器台帳!$C$2:$C$400&lt;=$C225+$D225-1)*(機器台帳!$C$2:$C$400+機器台帳!$D$2:$D$400-1&gt;=$C225)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225&amp;"")))&gt;0)),"／同じUに他の機器(横並びなら正常)","")&amp;IF(AND(M225&lt;&gt;"",COUNTIFS(回路定義!$A:$A,A225,回路定義!$B:$B,M225)=0),"／回路1が定義にない","")&amp;IF(AND(P225&lt;&gt;"",COUNTIFS(回路定義!$A:$A,A225,回路定義!$B:$B,P225)=0),"／回路2が定義にない","")&amp;IF(AND(S225&lt;&gt;"",COUNTIFS(回路定義!$A:$A,A225,回路定義!$B:$B,S225)=0),"／回路3が定義にない",""))="","",MID(IF(AND(Y225=0,NOT(SUMPRODUCT(--ISNUMBER(SEARCH({"棚板","棚","アングル","ｱﾝｸﾞﾙ","使用不可","ケーブル","ｹｰﾌﾞﾙ","PatchPnael","パッチ","引き出し","引出","ブランク","ﾌﾞﾗﾝｸ","マネージ","ﾏﾈｰｼﾞ","PDU","ONU"},$F225&amp;"")))&gt;0),NOT(SUMPRODUCT(--ISNUMBER(SEARCH({"電源オフ","未投入","停止","未使用","撤去"},$X225&amp;"")))&gt;0)),"／電力が未記入","")&amp;IF(AND(NOT(ISNUMBER(J225)),NOT(SUMPRODUCT(--ISNUMBER(SEARCH({"棚板","棚","アングル","ｱﾝｸﾞﾙ","使用不可","ケーブル","ｹｰﾌﾞﾙ","PatchPnael","パッチ","引き出し","引出","ブランク","ﾌﾞﾗﾝｸ","マネージ","ﾏﾈｰｼﾞ","PDU","ONU"},$F225&amp;"")))&gt;0)),"／重量が未記入","")&amp;IF(AND(K225&lt;&gt;"",NOT(ISNUMBER(K225))),"／電圧が数値でない","")&amp;IF(AND(N225&lt;&gt;"",NOT(ISNUMBER(N225))),"／電流が数値でない","")&amp;IF(AND(C225&lt;&gt;"",C225&lt;1),"／開始Uが1未満","")&amp;IF(AND(E225&lt;&gt;"",E225&gt;IFERROR(VLOOKUP(A225,ラック定義!$A:$B,2,FALSE),47)),"／総Uをはみ出す","")&amp;IF(AND(A225&lt;&gt;"",COUNTIF(ラック定義!$A:$A,A225)=0),"／ラックが定義にない","")&amp;IF(AND(SUMPRODUCT((機器台帳!$A$2:$A$400=$A225)*((機器台帳!$B$2:$B$400=$B225)+(機器台帳!$B$2:$B$400="両面")+($B225="両面")&gt;0)*(機器台帳!$C$2:$C$400&lt;=$C225+$D225-1)*(機器台帳!$C$2:$C$400+機器台帳!$D$2:$D$400-1&gt;=$C225)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225&amp;"")))&gt;0)),"／同じUに他の機器(横並びなら正常)","")&amp;IF(AND(M225&lt;&gt;"",COUNTIFS(回路定義!$A:$A,A225,回路定義!$B:$B,M225)=0),"／回路1が定義にない","")&amp;IF(AND(P225&lt;&gt;"",COUNTIFS(回路定義!$A:$A,A225,回路定義!$B:$B,P225)=0),"／回路2が定義にない","")&amp;IF(AND(S225&lt;&gt;"",COUNTIFS(回路定義!$A:$A,A225,回路定義!$B:$B,S225)=0),"／回路3が定義にない",""),2,300)))</f>
        <v/>
      </c>
    </row>
    <row r="226">
      <c r="A226" s="5" t="n"/>
      <c r="B226" s="5" t="n"/>
      <c r="C226" s="5" t="n"/>
      <c r="D226" s="5" t="n"/>
      <c r="E226" s="6">
        <f>IF(C226="","",C226+D226-1)</f>
        <v/>
      </c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6">
        <f>COUNT(N226,Q226,T226)</f>
        <v/>
      </c>
      <c r="Z226" s="6">
        <f>IF(OR(K226="",NOT(ISNUMBER(K226))),"",K226*SUM(N226,Q226,T226))</f>
        <v/>
      </c>
      <c r="AA226" s="6">
        <f>IF(OR(Y226=0,N226=""),"",N226/Y226)</f>
        <v/>
      </c>
      <c r="AB226" s="6">
        <f>IF(OR(Y226=0,Q226=""),"",Q226/Y226)</f>
        <v/>
      </c>
      <c r="AC226" s="6">
        <f>IF(OR(Y226=0,T226=""),"",T226/Y226)</f>
        <v/>
      </c>
      <c r="AD226" s="6">
        <f>IF(F226="","",IF((IF(AND(Y226=0,NOT(SUMPRODUCT(--ISNUMBER(SEARCH({"棚板","棚","アングル","ｱﾝｸﾞﾙ","使用不可","ケーブル","ｹｰﾌﾞﾙ","PatchPnael","パッチ","引き出し","引出","ブランク","ﾌﾞﾗﾝｸ","マネージ","ﾏﾈｰｼﾞ","PDU","ONU"},$F226&amp;"")))&gt;0),NOT(SUMPRODUCT(--ISNUMBER(SEARCH({"電源オフ","未投入","停止","未使用","撤去"},$X226&amp;"")))&gt;0)),"／電力が未記入","")&amp;IF(AND(NOT(ISNUMBER(J226)),NOT(SUMPRODUCT(--ISNUMBER(SEARCH({"棚板","棚","アングル","ｱﾝｸﾞﾙ","使用不可","ケーブル","ｹｰﾌﾞﾙ","PatchPnael","パッチ","引き出し","引出","ブランク","ﾌﾞﾗﾝｸ","マネージ","ﾏﾈｰｼﾞ","PDU","ONU"},$F226&amp;"")))&gt;0)),"／重量が未記入","")&amp;IF(AND(K226&lt;&gt;"",NOT(ISNUMBER(K226))),"／電圧が数値でない","")&amp;IF(AND(N226&lt;&gt;"",NOT(ISNUMBER(N226))),"／電流が数値でない","")&amp;IF(AND(C226&lt;&gt;"",C226&lt;1),"／開始Uが1未満","")&amp;IF(AND(E226&lt;&gt;"",E226&gt;IFERROR(VLOOKUP(A226,ラック定義!$A:$B,2,FALSE),47)),"／総Uをはみ出す","")&amp;IF(AND(A226&lt;&gt;"",COUNTIF(ラック定義!$A:$A,A226)=0),"／ラックが定義にない","")&amp;IF(AND(SUMPRODUCT((機器台帳!$A$2:$A$400=$A226)*((機器台帳!$B$2:$B$400=$B226)+(機器台帳!$B$2:$B$400="両面")+($B226="両面")&gt;0)*(機器台帳!$C$2:$C$400&lt;=$C226+$D226-1)*(機器台帳!$C$2:$C$400+機器台帳!$D$2:$D$400-1&gt;=$C226)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226&amp;"")))&gt;0)),"／同じUに他の機器(横並びなら正常)","")&amp;IF(AND(M226&lt;&gt;"",COUNTIFS(回路定義!$A:$A,A226,回路定義!$B:$B,M226)=0),"／回路1が定義にない","")&amp;IF(AND(P226&lt;&gt;"",COUNTIFS(回路定義!$A:$A,A226,回路定義!$B:$B,P226)=0),"／回路2が定義にない","")&amp;IF(AND(S226&lt;&gt;"",COUNTIFS(回路定義!$A:$A,A226,回路定義!$B:$B,S226)=0),"／回路3が定義にない",""))="","",MID(IF(AND(Y226=0,NOT(SUMPRODUCT(--ISNUMBER(SEARCH({"棚板","棚","アングル","ｱﾝｸﾞﾙ","使用不可","ケーブル","ｹｰﾌﾞﾙ","PatchPnael","パッチ","引き出し","引出","ブランク","ﾌﾞﾗﾝｸ","マネージ","ﾏﾈｰｼﾞ","PDU","ONU"},$F226&amp;"")))&gt;0),NOT(SUMPRODUCT(--ISNUMBER(SEARCH({"電源オフ","未投入","停止","未使用","撤去"},$X226&amp;"")))&gt;0)),"／電力が未記入","")&amp;IF(AND(NOT(ISNUMBER(J226)),NOT(SUMPRODUCT(--ISNUMBER(SEARCH({"棚板","棚","アングル","ｱﾝｸﾞﾙ","使用不可","ケーブル","ｹｰﾌﾞﾙ","PatchPnael","パッチ","引き出し","引出","ブランク","ﾌﾞﾗﾝｸ","マネージ","ﾏﾈｰｼﾞ","PDU","ONU"},$F226&amp;"")))&gt;0)),"／重量が未記入","")&amp;IF(AND(K226&lt;&gt;"",NOT(ISNUMBER(K226))),"／電圧が数値でない","")&amp;IF(AND(N226&lt;&gt;"",NOT(ISNUMBER(N226))),"／電流が数値でない","")&amp;IF(AND(C226&lt;&gt;"",C226&lt;1),"／開始Uが1未満","")&amp;IF(AND(E226&lt;&gt;"",E226&gt;IFERROR(VLOOKUP(A226,ラック定義!$A:$B,2,FALSE),47)),"／総Uをはみ出す","")&amp;IF(AND(A226&lt;&gt;"",COUNTIF(ラック定義!$A:$A,A226)=0),"／ラックが定義にない","")&amp;IF(AND(SUMPRODUCT((機器台帳!$A$2:$A$400=$A226)*((機器台帳!$B$2:$B$400=$B226)+(機器台帳!$B$2:$B$400="両面")+($B226="両面")&gt;0)*(機器台帳!$C$2:$C$400&lt;=$C226+$D226-1)*(機器台帳!$C$2:$C$400+機器台帳!$D$2:$D$400-1&gt;=$C226)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226&amp;"")))&gt;0)),"／同じUに他の機器(横並びなら正常)","")&amp;IF(AND(M226&lt;&gt;"",COUNTIFS(回路定義!$A:$A,A226,回路定義!$B:$B,M226)=0),"／回路1が定義にない","")&amp;IF(AND(P226&lt;&gt;"",COUNTIFS(回路定義!$A:$A,A226,回路定義!$B:$B,P226)=0),"／回路2が定義にない","")&amp;IF(AND(S226&lt;&gt;"",COUNTIFS(回路定義!$A:$A,A226,回路定義!$B:$B,S226)=0),"／回路3が定義にない",""),2,300)))</f>
        <v/>
      </c>
    </row>
    <row r="227">
      <c r="A227" s="5" t="n"/>
      <c r="B227" s="5" t="n"/>
      <c r="C227" s="5" t="n"/>
      <c r="D227" s="5" t="n"/>
      <c r="E227" s="6">
        <f>IF(C227="","",C227+D227-1)</f>
        <v/>
      </c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6">
        <f>COUNT(N227,Q227,T227)</f>
        <v/>
      </c>
      <c r="Z227" s="6">
        <f>IF(OR(K227="",NOT(ISNUMBER(K227))),"",K227*SUM(N227,Q227,T227))</f>
        <v/>
      </c>
      <c r="AA227" s="6">
        <f>IF(OR(Y227=0,N227=""),"",N227/Y227)</f>
        <v/>
      </c>
      <c r="AB227" s="6">
        <f>IF(OR(Y227=0,Q227=""),"",Q227/Y227)</f>
        <v/>
      </c>
      <c r="AC227" s="6">
        <f>IF(OR(Y227=0,T227=""),"",T227/Y227)</f>
        <v/>
      </c>
      <c r="AD227" s="6">
        <f>IF(F227="","",IF((IF(AND(Y227=0,NOT(SUMPRODUCT(--ISNUMBER(SEARCH({"棚板","棚","アングル","ｱﾝｸﾞﾙ","使用不可","ケーブル","ｹｰﾌﾞﾙ","PatchPnael","パッチ","引き出し","引出","ブランク","ﾌﾞﾗﾝｸ","マネージ","ﾏﾈｰｼﾞ","PDU","ONU"},$F227&amp;"")))&gt;0),NOT(SUMPRODUCT(--ISNUMBER(SEARCH({"電源オフ","未投入","停止","未使用","撤去"},$X227&amp;"")))&gt;0)),"／電力が未記入","")&amp;IF(AND(NOT(ISNUMBER(J227)),NOT(SUMPRODUCT(--ISNUMBER(SEARCH({"棚板","棚","アングル","ｱﾝｸﾞﾙ","使用不可","ケーブル","ｹｰﾌﾞﾙ","PatchPnael","パッチ","引き出し","引出","ブランク","ﾌﾞﾗﾝｸ","マネージ","ﾏﾈｰｼﾞ","PDU","ONU"},$F227&amp;"")))&gt;0)),"／重量が未記入","")&amp;IF(AND(K227&lt;&gt;"",NOT(ISNUMBER(K227))),"／電圧が数値でない","")&amp;IF(AND(N227&lt;&gt;"",NOT(ISNUMBER(N227))),"／電流が数値でない","")&amp;IF(AND(C227&lt;&gt;"",C227&lt;1),"／開始Uが1未満","")&amp;IF(AND(E227&lt;&gt;"",E227&gt;IFERROR(VLOOKUP(A227,ラック定義!$A:$B,2,FALSE),47)),"／総Uをはみ出す","")&amp;IF(AND(A227&lt;&gt;"",COUNTIF(ラック定義!$A:$A,A227)=0),"／ラックが定義にない","")&amp;IF(AND(SUMPRODUCT((機器台帳!$A$2:$A$400=$A227)*((機器台帳!$B$2:$B$400=$B227)+(機器台帳!$B$2:$B$400="両面")+($B227="両面")&gt;0)*(機器台帳!$C$2:$C$400&lt;=$C227+$D227-1)*(機器台帳!$C$2:$C$400+機器台帳!$D$2:$D$400-1&gt;=$C227)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227&amp;"")))&gt;0)),"／同じUに他の機器(横並びなら正常)","")&amp;IF(AND(M227&lt;&gt;"",COUNTIFS(回路定義!$A:$A,A227,回路定義!$B:$B,M227)=0),"／回路1が定義にない","")&amp;IF(AND(P227&lt;&gt;"",COUNTIFS(回路定義!$A:$A,A227,回路定義!$B:$B,P227)=0),"／回路2が定義にない","")&amp;IF(AND(S227&lt;&gt;"",COUNTIFS(回路定義!$A:$A,A227,回路定義!$B:$B,S227)=0),"／回路3が定義にない",""))="","",MID(IF(AND(Y227=0,NOT(SUMPRODUCT(--ISNUMBER(SEARCH({"棚板","棚","アングル","ｱﾝｸﾞﾙ","使用不可","ケーブル","ｹｰﾌﾞﾙ","PatchPnael","パッチ","引き出し","引出","ブランク","ﾌﾞﾗﾝｸ","マネージ","ﾏﾈｰｼﾞ","PDU","ONU"},$F227&amp;"")))&gt;0),NOT(SUMPRODUCT(--ISNUMBER(SEARCH({"電源オフ","未投入","停止","未使用","撤去"},$X227&amp;"")))&gt;0)),"／電力が未記入","")&amp;IF(AND(NOT(ISNUMBER(J227)),NOT(SUMPRODUCT(--ISNUMBER(SEARCH({"棚板","棚","アングル","ｱﾝｸﾞﾙ","使用不可","ケーブル","ｹｰﾌﾞﾙ","PatchPnael","パッチ","引き出し","引出","ブランク","ﾌﾞﾗﾝｸ","マネージ","ﾏﾈｰｼﾞ","PDU","ONU"},$F227&amp;"")))&gt;0)),"／重量が未記入","")&amp;IF(AND(K227&lt;&gt;"",NOT(ISNUMBER(K227))),"／電圧が数値でない","")&amp;IF(AND(N227&lt;&gt;"",NOT(ISNUMBER(N227))),"／電流が数値でない","")&amp;IF(AND(C227&lt;&gt;"",C227&lt;1),"／開始Uが1未満","")&amp;IF(AND(E227&lt;&gt;"",E227&gt;IFERROR(VLOOKUP(A227,ラック定義!$A:$B,2,FALSE),47)),"／総Uをはみ出す","")&amp;IF(AND(A227&lt;&gt;"",COUNTIF(ラック定義!$A:$A,A227)=0),"／ラックが定義にない","")&amp;IF(AND(SUMPRODUCT((機器台帳!$A$2:$A$400=$A227)*((機器台帳!$B$2:$B$400=$B227)+(機器台帳!$B$2:$B$400="両面")+($B227="両面")&gt;0)*(機器台帳!$C$2:$C$400&lt;=$C227+$D227-1)*(機器台帳!$C$2:$C$400+機器台帳!$D$2:$D$400-1&gt;=$C227)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227&amp;"")))&gt;0)),"／同じUに他の機器(横並びなら正常)","")&amp;IF(AND(M227&lt;&gt;"",COUNTIFS(回路定義!$A:$A,A227,回路定義!$B:$B,M227)=0),"／回路1が定義にない","")&amp;IF(AND(P227&lt;&gt;"",COUNTIFS(回路定義!$A:$A,A227,回路定義!$B:$B,P227)=0),"／回路2が定義にない","")&amp;IF(AND(S227&lt;&gt;"",COUNTIFS(回路定義!$A:$A,A227,回路定義!$B:$B,S227)=0),"／回路3が定義にない",""),2,300)))</f>
        <v/>
      </c>
    </row>
    <row r="228">
      <c r="A228" s="5" t="n"/>
      <c r="B228" s="5" t="n"/>
      <c r="C228" s="5" t="n"/>
      <c r="D228" s="5" t="n"/>
      <c r="E228" s="6">
        <f>IF(C228="","",C228+D228-1)</f>
        <v/>
      </c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6">
        <f>COUNT(N228,Q228,T228)</f>
        <v/>
      </c>
      <c r="Z228" s="6">
        <f>IF(OR(K228="",NOT(ISNUMBER(K228))),"",K228*SUM(N228,Q228,T228))</f>
        <v/>
      </c>
      <c r="AA228" s="6">
        <f>IF(OR(Y228=0,N228=""),"",N228/Y228)</f>
        <v/>
      </c>
      <c r="AB228" s="6">
        <f>IF(OR(Y228=0,Q228=""),"",Q228/Y228)</f>
        <v/>
      </c>
      <c r="AC228" s="6">
        <f>IF(OR(Y228=0,T228=""),"",T228/Y228)</f>
        <v/>
      </c>
      <c r="AD228" s="6">
        <f>IF(F228="","",IF((IF(AND(Y228=0,NOT(SUMPRODUCT(--ISNUMBER(SEARCH({"棚板","棚","アングル","ｱﾝｸﾞﾙ","使用不可","ケーブル","ｹｰﾌﾞﾙ","PatchPnael","パッチ","引き出し","引出","ブランク","ﾌﾞﾗﾝｸ","マネージ","ﾏﾈｰｼﾞ","PDU","ONU"},$F228&amp;"")))&gt;0),NOT(SUMPRODUCT(--ISNUMBER(SEARCH({"電源オフ","未投入","停止","未使用","撤去"},$X228&amp;"")))&gt;0)),"／電力が未記入","")&amp;IF(AND(NOT(ISNUMBER(J228)),NOT(SUMPRODUCT(--ISNUMBER(SEARCH({"棚板","棚","アングル","ｱﾝｸﾞﾙ","使用不可","ケーブル","ｹｰﾌﾞﾙ","PatchPnael","パッチ","引き出し","引出","ブランク","ﾌﾞﾗﾝｸ","マネージ","ﾏﾈｰｼﾞ","PDU","ONU"},$F228&amp;"")))&gt;0)),"／重量が未記入","")&amp;IF(AND(K228&lt;&gt;"",NOT(ISNUMBER(K228))),"／電圧が数値でない","")&amp;IF(AND(N228&lt;&gt;"",NOT(ISNUMBER(N228))),"／電流が数値でない","")&amp;IF(AND(C228&lt;&gt;"",C228&lt;1),"／開始Uが1未満","")&amp;IF(AND(E228&lt;&gt;"",E228&gt;IFERROR(VLOOKUP(A228,ラック定義!$A:$B,2,FALSE),47)),"／総Uをはみ出す","")&amp;IF(AND(A228&lt;&gt;"",COUNTIF(ラック定義!$A:$A,A228)=0),"／ラックが定義にない","")&amp;IF(AND(SUMPRODUCT((機器台帳!$A$2:$A$400=$A228)*((機器台帳!$B$2:$B$400=$B228)+(機器台帳!$B$2:$B$400="両面")+($B228="両面")&gt;0)*(機器台帳!$C$2:$C$400&lt;=$C228+$D228-1)*(機器台帳!$C$2:$C$400+機器台帳!$D$2:$D$400-1&gt;=$C228)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228&amp;"")))&gt;0)),"／同じUに他の機器(横並びなら正常)","")&amp;IF(AND(M228&lt;&gt;"",COUNTIFS(回路定義!$A:$A,A228,回路定義!$B:$B,M228)=0),"／回路1が定義にない","")&amp;IF(AND(P228&lt;&gt;"",COUNTIFS(回路定義!$A:$A,A228,回路定義!$B:$B,P228)=0),"／回路2が定義にない","")&amp;IF(AND(S228&lt;&gt;"",COUNTIFS(回路定義!$A:$A,A228,回路定義!$B:$B,S228)=0),"／回路3が定義にない",""))="","",MID(IF(AND(Y228=0,NOT(SUMPRODUCT(--ISNUMBER(SEARCH({"棚板","棚","アングル","ｱﾝｸﾞﾙ","使用不可","ケーブル","ｹｰﾌﾞﾙ","PatchPnael","パッチ","引き出し","引出","ブランク","ﾌﾞﾗﾝｸ","マネージ","ﾏﾈｰｼﾞ","PDU","ONU"},$F228&amp;"")))&gt;0),NOT(SUMPRODUCT(--ISNUMBER(SEARCH({"電源オフ","未投入","停止","未使用","撤去"},$X228&amp;"")))&gt;0)),"／電力が未記入","")&amp;IF(AND(NOT(ISNUMBER(J228)),NOT(SUMPRODUCT(--ISNUMBER(SEARCH({"棚板","棚","アングル","ｱﾝｸﾞﾙ","使用不可","ケーブル","ｹｰﾌﾞﾙ","PatchPnael","パッチ","引き出し","引出","ブランク","ﾌﾞﾗﾝｸ","マネージ","ﾏﾈｰｼﾞ","PDU","ONU"},$F228&amp;"")))&gt;0)),"／重量が未記入","")&amp;IF(AND(K228&lt;&gt;"",NOT(ISNUMBER(K228))),"／電圧が数値でない","")&amp;IF(AND(N228&lt;&gt;"",NOT(ISNUMBER(N228))),"／電流が数値でない","")&amp;IF(AND(C228&lt;&gt;"",C228&lt;1),"／開始Uが1未満","")&amp;IF(AND(E228&lt;&gt;"",E228&gt;IFERROR(VLOOKUP(A228,ラック定義!$A:$B,2,FALSE),47)),"／総Uをはみ出す","")&amp;IF(AND(A228&lt;&gt;"",COUNTIF(ラック定義!$A:$A,A228)=0),"／ラックが定義にない","")&amp;IF(AND(SUMPRODUCT((機器台帳!$A$2:$A$400=$A228)*((機器台帳!$B$2:$B$400=$B228)+(機器台帳!$B$2:$B$400="両面")+($B228="両面")&gt;0)*(機器台帳!$C$2:$C$400&lt;=$C228+$D228-1)*(機器台帳!$C$2:$C$400+機器台帳!$D$2:$D$400-1&gt;=$C228)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228&amp;"")))&gt;0)),"／同じUに他の機器(横並びなら正常)","")&amp;IF(AND(M228&lt;&gt;"",COUNTIFS(回路定義!$A:$A,A228,回路定義!$B:$B,M228)=0),"／回路1が定義にない","")&amp;IF(AND(P228&lt;&gt;"",COUNTIFS(回路定義!$A:$A,A228,回路定義!$B:$B,P228)=0),"／回路2が定義にない","")&amp;IF(AND(S228&lt;&gt;"",COUNTIFS(回路定義!$A:$A,A228,回路定義!$B:$B,S228)=0),"／回路3が定義にない",""),2,300)))</f>
        <v/>
      </c>
    </row>
    <row r="229">
      <c r="A229" s="5" t="n"/>
      <c r="B229" s="5" t="n"/>
      <c r="C229" s="5" t="n"/>
      <c r="D229" s="5" t="n"/>
      <c r="E229" s="6">
        <f>IF(C229="","",C229+D229-1)</f>
        <v/>
      </c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6">
        <f>COUNT(N229,Q229,T229)</f>
        <v/>
      </c>
      <c r="Z229" s="6">
        <f>IF(OR(K229="",NOT(ISNUMBER(K229))),"",K229*SUM(N229,Q229,T229))</f>
        <v/>
      </c>
      <c r="AA229" s="6">
        <f>IF(OR(Y229=0,N229=""),"",N229/Y229)</f>
        <v/>
      </c>
      <c r="AB229" s="6">
        <f>IF(OR(Y229=0,Q229=""),"",Q229/Y229)</f>
        <v/>
      </c>
      <c r="AC229" s="6">
        <f>IF(OR(Y229=0,T229=""),"",T229/Y229)</f>
        <v/>
      </c>
      <c r="AD229" s="6">
        <f>IF(F229="","",IF((IF(AND(Y229=0,NOT(SUMPRODUCT(--ISNUMBER(SEARCH({"棚板","棚","アングル","ｱﾝｸﾞﾙ","使用不可","ケーブル","ｹｰﾌﾞﾙ","PatchPnael","パッチ","引き出し","引出","ブランク","ﾌﾞﾗﾝｸ","マネージ","ﾏﾈｰｼﾞ","PDU","ONU"},$F229&amp;"")))&gt;0),NOT(SUMPRODUCT(--ISNUMBER(SEARCH({"電源オフ","未投入","停止","未使用","撤去"},$X229&amp;"")))&gt;0)),"／電力が未記入","")&amp;IF(AND(NOT(ISNUMBER(J229)),NOT(SUMPRODUCT(--ISNUMBER(SEARCH({"棚板","棚","アングル","ｱﾝｸﾞﾙ","使用不可","ケーブル","ｹｰﾌﾞﾙ","PatchPnael","パッチ","引き出し","引出","ブランク","ﾌﾞﾗﾝｸ","マネージ","ﾏﾈｰｼﾞ","PDU","ONU"},$F229&amp;"")))&gt;0)),"／重量が未記入","")&amp;IF(AND(K229&lt;&gt;"",NOT(ISNUMBER(K229))),"／電圧が数値でない","")&amp;IF(AND(N229&lt;&gt;"",NOT(ISNUMBER(N229))),"／電流が数値でない","")&amp;IF(AND(C229&lt;&gt;"",C229&lt;1),"／開始Uが1未満","")&amp;IF(AND(E229&lt;&gt;"",E229&gt;IFERROR(VLOOKUP(A229,ラック定義!$A:$B,2,FALSE),47)),"／総Uをはみ出す","")&amp;IF(AND(A229&lt;&gt;"",COUNTIF(ラック定義!$A:$A,A229)=0),"／ラックが定義にない","")&amp;IF(AND(SUMPRODUCT((機器台帳!$A$2:$A$400=$A229)*((機器台帳!$B$2:$B$400=$B229)+(機器台帳!$B$2:$B$400="両面")+($B229="両面")&gt;0)*(機器台帳!$C$2:$C$400&lt;=$C229+$D229-1)*(機器台帳!$C$2:$C$400+機器台帳!$D$2:$D$400-1&gt;=$C229)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229&amp;"")))&gt;0)),"／同じUに他の機器(横並びなら正常)","")&amp;IF(AND(M229&lt;&gt;"",COUNTIFS(回路定義!$A:$A,A229,回路定義!$B:$B,M229)=0),"／回路1が定義にない","")&amp;IF(AND(P229&lt;&gt;"",COUNTIFS(回路定義!$A:$A,A229,回路定義!$B:$B,P229)=0),"／回路2が定義にない","")&amp;IF(AND(S229&lt;&gt;"",COUNTIFS(回路定義!$A:$A,A229,回路定義!$B:$B,S229)=0),"／回路3が定義にない",""))="","",MID(IF(AND(Y229=0,NOT(SUMPRODUCT(--ISNUMBER(SEARCH({"棚板","棚","アングル","ｱﾝｸﾞﾙ","使用不可","ケーブル","ｹｰﾌﾞﾙ","PatchPnael","パッチ","引き出し","引出","ブランク","ﾌﾞﾗﾝｸ","マネージ","ﾏﾈｰｼﾞ","PDU","ONU"},$F229&amp;"")))&gt;0),NOT(SUMPRODUCT(--ISNUMBER(SEARCH({"電源オフ","未投入","停止","未使用","撤去"},$X229&amp;"")))&gt;0)),"／電力が未記入","")&amp;IF(AND(NOT(ISNUMBER(J229)),NOT(SUMPRODUCT(--ISNUMBER(SEARCH({"棚板","棚","アングル","ｱﾝｸﾞﾙ","使用不可","ケーブル","ｹｰﾌﾞﾙ","PatchPnael","パッチ","引き出し","引出","ブランク","ﾌﾞﾗﾝｸ","マネージ","ﾏﾈｰｼﾞ","PDU","ONU"},$F229&amp;"")))&gt;0)),"／重量が未記入","")&amp;IF(AND(K229&lt;&gt;"",NOT(ISNUMBER(K229))),"／電圧が数値でない","")&amp;IF(AND(N229&lt;&gt;"",NOT(ISNUMBER(N229))),"／電流が数値でない","")&amp;IF(AND(C229&lt;&gt;"",C229&lt;1),"／開始Uが1未満","")&amp;IF(AND(E229&lt;&gt;"",E229&gt;IFERROR(VLOOKUP(A229,ラック定義!$A:$B,2,FALSE),47)),"／総Uをはみ出す","")&amp;IF(AND(A229&lt;&gt;"",COUNTIF(ラック定義!$A:$A,A229)=0),"／ラックが定義にない","")&amp;IF(AND(SUMPRODUCT((機器台帳!$A$2:$A$400=$A229)*((機器台帳!$B$2:$B$400=$B229)+(機器台帳!$B$2:$B$400="両面")+($B229="両面")&gt;0)*(機器台帳!$C$2:$C$400&lt;=$C229+$D229-1)*(機器台帳!$C$2:$C$400+機器台帳!$D$2:$D$400-1&gt;=$C229)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229&amp;"")))&gt;0)),"／同じUに他の機器(横並びなら正常)","")&amp;IF(AND(M229&lt;&gt;"",COUNTIFS(回路定義!$A:$A,A229,回路定義!$B:$B,M229)=0),"／回路1が定義にない","")&amp;IF(AND(P229&lt;&gt;"",COUNTIFS(回路定義!$A:$A,A229,回路定義!$B:$B,P229)=0),"／回路2が定義にない","")&amp;IF(AND(S229&lt;&gt;"",COUNTIFS(回路定義!$A:$A,A229,回路定義!$B:$B,S229)=0),"／回路3が定義にない",""),2,300)))</f>
        <v/>
      </c>
    </row>
    <row r="230">
      <c r="A230" s="5" t="n"/>
      <c r="B230" s="5" t="n"/>
      <c r="C230" s="5" t="n"/>
      <c r="D230" s="5" t="n"/>
      <c r="E230" s="6">
        <f>IF(C230="","",C230+D230-1)</f>
        <v/>
      </c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6">
        <f>COUNT(N230,Q230,T230)</f>
        <v/>
      </c>
      <c r="Z230" s="6">
        <f>IF(OR(K230="",NOT(ISNUMBER(K230))),"",K230*SUM(N230,Q230,T230))</f>
        <v/>
      </c>
      <c r="AA230" s="6">
        <f>IF(OR(Y230=0,N230=""),"",N230/Y230)</f>
        <v/>
      </c>
      <c r="AB230" s="6">
        <f>IF(OR(Y230=0,Q230=""),"",Q230/Y230)</f>
        <v/>
      </c>
      <c r="AC230" s="6">
        <f>IF(OR(Y230=0,T230=""),"",T230/Y230)</f>
        <v/>
      </c>
      <c r="AD230" s="6">
        <f>IF(F230="","",IF((IF(AND(Y230=0,NOT(SUMPRODUCT(--ISNUMBER(SEARCH({"棚板","棚","アングル","ｱﾝｸﾞﾙ","使用不可","ケーブル","ｹｰﾌﾞﾙ","PatchPnael","パッチ","引き出し","引出","ブランク","ﾌﾞﾗﾝｸ","マネージ","ﾏﾈｰｼﾞ","PDU","ONU"},$F230&amp;"")))&gt;0),NOT(SUMPRODUCT(--ISNUMBER(SEARCH({"電源オフ","未投入","停止","未使用","撤去"},$X230&amp;"")))&gt;0)),"／電力が未記入","")&amp;IF(AND(NOT(ISNUMBER(J230)),NOT(SUMPRODUCT(--ISNUMBER(SEARCH({"棚板","棚","アングル","ｱﾝｸﾞﾙ","使用不可","ケーブル","ｹｰﾌﾞﾙ","PatchPnael","パッチ","引き出し","引出","ブランク","ﾌﾞﾗﾝｸ","マネージ","ﾏﾈｰｼﾞ","PDU","ONU"},$F230&amp;"")))&gt;0)),"／重量が未記入","")&amp;IF(AND(K230&lt;&gt;"",NOT(ISNUMBER(K230))),"／電圧が数値でない","")&amp;IF(AND(N230&lt;&gt;"",NOT(ISNUMBER(N230))),"／電流が数値でない","")&amp;IF(AND(C230&lt;&gt;"",C230&lt;1),"／開始Uが1未満","")&amp;IF(AND(E230&lt;&gt;"",E230&gt;IFERROR(VLOOKUP(A230,ラック定義!$A:$B,2,FALSE),47)),"／総Uをはみ出す","")&amp;IF(AND(A230&lt;&gt;"",COUNTIF(ラック定義!$A:$A,A230)=0),"／ラックが定義にない","")&amp;IF(AND(SUMPRODUCT((機器台帳!$A$2:$A$400=$A230)*((機器台帳!$B$2:$B$400=$B230)+(機器台帳!$B$2:$B$400="両面")+($B230="両面")&gt;0)*(機器台帳!$C$2:$C$400&lt;=$C230+$D230-1)*(機器台帳!$C$2:$C$400+機器台帳!$D$2:$D$400-1&gt;=$C230)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230&amp;"")))&gt;0)),"／同じUに他の機器(横並びなら正常)","")&amp;IF(AND(M230&lt;&gt;"",COUNTIFS(回路定義!$A:$A,A230,回路定義!$B:$B,M230)=0),"／回路1が定義にない","")&amp;IF(AND(P230&lt;&gt;"",COUNTIFS(回路定義!$A:$A,A230,回路定義!$B:$B,P230)=0),"／回路2が定義にない","")&amp;IF(AND(S230&lt;&gt;"",COUNTIFS(回路定義!$A:$A,A230,回路定義!$B:$B,S230)=0),"／回路3が定義にない",""))="","",MID(IF(AND(Y230=0,NOT(SUMPRODUCT(--ISNUMBER(SEARCH({"棚板","棚","アングル","ｱﾝｸﾞﾙ","使用不可","ケーブル","ｹｰﾌﾞﾙ","PatchPnael","パッチ","引き出し","引出","ブランク","ﾌﾞﾗﾝｸ","マネージ","ﾏﾈｰｼﾞ","PDU","ONU"},$F230&amp;"")))&gt;0),NOT(SUMPRODUCT(--ISNUMBER(SEARCH({"電源オフ","未投入","停止","未使用","撤去"},$X230&amp;"")))&gt;0)),"／電力が未記入","")&amp;IF(AND(NOT(ISNUMBER(J230)),NOT(SUMPRODUCT(--ISNUMBER(SEARCH({"棚板","棚","アングル","ｱﾝｸﾞﾙ","使用不可","ケーブル","ｹｰﾌﾞﾙ","PatchPnael","パッチ","引き出し","引出","ブランク","ﾌﾞﾗﾝｸ","マネージ","ﾏﾈｰｼﾞ","PDU","ONU"},$F230&amp;"")))&gt;0)),"／重量が未記入","")&amp;IF(AND(K230&lt;&gt;"",NOT(ISNUMBER(K230))),"／電圧が数値でない","")&amp;IF(AND(N230&lt;&gt;"",NOT(ISNUMBER(N230))),"／電流が数値でない","")&amp;IF(AND(C230&lt;&gt;"",C230&lt;1),"／開始Uが1未満","")&amp;IF(AND(E230&lt;&gt;"",E230&gt;IFERROR(VLOOKUP(A230,ラック定義!$A:$B,2,FALSE),47)),"／総Uをはみ出す","")&amp;IF(AND(A230&lt;&gt;"",COUNTIF(ラック定義!$A:$A,A230)=0),"／ラックが定義にない","")&amp;IF(AND(SUMPRODUCT((機器台帳!$A$2:$A$400=$A230)*((機器台帳!$B$2:$B$400=$B230)+(機器台帳!$B$2:$B$400="両面")+($B230="両面")&gt;0)*(機器台帳!$C$2:$C$400&lt;=$C230+$D230-1)*(機器台帳!$C$2:$C$400+機器台帳!$D$2:$D$400-1&gt;=$C230)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230&amp;"")))&gt;0)),"／同じUに他の機器(横並びなら正常)","")&amp;IF(AND(M230&lt;&gt;"",COUNTIFS(回路定義!$A:$A,A230,回路定義!$B:$B,M230)=0),"／回路1が定義にない","")&amp;IF(AND(P230&lt;&gt;"",COUNTIFS(回路定義!$A:$A,A230,回路定義!$B:$B,P230)=0),"／回路2が定義にない","")&amp;IF(AND(S230&lt;&gt;"",COUNTIFS(回路定義!$A:$A,A230,回路定義!$B:$B,S230)=0),"／回路3が定義にない",""),2,300)))</f>
        <v/>
      </c>
    </row>
    <row r="231">
      <c r="A231" s="5" t="n"/>
      <c r="B231" s="5" t="n"/>
      <c r="C231" s="5" t="n"/>
      <c r="D231" s="5" t="n"/>
      <c r="E231" s="6">
        <f>IF(C231="","",C231+D231-1)</f>
        <v/>
      </c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6">
        <f>COUNT(N231,Q231,T231)</f>
        <v/>
      </c>
      <c r="Z231" s="6">
        <f>IF(OR(K231="",NOT(ISNUMBER(K231))),"",K231*SUM(N231,Q231,T231))</f>
        <v/>
      </c>
      <c r="AA231" s="6">
        <f>IF(OR(Y231=0,N231=""),"",N231/Y231)</f>
        <v/>
      </c>
      <c r="AB231" s="6">
        <f>IF(OR(Y231=0,Q231=""),"",Q231/Y231)</f>
        <v/>
      </c>
      <c r="AC231" s="6">
        <f>IF(OR(Y231=0,T231=""),"",T231/Y231)</f>
        <v/>
      </c>
      <c r="AD231" s="6">
        <f>IF(F231="","",IF((IF(AND(Y231=0,NOT(SUMPRODUCT(--ISNUMBER(SEARCH({"棚板","棚","アングル","ｱﾝｸﾞﾙ","使用不可","ケーブル","ｹｰﾌﾞﾙ","PatchPnael","パッチ","引き出し","引出","ブランク","ﾌﾞﾗﾝｸ","マネージ","ﾏﾈｰｼﾞ","PDU","ONU"},$F231&amp;"")))&gt;0),NOT(SUMPRODUCT(--ISNUMBER(SEARCH({"電源オフ","未投入","停止","未使用","撤去"},$X231&amp;"")))&gt;0)),"／電力が未記入","")&amp;IF(AND(NOT(ISNUMBER(J231)),NOT(SUMPRODUCT(--ISNUMBER(SEARCH({"棚板","棚","アングル","ｱﾝｸﾞﾙ","使用不可","ケーブル","ｹｰﾌﾞﾙ","PatchPnael","パッチ","引き出し","引出","ブランク","ﾌﾞﾗﾝｸ","マネージ","ﾏﾈｰｼﾞ","PDU","ONU"},$F231&amp;"")))&gt;0)),"／重量が未記入","")&amp;IF(AND(K231&lt;&gt;"",NOT(ISNUMBER(K231))),"／電圧が数値でない","")&amp;IF(AND(N231&lt;&gt;"",NOT(ISNUMBER(N231))),"／電流が数値でない","")&amp;IF(AND(C231&lt;&gt;"",C231&lt;1),"／開始Uが1未満","")&amp;IF(AND(E231&lt;&gt;"",E231&gt;IFERROR(VLOOKUP(A231,ラック定義!$A:$B,2,FALSE),47)),"／総Uをはみ出す","")&amp;IF(AND(A231&lt;&gt;"",COUNTIF(ラック定義!$A:$A,A231)=0),"／ラックが定義にない","")&amp;IF(AND(SUMPRODUCT((機器台帳!$A$2:$A$400=$A231)*((機器台帳!$B$2:$B$400=$B231)+(機器台帳!$B$2:$B$400="両面")+($B231="両面")&gt;0)*(機器台帳!$C$2:$C$400&lt;=$C231+$D231-1)*(機器台帳!$C$2:$C$400+機器台帳!$D$2:$D$400-1&gt;=$C231)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231&amp;"")))&gt;0)),"／同じUに他の機器(横並びなら正常)","")&amp;IF(AND(M231&lt;&gt;"",COUNTIFS(回路定義!$A:$A,A231,回路定義!$B:$B,M231)=0),"／回路1が定義にない","")&amp;IF(AND(P231&lt;&gt;"",COUNTIFS(回路定義!$A:$A,A231,回路定義!$B:$B,P231)=0),"／回路2が定義にない","")&amp;IF(AND(S231&lt;&gt;"",COUNTIFS(回路定義!$A:$A,A231,回路定義!$B:$B,S231)=0),"／回路3が定義にない",""))="","",MID(IF(AND(Y231=0,NOT(SUMPRODUCT(--ISNUMBER(SEARCH({"棚板","棚","アングル","ｱﾝｸﾞﾙ","使用不可","ケーブル","ｹｰﾌﾞﾙ","PatchPnael","パッチ","引き出し","引出","ブランク","ﾌﾞﾗﾝｸ","マネージ","ﾏﾈｰｼﾞ","PDU","ONU"},$F231&amp;"")))&gt;0),NOT(SUMPRODUCT(--ISNUMBER(SEARCH({"電源オフ","未投入","停止","未使用","撤去"},$X231&amp;"")))&gt;0)),"／電力が未記入","")&amp;IF(AND(NOT(ISNUMBER(J231)),NOT(SUMPRODUCT(--ISNUMBER(SEARCH({"棚板","棚","アングル","ｱﾝｸﾞﾙ","使用不可","ケーブル","ｹｰﾌﾞﾙ","PatchPnael","パッチ","引き出し","引出","ブランク","ﾌﾞﾗﾝｸ","マネージ","ﾏﾈｰｼﾞ","PDU","ONU"},$F231&amp;"")))&gt;0)),"／重量が未記入","")&amp;IF(AND(K231&lt;&gt;"",NOT(ISNUMBER(K231))),"／電圧が数値でない","")&amp;IF(AND(N231&lt;&gt;"",NOT(ISNUMBER(N231))),"／電流が数値でない","")&amp;IF(AND(C231&lt;&gt;"",C231&lt;1),"／開始Uが1未満","")&amp;IF(AND(E231&lt;&gt;"",E231&gt;IFERROR(VLOOKUP(A231,ラック定義!$A:$B,2,FALSE),47)),"／総Uをはみ出す","")&amp;IF(AND(A231&lt;&gt;"",COUNTIF(ラック定義!$A:$A,A231)=0),"／ラックが定義にない","")&amp;IF(AND(SUMPRODUCT((機器台帳!$A$2:$A$400=$A231)*((機器台帳!$B$2:$B$400=$B231)+(機器台帳!$B$2:$B$400="両面")+($B231="両面")&gt;0)*(機器台帳!$C$2:$C$400&lt;=$C231+$D231-1)*(機器台帳!$C$2:$C$400+機器台帳!$D$2:$D$400-1&gt;=$C231)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231&amp;"")))&gt;0)),"／同じUに他の機器(横並びなら正常)","")&amp;IF(AND(M231&lt;&gt;"",COUNTIFS(回路定義!$A:$A,A231,回路定義!$B:$B,M231)=0),"／回路1が定義にない","")&amp;IF(AND(P231&lt;&gt;"",COUNTIFS(回路定義!$A:$A,A231,回路定義!$B:$B,P231)=0),"／回路2が定義にない","")&amp;IF(AND(S231&lt;&gt;"",COUNTIFS(回路定義!$A:$A,A231,回路定義!$B:$B,S231)=0),"／回路3が定義にない",""),2,300)))</f>
        <v/>
      </c>
    </row>
    <row r="232">
      <c r="A232" s="5" t="n"/>
      <c r="B232" s="5" t="n"/>
      <c r="C232" s="5" t="n"/>
      <c r="D232" s="5" t="n"/>
      <c r="E232" s="6">
        <f>IF(C232="","",C232+D232-1)</f>
        <v/>
      </c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6">
        <f>COUNT(N232,Q232,T232)</f>
        <v/>
      </c>
      <c r="Z232" s="6">
        <f>IF(OR(K232="",NOT(ISNUMBER(K232))),"",K232*SUM(N232,Q232,T232))</f>
        <v/>
      </c>
      <c r="AA232" s="6">
        <f>IF(OR(Y232=0,N232=""),"",N232/Y232)</f>
        <v/>
      </c>
      <c r="AB232" s="6">
        <f>IF(OR(Y232=0,Q232=""),"",Q232/Y232)</f>
        <v/>
      </c>
      <c r="AC232" s="6">
        <f>IF(OR(Y232=0,T232=""),"",T232/Y232)</f>
        <v/>
      </c>
      <c r="AD232" s="6">
        <f>IF(F232="","",IF((IF(AND(Y232=0,NOT(SUMPRODUCT(--ISNUMBER(SEARCH({"棚板","棚","アングル","ｱﾝｸﾞﾙ","使用不可","ケーブル","ｹｰﾌﾞﾙ","PatchPnael","パッチ","引き出し","引出","ブランク","ﾌﾞﾗﾝｸ","マネージ","ﾏﾈｰｼﾞ","PDU","ONU"},$F232&amp;"")))&gt;0),NOT(SUMPRODUCT(--ISNUMBER(SEARCH({"電源オフ","未投入","停止","未使用","撤去"},$X232&amp;"")))&gt;0)),"／電力が未記入","")&amp;IF(AND(NOT(ISNUMBER(J232)),NOT(SUMPRODUCT(--ISNUMBER(SEARCH({"棚板","棚","アングル","ｱﾝｸﾞﾙ","使用不可","ケーブル","ｹｰﾌﾞﾙ","PatchPnael","パッチ","引き出し","引出","ブランク","ﾌﾞﾗﾝｸ","マネージ","ﾏﾈｰｼﾞ","PDU","ONU"},$F232&amp;"")))&gt;0)),"／重量が未記入","")&amp;IF(AND(K232&lt;&gt;"",NOT(ISNUMBER(K232))),"／電圧が数値でない","")&amp;IF(AND(N232&lt;&gt;"",NOT(ISNUMBER(N232))),"／電流が数値でない","")&amp;IF(AND(C232&lt;&gt;"",C232&lt;1),"／開始Uが1未満","")&amp;IF(AND(E232&lt;&gt;"",E232&gt;IFERROR(VLOOKUP(A232,ラック定義!$A:$B,2,FALSE),47)),"／総Uをはみ出す","")&amp;IF(AND(A232&lt;&gt;"",COUNTIF(ラック定義!$A:$A,A232)=0),"／ラックが定義にない","")&amp;IF(AND(SUMPRODUCT((機器台帳!$A$2:$A$400=$A232)*((機器台帳!$B$2:$B$400=$B232)+(機器台帳!$B$2:$B$400="両面")+($B232="両面")&gt;0)*(機器台帳!$C$2:$C$400&lt;=$C232+$D232-1)*(機器台帳!$C$2:$C$400+機器台帳!$D$2:$D$400-1&gt;=$C232)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232&amp;"")))&gt;0)),"／同じUに他の機器(横並びなら正常)","")&amp;IF(AND(M232&lt;&gt;"",COUNTIFS(回路定義!$A:$A,A232,回路定義!$B:$B,M232)=0),"／回路1が定義にない","")&amp;IF(AND(P232&lt;&gt;"",COUNTIFS(回路定義!$A:$A,A232,回路定義!$B:$B,P232)=0),"／回路2が定義にない","")&amp;IF(AND(S232&lt;&gt;"",COUNTIFS(回路定義!$A:$A,A232,回路定義!$B:$B,S232)=0),"／回路3が定義にない",""))="","",MID(IF(AND(Y232=0,NOT(SUMPRODUCT(--ISNUMBER(SEARCH({"棚板","棚","アングル","ｱﾝｸﾞﾙ","使用不可","ケーブル","ｹｰﾌﾞﾙ","PatchPnael","パッチ","引き出し","引出","ブランク","ﾌﾞﾗﾝｸ","マネージ","ﾏﾈｰｼﾞ","PDU","ONU"},$F232&amp;"")))&gt;0),NOT(SUMPRODUCT(--ISNUMBER(SEARCH({"電源オフ","未投入","停止","未使用","撤去"},$X232&amp;"")))&gt;0)),"／電力が未記入","")&amp;IF(AND(NOT(ISNUMBER(J232)),NOT(SUMPRODUCT(--ISNUMBER(SEARCH({"棚板","棚","アングル","ｱﾝｸﾞﾙ","使用不可","ケーブル","ｹｰﾌﾞﾙ","PatchPnael","パッチ","引き出し","引出","ブランク","ﾌﾞﾗﾝｸ","マネージ","ﾏﾈｰｼﾞ","PDU","ONU"},$F232&amp;"")))&gt;0)),"／重量が未記入","")&amp;IF(AND(K232&lt;&gt;"",NOT(ISNUMBER(K232))),"／電圧が数値でない","")&amp;IF(AND(N232&lt;&gt;"",NOT(ISNUMBER(N232))),"／電流が数値でない","")&amp;IF(AND(C232&lt;&gt;"",C232&lt;1),"／開始Uが1未満","")&amp;IF(AND(E232&lt;&gt;"",E232&gt;IFERROR(VLOOKUP(A232,ラック定義!$A:$B,2,FALSE),47)),"／総Uをはみ出す","")&amp;IF(AND(A232&lt;&gt;"",COUNTIF(ラック定義!$A:$A,A232)=0),"／ラックが定義にない","")&amp;IF(AND(SUMPRODUCT((機器台帳!$A$2:$A$400=$A232)*((機器台帳!$B$2:$B$400=$B232)+(機器台帳!$B$2:$B$400="両面")+($B232="両面")&gt;0)*(機器台帳!$C$2:$C$400&lt;=$C232+$D232-1)*(機器台帳!$C$2:$C$400+機器台帳!$D$2:$D$400-1&gt;=$C232)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232&amp;"")))&gt;0)),"／同じUに他の機器(横並びなら正常)","")&amp;IF(AND(M232&lt;&gt;"",COUNTIFS(回路定義!$A:$A,A232,回路定義!$B:$B,M232)=0),"／回路1が定義にない","")&amp;IF(AND(P232&lt;&gt;"",COUNTIFS(回路定義!$A:$A,A232,回路定義!$B:$B,P232)=0),"／回路2が定義にない","")&amp;IF(AND(S232&lt;&gt;"",COUNTIFS(回路定義!$A:$A,A232,回路定義!$B:$B,S232)=0),"／回路3が定義にない",""),2,300)))</f>
        <v/>
      </c>
    </row>
    <row r="233">
      <c r="A233" s="5" t="n"/>
      <c r="B233" s="5" t="n"/>
      <c r="C233" s="5" t="n"/>
      <c r="D233" s="5" t="n"/>
      <c r="E233" s="6">
        <f>IF(C233="","",C233+D233-1)</f>
        <v/>
      </c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6">
        <f>COUNT(N233,Q233,T233)</f>
        <v/>
      </c>
      <c r="Z233" s="6">
        <f>IF(OR(K233="",NOT(ISNUMBER(K233))),"",K233*SUM(N233,Q233,T233))</f>
        <v/>
      </c>
      <c r="AA233" s="6">
        <f>IF(OR(Y233=0,N233=""),"",N233/Y233)</f>
        <v/>
      </c>
      <c r="AB233" s="6">
        <f>IF(OR(Y233=0,Q233=""),"",Q233/Y233)</f>
        <v/>
      </c>
      <c r="AC233" s="6">
        <f>IF(OR(Y233=0,T233=""),"",T233/Y233)</f>
        <v/>
      </c>
      <c r="AD233" s="6">
        <f>IF(F233="","",IF((IF(AND(Y233=0,NOT(SUMPRODUCT(--ISNUMBER(SEARCH({"棚板","棚","アングル","ｱﾝｸﾞﾙ","使用不可","ケーブル","ｹｰﾌﾞﾙ","PatchPnael","パッチ","引き出し","引出","ブランク","ﾌﾞﾗﾝｸ","マネージ","ﾏﾈｰｼﾞ","PDU","ONU"},$F233&amp;"")))&gt;0),NOT(SUMPRODUCT(--ISNUMBER(SEARCH({"電源オフ","未投入","停止","未使用","撤去"},$X233&amp;"")))&gt;0)),"／電力が未記入","")&amp;IF(AND(NOT(ISNUMBER(J233)),NOT(SUMPRODUCT(--ISNUMBER(SEARCH({"棚板","棚","アングル","ｱﾝｸﾞﾙ","使用不可","ケーブル","ｹｰﾌﾞﾙ","PatchPnael","パッチ","引き出し","引出","ブランク","ﾌﾞﾗﾝｸ","マネージ","ﾏﾈｰｼﾞ","PDU","ONU"},$F233&amp;"")))&gt;0)),"／重量が未記入","")&amp;IF(AND(K233&lt;&gt;"",NOT(ISNUMBER(K233))),"／電圧が数値でない","")&amp;IF(AND(N233&lt;&gt;"",NOT(ISNUMBER(N233))),"／電流が数値でない","")&amp;IF(AND(C233&lt;&gt;"",C233&lt;1),"／開始Uが1未満","")&amp;IF(AND(E233&lt;&gt;"",E233&gt;IFERROR(VLOOKUP(A233,ラック定義!$A:$B,2,FALSE),47)),"／総Uをはみ出す","")&amp;IF(AND(A233&lt;&gt;"",COUNTIF(ラック定義!$A:$A,A233)=0),"／ラックが定義にない","")&amp;IF(AND(SUMPRODUCT((機器台帳!$A$2:$A$400=$A233)*((機器台帳!$B$2:$B$400=$B233)+(機器台帳!$B$2:$B$400="両面")+($B233="両面")&gt;0)*(機器台帳!$C$2:$C$400&lt;=$C233+$D233-1)*(機器台帳!$C$2:$C$400+機器台帳!$D$2:$D$400-1&gt;=$C233)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233&amp;"")))&gt;0)),"／同じUに他の機器(横並びなら正常)","")&amp;IF(AND(M233&lt;&gt;"",COUNTIFS(回路定義!$A:$A,A233,回路定義!$B:$B,M233)=0),"／回路1が定義にない","")&amp;IF(AND(P233&lt;&gt;"",COUNTIFS(回路定義!$A:$A,A233,回路定義!$B:$B,P233)=0),"／回路2が定義にない","")&amp;IF(AND(S233&lt;&gt;"",COUNTIFS(回路定義!$A:$A,A233,回路定義!$B:$B,S233)=0),"／回路3が定義にない",""))="","",MID(IF(AND(Y233=0,NOT(SUMPRODUCT(--ISNUMBER(SEARCH({"棚板","棚","アングル","ｱﾝｸﾞﾙ","使用不可","ケーブル","ｹｰﾌﾞﾙ","PatchPnael","パッチ","引き出し","引出","ブランク","ﾌﾞﾗﾝｸ","マネージ","ﾏﾈｰｼﾞ","PDU","ONU"},$F233&amp;"")))&gt;0),NOT(SUMPRODUCT(--ISNUMBER(SEARCH({"電源オフ","未投入","停止","未使用","撤去"},$X233&amp;"")))&gt;0)),"／電力が未記入","")&amp;IF(AND(NOT(ISNUMBER(J233)),NOT(SUMPRODUCT(--ISNUMBER(SEARCH({"棚板","棚","アングル","ｱﾝｸﾞﾙ","使用不可","ケーブル","ｹｰﾌﾞﾙ","PatchPnael","パッチ","引き出し","引出","ブランク","ﾌﾞﾗﾝｸ","マネージ","ﾏﾈｰｼﾞ","PDU","ONU"},$F233&amp;"")))&gt;0)),"／重量が未記入","")&amp;IF(AND(K233&lt;&gt;"",NOT(ISNUMBER(K233))),"／電圧が数値でない","")&amp;IF(AND(N233&lt;&gt;"",NOT(ISNUMBER(N233))),"／電流が数値でない","")&amp;IF(AND(C233&lt;&gt;"",C233&lt;1),"／開始Uが1未満","")&amp;IF(AND(E233&lt;&gt;"",E233&gt;IFERROR(VLOOKUP(A233,ラック定義!$A:$B,2,FALSE),47)),"／総Uをはみ出す","")&amp;IF(AND(A233&lt;&gt;"",COUNTIF(ラック定義!$A:$A,A233)=0),"／ラックが定義にない","")&amp;IF(AND(SUMPRODUCT((機器台帳!$A$2:$A$400=$A233)*((機器台帳!$B$2:$B$400=$B233)+(機器台帳!$B$2:$B$400="両面")+($B233="両面")&gt;0)*(機器台帳!$C$2:$C$400&lt;=$C233+$D233-1)*(機器台帳!$C$2:$C$400+機器台帳!$D$2:$D$400-1&gt;=$C233)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233&amp;"")))&gt;0)),"／同じUに他の機器(横並びなら正常)","")&amp;IF(AND(M233&lt;&gt;"",COUNTIFS(回路定義!$A:$A,A233,回路定義!$B:$B,M233)=0),"／回路1が定義にない","")&amp;IF(AND(P233&lt;&gt;"",COUNTIFS(回路定義!$A:$A,A233,回路定義!$B:$B,P233)=0),"／回路2が定義にない","")&amp;IF(AND(S233&lt;&gt;"",COUNTIFS(回路定義!$A:$A,A233,回路定義!$B:$B,S233)=0),"／回路3が定義にない",""),2,300)))</f>
        <v/>
      </c>
    </row>
    <row r="234">
      <c r="A234" s="5" t="n"/>
      <c r="B234" s="5" t="n"/>
      <c r="C234" s="5" t="n"/>
      <c r="D234" s="5" t="n"/>
      <c r="E234" s="6">
        <f>IF(C234="","",C234+D234-1)</f>
        <v/>
      </c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6">
        <f>COUNT(N234,Q234,T234)</f>
        <v/>
      </c>
      <c r="Z234" s="6">
        <f>IF(OR(K234="",NOT(ISNUMBER(K234))),"",K234*SUM(N234,Q234,T234))</f>
        <v/>
      </c>
      <c r="AA234" s="6">
        <f>IF(OR(Y234=0,N234=""),"",N234/Y234)</f>
        <v/>
      </c>
      <c r="AB234" s="6">
        <f>IF(OR(Y234=0,Q234=""),"",Q234/Y234)</f>
        <v/>
      </c>
      <c r="AC234" s="6">
        <f>IF(OR(Y234=0,T234=""),"",T234/Y234)</f>
        <v/>
      </c>
      <c r="AD234" s="6">
        <f>IF(F234="","",IF((IF(AND(Y234=0,NOT(SUMPRODUCT(--ISNUMBER(SEARCH({"棚板","棚","アングル","ｱﾝｸﾞﾙ","使用不可","ケーブル","ｹｰﾌﾞﾙ","PatchPnael","パッチ","引き出し","引出","ブランク","ﾌﾞﾗﾝｸ","マネージ","ﾏﾈｰｼﾞ","PDU","ONU"},$F234&amp;"")))&gt;0),NOT(SUMPRODUCT(--ISNUMBER(SEARCH({"電源オフ","未投入","停止","未使用","撤去"},$X234&amp;"")))&gt;0)),"／電力が未記入","")&amp;IF(AND(NOT(ISNUMBER(J234)),NOT(SUMPRODUCT(--ISNUMBER(SEARCH({"棚板","棚","アングル","ｱﾝｸﾞﾙ","使用不可","ケーブル","ｹｰﾌﾞﾙ","PatchPnael","パッチ","引き出し","引出","ブランク","ﾌﾞﾗﾝｸ","マネージ","ﾏﾈｰｼﾞ","PDU","ONU"},$F234&amp;"")))&gt;0)),"／重量が未記入","")&amp;IF(AND(K234&lt;&gt;"",NOT(ISNUMBER(K234))),"／電圧が数値でない","")&amp;IF(AND(N234&lt;&gt;"",NOT(ISNUMBER(N234))),"／電流が数値でない","")&amp;IF(AND(C234&lt;&gt;"",C234&lt;1),"／開始Uが1未満","")&amp;IF(AND(E234&lt;&gt;"",E234&gt;IFERROR(VLOOKUP(A234,ラック定義!$A:$B,2,FALSE),47)),"／総Uをはみ出す","")&amp;IF(AND(A234&lt;&gt;"",COUNTIF(ラック定義!$A:$A,A234)=0),"／ラックが定義にない","")&amp;IF(AND(SUMPRODUCT((機器台帳!$A$2:$A$400=$A234)*((機器台帳!$B$2:$B$400=$B234)+(機器台帳!$B$2:$B$400="両面")+($B234="両面")&gt;0)*(機器台帳!$C$2:$C$400&lt;=$C234+$D234-1)*(機器台帳!$C$2:$C$400+機器台帳!$D$2:$D$400-1&gt;=$C234)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234&amp;"")))&gt;0)),"／同じUに他の機器(横並びなら正常)","")&amp;IF(AND(M234&lt;&gt;"",COUNTIFS(回路定義!$A:$A,A234,回路定義!$B:$B,M234)=0),"／回路1が定義にない","")&amp;IF(AND(P234&lt;&gt;"",COUNTIFS(回路定義!$A:$A,A234,回路定義!$B:$B,P234)=0),"／回路2が定義にない","")&amp;IF(AND(S234&lt;&gt;"",COUNTIFS(回路定義!$A:$A,A234,回路定義!$B:$B,S234)=0),"／回路3が定義にない",""))="","",MID(IF(AND(Y234=0,NOT(SUMPRODUCT(--ISNUMBER(SEARCH({"棚板","棚","アングル","ｱﾝｸﾞﾙ","使用不可","ケーブル","ｹｰﾌﾞﾙ","PatchPnael","パッチ","引き出し","引出","ブランク","ﾌﾞﾗﾝｸ","マネージ","ﾏﾈｰｼﾞ","PDU","ONU"},$F234&amp;"")))&gt;0),NOT(SUMPRODUCT(--ISNUMBER(SEARCH({"電源オフ","未投入","停止","未使用","撤去"},$X234&amp;"")))&gt;0)),"／電力が未記入","")&amp;IF(AND(NOT(ISNUMBER(J234)),NOT(SUMPRODUCT(--ISNUMBER(SEARCH({"棚板","棚","アングル","ｱﾝｸﾞﾙ","使用不可","ケーブル","ｹｰﾌﾞﾙ","PatchPnael","パッチ","引き出し","引出","ブランク","ﾌﾞﾗﾝｸ","マネージ","ﾏﾈｰｼﾞ","PDU","ONU"},$F234&amp;"")))&gt;0)),"／重量が未記入","")&amp;IF(AND(K234&lt;&gt;"",NOT(ISNUMBER(K234))),"／電圧が数値でない","")&amp;IF(AND(N234&lt;&gt;"",NOT(ISNUMBER(N234))),"／電流が数値でない","")&amp;IF(AND(C234&lt;&gt;"",C234&lt;1),"／開始Uが1未満","")&amp;IF(AND(E234&lt;&gt;"",E234&gt;IFERROR(VLOOKUP(A234,ラック定義!$A:$B,2,FALSE),47)),"／総Uをはみ出す","")&amp;IF(AND(A234&lt;&gt;"",COUNTIF(ラック定義!$A:$A,A234)=0),"／ラックが定義にない","")&amp;IF(AND(SUMPRODUCT((機器台帳!$A$2:$A$400=$A234)*((機器台帳!$B$2:$B$400=$B234)+(機器台帳!$B$2:$B$400="両面")+($B234="両面")&gt;0)*(機器台帳!$C$2:$C$400&lt;=$C234+$D234-1)*(機器台帳!$C$2:$C$400+機器台帳!$D$2:$D$400-1&gt;=$C234)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234&amp;"")))&gt;0)),"／同じUに他の機器(横並びなら正常)","")&amp;IF(AND(M234&lt;&gt;"",COUNTIFS(回路定義!$A:$A,A234,回路定義!$B:$B,M234)=0),"／回路1が定義にない","")&amp;IF(AND(P234&lt;&gt;"",COUNTIFS(回路定義!$A:$A,A234,回路定義!$B:$B,P234)=0),"／回路2が定義にない","")&amp;IF(AND(S234&lt;&gt;"",COUNTIFS(回路定義!$A:$A,A234,回路定義!$B:$B,S234)=0),"／回路3が定義にない",""),2,300)))</f>
        <v/>
      </c>
    </row>
    <row r="235">
      <c r="A235" s="5" t="n"/>
      <c r="B235" s="5" t="n"/>
      <c r="C235" s="5" t="n"/>
      <c r="D235" s="5" t="n"/>
      <c r="E235" s="6">
        <f>IF(C235="","",C235+D235-1)</f>
        <v/>
      </c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6">
        <f>COUNT(N235,Q235,T235)</f>
        <v/>
      </c>
      <c r="Z235" s="6">
        <f>IF(OR(K235="",NOT(ISNUMBER(K235))),"",K235*SUM(N235,Q235,T235))</f>
        <v/>
      </c>
      <c r="AA235" s="6">
        <f>IF(OR(Y235=0,N235=""),"",N235/Y235)</f>
        <v/>
      </c>
      <c r="AB235" s="6">
        <f>IF(OR(Y235=0,Q235=""),"",Q235/Y235)</f>
        <v/>
      </c>
      <c r="AC235" s="6">
        <f>IF(OR(Y235=0,T235=""),"",T235/Y235)</f>
        <v/>
      </c>
      <c r="AD235" s="6">
        <f>IF(F235="","",IF((IF(AND(Y235=0,NOT(SUMPRODUCT(--ISNUMBER(SEARCH({"棚板","棚","アングル","ｱﾝｸﾞﾙ","使用不可","ケーブル","ｹｰﾌﾞﾙ","PatchPnael","パッチ","引き出し","引出","ブランク","ﾌﾞﾗﾝｸ","マネージ","ﾏﾈｰｼﾞ","PDU","ONU"},$F235&amp;"")))&gt;0),NOT(SUMPRODUCT(--ISNUMBER(SEARCH({"電源オフ","未投入","停止","未使用","撤去"},$X235&amp;"")))&gt;0)),"／電力が未記入","")&amp;IF(AND(NOT(ISNUMBER(J235)),NOT(SUMPRODUCT(--ISNUMBER(SEARCH({"棚板","棚","アングル","ｱﾝｸﾞﾙ","使用不可","ケーブル","ｹｰﾌﾞﾙ","PatchPnael","パッチ","引き出し","引出","ブランク","ﾌﾞﾗﾝｸ","マネージ","ﾏﾈｰｼﾞ","PDU","ONU"},$F235&amp;"")))&gt;0)),"／重量が未記入","")&amp;IF(AND(K235&lt;&gt;"",NOT(ISNUMBER(K235))),"／電圧が数値でない","")&amp;IF(AND(N235&lt;&gt;"",NOT(ISNUMBER(N235))),"／電流が数値でない","")&amp;IF(AND(C235&lt;&gt;"",C235&lt;1),"／開始Uが1未満","")&amp;IF(AND(E235&lt;&gt;"",E235&gt;IFERROR(VLOOKUP(A235,ラック定義!$A:$B,2,FALSE),47)),"／総Uをはみ出す","")&amp;IF(AND(A235&lt;&gt;"",COUNTIF(ラック定義!$A:$A,A235)=0),"／ラックが定義にない","")&amp;IF(AND(SUMPRODUCT((機器台帳!$A$2:$A$400=$A235)*((機器台帳!$B$2:$B$400=$B235)+(機器台帳!$B$2:$B$400="両面")+($B235="両面")&gt;0)*(機器台帳!$C$2:$C$400&lt;=$C235+$D235-1)*(機器台帳!$C$2:$C$400+機器台帳!$D$2:$D$400-1&gt;=$C235)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235&amp;"")))&gt;0)),"／同じUに他の機器(横並びなら正常)","")&amp;IF(AND(M235&lt;&gt;"",COUNTIFS(回路定義!$A:$A,A235,回路定義!$B:$B,M235)=0),"／回路1が定義にない","")&amp;IF(AND(P235&lt;&gt;"",COUNTIFS(回路定義!$A:$A,A235,回路定義!$B:$B,P235)=0),"／回路2が定義にない","")&amp;IF(AND(S235&lt;&gt;"",COUNTIFS(回路定義!$A:$A,A235,回路定義!$B:$B,S235)=0),"／回路3が定義にない",""))="","",MID(IF(AND(Y235=0,NOT(SUMPRODUCT(--ISNUMBER(SEARCH({"棚板","棚","アングル","ｱﾝｸﾞﾙ","使用不可","ケーブル","ｹｰﾌﾞﾙ","PatchPnael","パッチ","引き出し","引出","ブランク","ﾌﾞﾗﾝｸ","マネージ","ﾏﾈｰｼﾞ","PDU","ONU"},$F235&amp;"")))&gt;0),NOT(SUMPRODUCT(--ISNUMBER(SEARCH({"電源オフ","未投入","停止","未使用","撤去"},$X235&amp;"")))&gt;0)),"／電力が未記入","")&amp;IF(AND(NOT(ISNUMBER(J235)),NOT(SUMPRODUCT(--ISNUMBER(SEARCH({"棚板","棚","アングル","ｱﾝｸﾞﾙ","使用不可","ケーブル","ｹｰﾌﾞﾙ","PatchPnael","パッチ","引き出し","引出","ブランク","ﾌﾞﾗﾝｸ","マネージ","ﾏﾈｰｼﾞ","PDU","ONU"},$F235&amp;"")))&gt;0)),"／重量が未記入","")&amp;IF(AND(K235&lt;&gt;"",NOT(ISNUMBER(K235))),"／電圧が数値でない","")&amp;IF(AND(N235&lt;&gt;"",NOT(ISNUMBER(N235))),"／電流が数値でない","")&amp;IF(AND(C235&lt;&gt;"",C235&lt;1),"／開始Uが1未満","")&amp;IF(AND(E235&lt;&gt;"",E235&gt;IFERROR(VLOOKUP(A235,ラック定義!$A:$B,2,FALSE),47)),"／総Uをはみ出す","")&amp;IF(AND(A235&lt;&gt;"",COUNTIF(ラック定義!$A:$A,A235)=0),"／ラックが定義にない","")&amp;IF(AND(SUMPRODUCT((機器台帳!$A$2:$A$400=$A235)*((機器台帳!$B$2:$B$400=$B235)+(機器台帳!$B$2:$B$400="両面")+($B235="両面")&gt;0)*(機器台帳!$C$2:$C$400&lt;=$C235+$D235-1)*(機器台帳!$C$2:$C$400+機器台帳!$D$2:$D$400-1&gt;=$C235)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235&amp;"")))&gt;0)),"／同じUに他の機器(横並びなら正常)","")&amp;IF(AND(M235&lt;&gt;"",COUNTIFS(回路定義!$A:$A,A235,回路定義!$B:$B,M235)=0),"／回路1が定義にない","")&amp;IF(AND(P235&lt;&gt;"",COUNTIFS(回路定義!$A:$A,A235,回路定義!$B:$B,P235)=0),"／回路2が定義にない","")&amp;IF(AND(S235&lt;&gt;"",COUNTIFS(回路定義!$A:$A,A235,回路定義!$B:$B,S235)=0),"／回路3が定義にない",""),2,300)))</f>
        <v/>
      </c>
    </row>
    <row r="236">
      <c r="A236" s="5" t="n"/>
      <c r="B236" s="5" t="n"/>
      <c r="C236" s="5" t="n"/>
      <c r="D236" s="5" t="n"/>
      <c r="E236" s="6">
        <f>IF(C236="","",C236+D236-1)</f>
        <v/>
      </c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6">
        <f>COUNT(N236,Q236,T236)</f>
        <v/>
      </c>
      <c r="Z236" s="6">
        <f>IF(OR(K236="",NOT(ISNUMBER(K236))),"",K236*SUM(N236,Q236,T236))</f>
        <v/>
      </c>
      <c r="AA236" s="6">
        <f>IF(OR(Y236=0,N236=""),"",N236/Y236)</f>
        <v/>
      </c>
      <c r="AB236" s="6">
        <f>IF(OR(Y236=0,Q236=""),"",Q236/Y236)</f>
        <v/>
      </c>
      <c r="AC236" s="6">
        <f>IF(OR(Y236=0,T236=""),"",T236/Y236)</f>
        <v/>
      </c>
      <c r="AD236" s="6">
        <f>IF(F236="","",IF((IF(AND(Y236=0,NOT(SUMPRODUCT(--ISNUMBER(SEARCH({"棚板","棚","アングル","ｱﾝｸﾞﾙ","使用不可","ケーブル","ｹｰﾌﾞﾙ","PatchPnael","パッチ","引き出し","引出","ブランク","ﾌﾞﾗﾝｸ","マネージ","ﾏﾈｰｼﾞ","PDU","ONU"},$F236&amp;"")))&gt;0),NOT(SUMPRODUCT(--ISNUMBER(SEARCH({"電源オフ","未投入","停止","未使用","撤去"},$X236&amp;"")))&gt;0)),"／電力が未記入","")&amp;IF(AND(NOT(ISNUMBER(J236)),NOT(SUMPRODUCT(--ISNUMBER(SEARCH({"棚板","棚","アングル","ｱﾝｸﾞﾙ","使用不可","ケーブル","ｹｰﾌﾞﾙ","PatchPnael","パッチ","引き出し","引出","ブランク","ﾌﾞﾗﾝｸ","マネージ","ﾏﾈｰｼﾞ","PDU","ONU"},$F236&amp;"")))&gt;0)),"／重量が未記入","")&amp;IF(AND(K236&lt;&gt;"",NOT(ISNUMBER(K236))),"／電圧が数値でない","")&amp;IF(AND(N236&lt;&gt;"",NOT(ISNUMBER(N236))),"／電流が数値でない","")&amp;IF(AND(C236&lt;&gt;"",C236&lt;1),"／開始Uが1未満","")&amp;IF(AND(E236&lt;&gt;"",E236&gt;IFERROR(VLOOKUP(A236,ラック定義!$A:$B,2,FALSE),47)),"／総Uをはみ出す","")&amp;IF(AND(A236&lt;&gt;"",COUNTIF(ラック定義!$A:$A,A236)=0),"／ラックが定義にない","")&amp;IF(AND(SUMPRODUCT((機器台帳!$A$2:$A$400=$A236)*((機器台帳!$B$2:$B$400=$B236)+(機器台帳!$B$2:$B$400="両面")+($B236="両面")&gt;0)*(機器台帳!$C$2:$C$400&lt;=$C236+$D236-1)*(機器台帳!$C$2:$C$400+機器台帳!$D$2:$D$400-1&gt;=$C236)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236&amp;"")))&gt;0)),"／同じUに他の機器(横並びなら正常)","")&amp;IF(AND(M236&lt;&gt;"",COUNTIFS(回路定義!$A:$A,A236,回路定義!$B:$B,M236)=0),"／回路1が定義にない","")&amp;IF(AND(P236&lt;&gt;"",COUNTIFS(回路定義!$A:$A,A236,回路定義!$B:$B,P236)=0),"／回路2が定義にない","")&amp;IF(AND(S236&lt;&gt;"",COUNTIFS(回路定義!$A:$A,A236,回路定義!$B:$B,S236)=0),"／回路3が定義にない",""))="","",MID(IF(AND(Y236=0,NOT(SUMPRODUCT(--ISNUMBER(SEARCH({"棚板","棚","アングル","ｱﾝｸﾞﾙ","使用不可","ケーブル","ｹｰﾌﾞﾙ","PatchPnael","パッチ","引き出し","引出","ブランク","ﾌﾞﾗﾝｸ","マネージ","ﾏﾈｰｼﾞ","PDU","ONU"},$F236&amp;"")))&gt;0),NOT(SUMPRODUCT(--ISNUMBER(SEARCH({"電源オフ","未投入","停止","未使用","撤去"},$X236&amp;"")))&gt;0)),"／電力が未記入","")&amp;IF(AND(NOT(ISNUMBER(J236)),NOT(SUMPRODUCT(--ISNUMBER(SEARCH({"棚板","棚","アングル","ｱﾝｸﾞﾙ","使用不可","ケーブル","ｹｰﾌﾞﾙ","PatchPnael","パッチ","引き出し","引出","ブランク","ﾌﾞﾗﾝｸ","マネージ","ﾏﾈｰｼﾞ","PDU","ONU"},$F236&amp;"")))&gt;0)),"／重量が未記入","")&amp;IF(AND(K236&lt;&gt;"",NOT(ISNUMBER(K236))),"／電圧が数値でない","")&amp;IF(AND(N236&lt;&gt;"",NOT(ISNUMBER(N236))),"／電流が数値でない","")&amp;IF(AND(C236&lt;&gt;"",C236&lt;1),"／開始Uが1未満","")&amp;IF(AND(E236&lt;&gt;"",E236&gt;IFERROR(VLOOKUP(A236,ラック定義!$A:$B,2,FALSE),47)),"／総Uをはみ出す","")&amp;IF(AND(A236&lt;&gt;"",COUNTIF(ラック定義!$A:$A,A236)=0),"／ラックが定義にない","")&amp;IF(AND(SUMPRODUCT((機器台帳!$A$2:$A$400=$A236)*((機器台帳!$B$2:$B$400=$B236)+(機器台帳!$B$2:$B$400="両面")+($B236="両面")&gt;0)*(機器台帳!$C$2:$C$400&lt;=$C236+$D236-1)*(機器台帳!$C$2:$C$400+機器台帳!$D$2:$D$400-1&gt;=$C236)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236&amp;"")))&gt;0)),"／同じUに他の機器(横並びなら正常)","")&amp;IF(AND(M236&lt;&gt;"",COUNTIFS(回路定義!$A:$A,A236,回路定義!$B:$B,M236)=0),"／回路1が定義にない","")&amp;IF(AND(P236&lt;&gt;"",COUNTIFS(回路定義!$A:$A,A236,回路定義!$B:$B,P236)=0),"／回路2が定義にない","")&amp;IF(AND(S236&lt;&gt;"",COUNTIFS(回路定義!$A:$A,A236,回路定義!$B:$B,S236)=0),"／回路3が定義にない",""),2,300)))</f>
        <v/>
      </c>
    </row>
    <row r="237">
      <c r="A237" s="5" t="n"/>
      <c r="B237" s="5" t="n"/>
      <c r="C237" s="5" t="n"/>
      <c r="D237" s="5" t="n"/>
      <c r="E237" s="6">
        <f>IF(C237="","",C237+D237-1)</f>
        <v/>
      </c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6">
        <f>COUNT(N237,Q237,T237)</f>
        <v/>
      </c>
      <c r="Z237" s="6">
        <f>IF(OR(K237="",NOT(ISNUMBER(K237))),"",K237*SUM(N237,Q237,T237))</f>
        <v/>
      </c>
      <c r="AA237" s="6">
        <f>IF(OR(Y237=0,N237=""),"",N237/Y237)</f>
        <v/>
      </c>
      <c r="AB237" s="6">
        <f>IF(OR(Y237=0,Q237=""),"",Q237/Y237)</f>
        <v/>
      </c>
      <c r="AC237" s="6">
        <f>IF(OR(Y237=0,T237=""),"",T237/Y237)</f>
        <v/>
      </c>
      <c r="AD237" s="6">
        <f>IF(F237="","",IF((IF(AND(Y237=0,NOT(SUMPRODUCT(--ISNUMBER(SEARCH({"棚板","棚","アングル","ｱﾝｸﾞﾙ","使用不可","ケーブル","ｹｰﾌﾞﾙ","PatchPnael","パッチ","引き出し","引出","ブランク","ﾌﾞﾗﾝｸ","マネージ","ﾏﾈｰｼﾞ","PDU","ONU"},$F237&amp;"")))&gt;0),NOT(SUMPRODUCT(--ISNUMBER(SEARCH({"電源オフ","未投入","停止","未使用","撤去"},$X237&amp;"")))&gt;0)),"／電力が未記入","")&amp;IF(AND(NOT(ISNUMBER(J237)),NOT(SUMPRODUCT(--ISNUMBER(SEARCH({"棚板","棚","アングル","ｱﾝｸﾞﾙ","使用不可","ケーブル","ｹｰﾌﾞﾙ","PatchPnael","パッチ","引き出し","引出","ブランク","ﾌﾞﾗﾝｸ","マネージ","ﾏﾈｰｼﾞ","PDU","ONU"},$F237&amp;"")))&gt;0)),"／重量が未記入","")&amp;IF(AND(K237&lt;&gt;"",NOT(ISNUMBER(K237))),"／電圧が数値でない","")&amp;IF(AND(N237&lt;&gt;"",NOT(ISNUMBER(N237))),"／電流が数値でない","")&amp;IF(AND(C237&lt;&gt;"",C237&lt;1),"／開始Uが1未満","")&amp;IF(AND(E237&lt;&gt;"",E237&gt;IFERROR(VLOOKUP(A237,ラック定義!$A:$B,2,FALSE),47)),"／総Uをはみ出す","")&amp;IF(AND(A237&lt;&gt;"",COUNTIF(ラック定義!$A:$A,A237)=0),"／ラックが定義にない","")&amp;IF(AND(SUMPRODUCT((機器台帳!$A$2:$A$400=$A237)*((機器台帳!$B$2:$B$400=$B237)+(機器台帳!$B$2:$B$400="両面")+($B237="両面")&gt;0)*(機器台帳!$C$2:$C$400&lt;=$C237+$D237-1)*(機器台帳!$C$2:$C$400+機器台帳!$D$2:$D$400-1&gt;=$C237)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237&amp;"")))&gt;0)),"／同じUに他の機器(横並びなら正常)","")&amp;IF(AND(M237&lt;&gt;"",COUNTIFS(回路定義!$A:$A,A237,回路定義!$B:$B,M237)=0),"／回路1が定義にない","")&amp;IF(AND(P237&lt;&gt;"",COUNTIFS(回路定義!$A:$A,A237,回路定義!$B:$B,P237)=0),"／回路2が定義にない","")&amp;IF(AND(S237&lt;&gt;"",COUNTIFS(回路定義!$A:$A,A237,回路定義!$B:$B,S237)=0),"／回路3が定義にない",""))="","",MID(IF(AND(Y237=0,NOT(SUMPRODUCT(--ISNUMBER(SEARCH({"棚板","棚","アングル","ｱﾝｸﾞﾙ","使用不可","ケーブル","ｹｰﾌﾞﾙ","PatchPnael","パッチ","引き出し","引出","ブランク","ﾌﾞﾗﾝｸ","マネージ","ﾏﾈｰｼﾞ","PDU","ONU"},$F237&amp;"")))&gt;0),NOT(SUMPRODUCT(--ISNUMBER(SEARCH({"電源オフ","未投入","停止","未使用","撤去"},$X237&amp;"")))&gt;0)),"／電力が未記入","")&amp;IF(AND(NOT(ISNUMBER(J237)),NOT(SUMPRODUCT(--ISNUMBER(SEARCH({"棚板","棚","アングル","ｱﾝｸﾞﾙ","使用不可","ケーブル","ｹｰﾌﾞﾙ","PatchPnael","パッチ","引き出し","引出","ブランク","ﾌﾞﾗﾝｸ","マネージ","ﾏﾈｰｼﾞ","PDU","ONU"},$F237&amp;"")))&gt;0)),"／重量が未記入","")&amp;IF(AND(K237&lt;&gt;"",NOT(ISNUMBER(K237))),"／電圧が数値でない","")&amp;IF(AND(N237&lt;&gt;"",NOT(ISNUMBER(N237))),"／電流が数値でない","")&amp;IF(AND(C237&lt;&gt;"",C237&lt;1),"／開始Uが1未満","")&amp;IF(AND(E237&lt;&gt;"",E237&gt;IFERROR(VLOOKUP(A237,ラック定義!$A:$B,2,FALSE),47)),"／総Uをはみ出す","")&amp;IF(AND(A237&lt;&gt;"",COUNTIF(ラック定義!$A:$A,A237)=0),"／ラックが定義にない","")&amp;IF(AND(SUMPRODUCT((機器台帳!$A$2:$A$400=$A237)*((機器台帳!$B$2:$B$400=$B237)+(機器台帳!$B$2:$B$400="両面")+($B237="両面")&gt;0)*(機器台帳!$C$2:$C$400&lt;=$C237+$D237-1)*(機器台帳!$C$2:$C$400+機器台帳!$D$2:$D$400-1&gt;=$C237)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237&amp;"")))&gt;0)),"／同じUに他の機器(横並びなら正常)","")&amp;IF(AND(M237&lt;&gt;"",COUNTIFS(回路定義!$A:$A,A237,回路定義!$B:$B,M237)=0),"／回路1が定義にない","")&amp;IF(AND(P237&lt;&gt;"",COUNTIFS(回路定義!$A:$A,A237,回路定義!$B:$B,P237)=0),"／回路2が定義にない","")&amp;IF(AND(S237&lt;&gt;"",COUNTIFS(回路定義!$A:$A,A237,回路定義!$B:$B,S237)=0),"／回路3が定義にない",""),2,300)))</f>
        <v/>
      </c>
    </row>
    <row r="238">
      <c r="A238" s="5" t="n"/>
      <c r="B238" s="5" t="n"/>
      <c r="C238" s="5" t="n"/>
      <c r="D238" s="5" t="n"/>
      <c r="E238" s="6">
        <f>IF(C238="","",C238+D238-1)</f>
        <v/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6">
        <f>COUNT(N238,Q238,T238)</f>
        <v/>
      </c>
      <c r="Z238" s="6">
        <f>IF(OR(K238="",NOT(ISNUMBER(K238))),"",K238*SUM(N238,Q238,T238))</f>
        <v/>
      </c>
      <c r="AA238" s="6">
        <f>IF(OR(Y238=0,N238=""),"",N238/Y238)</f>
        <v/>
      </c>
      <c r="AB238" s="6">
        <f>IF(OR(Y238=0,Q238=""),"",Q238/Y238)</f>
        <v/>
      </c>
      <c r="AC238" s="6">
        <f>IF(OR(Y238=0,T238=""),"",T238/Y238)</f>
        <v/>
      </c>
      <c r="AD238" s="6">
        <f>IF(F238="","",IF((IF(AND(Y238=0,NOT(SUMPRODUCT(--ISNUMBER(SEARCH({"棚板","棚","アングル","ｱﾝｸﾞﾙ","使用不可","ケーブル","ｹｰﾌﾞﾙ","PatchPnael","パッチ","引き出し","引出","ブランク","ﾌﾞﾗﾝｸ","マネージ","ﾏﾈｰｼﾞ","PDU","ONU"},$F238&amp;"")))&gt;0),NOT(SUMPRODUCT(--ISNUMBER(SEARCH({"電源オフ","未投入","停止","未使用","撤去"},$X238&amp;"")))&gt;0)),"／電力が未記入","")&amp;IF(AND(NOT(ISNUMBER(J238)),NOT(SUMPRODUCT(--ISNUMBER(SEARCH({"棚板","棚","アングル","ｱﾝｸﾞﾙ","使用不可","ケーブル","ｹｰﾌﾞﾙ","PatchPnael","パッチ","引き出し","引出","ブランク","ﾌﾞﾗﾝｸ","マネージ","ﾏﾈｰｼﾞ","PDU","ONU"},$F238&amp;"")))&gt;0)),"／重量が未記入","")&amp;IF(AND(K238&lt;&gt;"",NOT(ISNUMBER(K238))),"／電圧が数値でない","")&amp;IF(AND(N238&lt;&gt;"",NOT(ISNUMBER(N238))),"／電流が数値でない","")&amp;IF(AND(C238&lt;&gt;"",C238&lt;1),"／開始Uが1未満","")&amp;IF(AND(E238&lt;&gt;"",E238&gt;IFERROR(VLOOKUP(A238,ラック定義!$A:$B,2,FALSE),47)),"／総Uをはみ出す","")&amp;IF(AND(A238&lt;&gt;"",COUNTIF(ラック定義!$A:$A,A238)=0),"／ラックが定義にない","")&amp;IF(AND(SUMPRODUCT((機器台帳!$A$2:$A$400=$A238)*((機器台帳!$B$2:$B$400=$B238)+(機器台帳!$B$2:$B$400="両面")+($B238="両面")&gt;0)*(機器台帳!$C$2:$C$400&lt;=$C238+$D238-1)*(機器台帳!$C$2:$C$400+機器台帳!$D$2:$D$400-1&gt;=$C238)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238&amp;"")))&gt;0)),"／同じUに他の機器(横並びなら正常)","")&amp;IF(AND(M238&lt;&gt;"",COUNTIFS(回路定義!$A:$A,A238,回路定義!$B:$B,M238)=0),"／回路1が定義にない","")&amp;IF(AND(P238&lt;&gt;"",COUNTIFS(回路定義!$A:$A,A238,回路定義!$B:$B,P238)=0),"／回路2が定義にない","")&amp;IF(AND(S238&lt;&gt;"",COUNTIFS(回路定義!$A:$A,A238,回路定義!$B:$B,S238)=0),"／回路3が定義にない",""))="","",MID(IF(AND(Y238=0,NOT(SUMPRODUCT(--ISNUMBER(SEARCH({"棚板","棚","アングル","ｱﾝｸﾞﾙ","使用不可","ケーブル","ｹｰﾌﾞﾙ","PatchPnael","パッチ","引き出し","引出","ブランク","ﾌﾞﾗﾝｸ","マネージ","ﾏﾈｰｼﾞ","PDU","ONU"},$F238&amp;"")))&gt;0),NOT(SUMPRODUCT(--ISNUMBER(SEARCH({"電源オフ","未投入","停止","未使用","撤去"},$X238&amp;"")))&gt;0)),"／電力が未記入","")&amp;IF(AND(NOT(ISNUMBER(J238)),NOT(SUMPRODUCT(--ISNUMBER(SEARCH({"棚板","棚","アングル","ｱﾝｸﾞﾙ","使用不可","ケーブル","ｹｰﾌﾞﾙ","PatchPnael","パッチ","引き出し","引出","ブランク","ﾌﾞﾗﾝｸ","マネージ","ﾏﾈｰｼﾞ","PDU","ONU"},$F238&amp;"")))&gt;0)),"／重量が未記入","")&amp;IF(AND(K238&lt;&gt;"",NOT(ISNUMBER(K238))),"／電圧が数値でない","")&amp;IF(AND(N238&lt;&gt;"",NOT(ISNUMBER(N238))),"／電流が数値でない","")&amp;IF(AND(C238&lt;&gt;"",C238&lt;1),"／開始Uが1未満","")&amp;IF(AND(E238&lt;&gt;"",E238&gt;IFERROR(VLOOKUP(A238,ラック定義!$A:$B,2,FALSE),47)),"／総Uをはみ出す","")&amp;IF(AND(A238&lt;&gt;"",COUNTIF(ラック定義!$A:$A,A238)=0),"／ラックが定義にない","")&amp;IF(AND(SUMPRODUCT((機器台帳!$A$2:$A$400=$A238)*((機器台帳!$B$2:$B$400=$B238)+(機器台帳!$B$2:$B$400="両面")+($B238="両面")&gt;0)*(機器台帳!$C$2:$C$400&lt;=$C238+$D238-1)*(機器台帳!$C$2:$C$400+機器台帳!$D$2:$D$400-1&gt;=$C238)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238&amp;"")))&gt;0)),"／同じUに他の機器(横並びなら正常)","")&amp;IF(AND(M238&lt;&gt;"",COUNTIFS(回路定義!$A:$A,A238,回路定義!$B:$B,M238)=0),"／回路1が定義にない","")&amp;IF(AND(P238&lt;&gt;"",COUNTIFS(回路定義!$A:$A,A238,回路定義!$B:$B,P238)=0),"／回路2が定義にない","")&amp;IF(AND(S238&lt;&gt;"",COUNTIFS(回路定義!$A:$A,A238,回路定義!$B:$B,S238)=0),"／回路3が定義にない",""),2,300)))</f>
        <v/>
      </c>
    </row>
    <row r="239">
      <c r="A239" s="5" t="n"/>
      <c r="B239" s="5" t="n"/>
      <c r="C239" s="5" t="n"/>
      <c r="D239" s="5" t="n"/>
      <c r="E239" s="6">
        <f>IF(C239="","",C239+D239-1)</f>
        <v/>
      </c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6">
        <f>COUNT(N239,Q239,T239)</f>
        <v/>
      </c>
      <c r="Z239" s="6">
        <f>IF(OR(K239="",NOT(ISNUMBER(K239))),"",K239*SUM(N239,Q239,T239))</f>
        <v/>
      </c>
      <c r="AA239" s="6">
        <f>IF(OR(Y239=0,N239=""),"",N239/Y239)</f>
        <v/>
      </c>
      <c r="AB239" s="6">
        <f>IF(OR(Y239=0,Q239=""),"",Q239/Y239)</f>
        <v/>
      </c>
      <c r="AC239" s="6">
        <f>IF(OR(Y239=0,T239=""),"",T239/Y239)</f>
        <v/>
      </c>
      <c r="AD239" s="6">
        <f>IF(F239="","",IF((IF(AND(Y239=0,NOT(SUMPRODUCT(--ISNUMBER(SEARCH({"棚板","棚","アングル","ｱﾝｸﾞﾙ","使用不可","ケーブル","ｹｰﾌﾞﾙ","PatchPnael","パッチ","引き出し","引出","ブランク","ﾌﾞﾗﾝｸ","マネージ","ﾏﾈｰｼﾞ","PDU","ONU"},$F239&amp;"")))&gt;0),NOT(SUMPRODUCT(--ISNUMBER(SEARCH({"電源オフ","未投入","停止","未使用","撤去"},$X239&amp;"")))&gt;0)),"／電力が未記入","")&amp;IF(AND(NOT(ISNUMBER(J239)),NOT(SUMPRODUCT(--ISNUMBER(SEARCH({"棚板","棚","アングル","ｱﾝｸﾞﾙ","使用不可","ケーブル","ｹｰﾌﾞﾙ","PatchPnael","パッチ","引き出し","引出","ブランク","ﾌﾞﾗﾝｸ","マネージ","ﾏﾈｰｼﾞ","PDU","ONU"},$F239&amp;"")))&gt;0)),"／重量が未記入","")&amp;IF(AND(K239&lt;&gt;"",NOT(ISNUMBER(K239))),"／電圧が数値でない","")&amp;IF(AND(N239&lt;&gt;"",NOT(ISNUMBER(N239))),"／電流が数値でない","")&amp;IF(AND(C239&lt;&gt;"",C239&lt;1),"／開始Uが1未満","")&amp;IF(AND(E239&lt;&gt;"",E239&gt;IFERROR(VLOOKUP(A239,ラック定義!$A:$B,2,FALSE),47)),"／総Uをはみ出す","")&amp;IF(AND(A239&lt;&gt;"",COUNTIF(ラック定義!$A:$A,A239)=0),"／ラックが定義にない","")&amp;IF(AND(SUMPRODUCT((機器台帳!$A$2:$A$400=$A239)*((機器台帳!$B$2:$B$400=$B239)+(機器台帳!$B$2:$B$400="両面")+($B239="両面")&gt;0)*(機器台帳!$C$2:$C$400&lt;=$C239+$D239-1)*(機器台帳!$C$2:$C$400+機器台帳!$D$2:$D$400-1&gt;=$C239)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239&amp;"")))&gt;0)),"／同じUに他の機器(横並びなら正常)","")&amp;IF(AND(M239&lt;&gt;"",COUNTIFS(回路定義!$A:$A,A239,回路定義!$B:$B,M239)=0),"／回路1が定義にない","")&amp;IF(AND(P239&lt;&gt;"",COUNTIFS(回路定義!$A:$A,A239,回路定義!$B:$B,P239)=0),"／回路2が定義にない","")&amp;IF(AND(S239&lt;&gt;"",COUNTIFS(回路定義!$A:$A,A239,回路定義!$B:$B,S239)=0),"／回路3が定義にない",""))="","",MID(IF(AND(Y239=0,NOT(SUMPRODUCT(--ISNUMBER(SEARCH({"棚板","棚","アングル","ｱﾝｸﾞﾙ","使用不可","ケーブル","ｹｰﾌﾞﾙ","PatchPnael","パッチ","引き出し","引出","ブランク","ﾌﾞﾗﾝｸ","マネージ","ﾏﾈｰｼﾞ","PDU","ONU"},$F239&amp;"")))&gt;0),NOT(SUMPRODUCT(--ISNUMBER(SEARCH({"電源オフ","未投入","停止","未使用","撤去"},$X239&amp;"")))&gt;0)),"／電力が未記入","")&amp;IF(AND(NOT(ISNUMBER(J239)),NOT(SUMPRODUCT(--ISNUMBER(SEARCH({"棚板","棚","アングル","ｱﾝｸﾞﾙ","使用不可","ケーブル","ｹｰﾌﾞﾙ","PatchPnael","パッチ","引き出し","引出","ブランク","ﾌﾞﾗﾝｸ","マネージ","ﾏﾈｰｼﾞ","PDU","ONU"},$F239&amp;"")))&gt;0)),"／重量が未記入","")&amp;IF(AND(K239&lt;&gt;"",NOT(ISNUMBER(K239))),"／電圧が数値でない","")&amp;IF(AND(N239&lt;&gt;"",NOT(ISNUMBER(N239))),"／電流が数値でない","")&amp;IF(AND(C239&lt;&gt;"",C239&lt;1),"／開始Uが1未満","")&amp;IF(AND(E239&lt;&gt;"",E239&gt;IFERROR(VLOOKUP(A239,ラック定義!$A:$B,2,FALSE),47)),"／総Uをはみ出す","")&amp;IF(AND(A239&lt;&gt;"",COUNTIF(ラック定義!$A:$A,A239)=0),"／ラックが定義にない","")&amp;IF(AND(SUMPRODUCT((機器台帳!$A$2:$A$400=$A239)*((機器台帳!$B$2:$B$400=$B239)+(機器台帳!$B$2:$B$400="両面")+($B239="両面")&gt;0)*(機器台帳!$C$2:$C$400&lt;=$C239+$D239-1)*(機器台帳!$C$2:$C$400+機器台帳!$D$2:$D$400-1&gt;=$C239)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239&amp;"")))&gt;0)),"／同じUに他の機器(横並びなら正常)","")&amp;IF(AND(M239&lt;&gt;"",COUNTIFS(回路定義!$A:$A,A239,回路定義!$B:$B,M239)=0),"／回路1が定義にない","")&amp;IF(AND(P239&lt;&gt;"",COUNTIFS(回路定義!$A:$A,A239,回路定義!$B:$B,P239)=0),"／回路2が定義にない","")&amp;IF(AND(S239&lt;&gt;"",COUNTIFS(回路定義!$A:$A,A239,回路定義!$B:$B,S239)=0),"／回路3が定義にない",""),2,300)))</f>
        <v/>
      </c>
    </row>
    <row r="240">
      <c r="A240" s="5" t="n"/>
      <c r="B240" s="5" t="n"/>
      <c r="C240" s="5" t="n"/>
      <c r="D240" s="5" t="n"/>
      <c r="E240" s="6">
        <f>IF(C240="","",C240+D240-1)</f>
        <v/>
      </c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6">
        <f>COUNT(N240,Q240,T240)</f>
        <v/>
      </c>
      <c r="Z240" s="6">
        <f>IF(OR(K240="",NOT(ISNUMBER(K240))),"",K240*SUM(N240,Q240,T240))</f>
        <v/>
      </c>
      <c r="AA240" s="6">
        <f>IF(OR(Y240=0,N240=""),"",N240/Y240)</f>
        <v/>
      </c>
      <c r="AB240" s="6">
        <f>IF(OR(Y240=0,Q240=""),"",Q240/Y240)</f>
        <v/>
      </c>
      <c r="AC240" s="6">
        <f>IF(OR(Y240=0,T240=""),"",T240/Y240)</f>
        <v/>
      </c>
      <c r="AD240" s="6">
        <f>IF(F240="","",IF((IF(AND(Y240=0,NOT(SUMPRODUCT(--ISNUMBER(SEARCH({"棚板","棚","アングル","ｱﾝｸﾞﾙ","使用不可","ケーブル","ｹｰﾌﾞﾙ","PatchPnael","パッチ","引き出し","引出","ブランク","ﾌﾞﾗﾝｸ","マネージ","ﾏﾈｰｼﾞ","PDU","ONU"},$F240&amp;"")))&gt;0),NOT(SUMPRODUCT(--ISNUMBER(SEARCH({"電源オフ","未投入","停止","未使用","撤去"},$X240&amp;"")))&gt;0)),"／電力が未記入","")&amp;IF(AND(NOT(ISNUMBER(J240)),NOT(SUMPRODUCT(--ISNUMBER(SEARCH({"棚板","棚","アングル","ｱﾝｸﾞﾙ","使用不可","ケーブル","ｹｰﾌﾞﾙ","PatchPnael","パッチ","引き出し","引出","ブランク","ﾌﾞﾗﾝｸ","マネージ","ﾏﾈｰｼﾞ","PDU","ONU"},$F240&amp;"")))&gt;0)),"／重量が未記入","")&amp;IF(AND(K240&lt;&gt;"",NOT(ISNUMBER(K240))),"／電圧が数値でない","")&amp;IF(AND(N240&lt;&gt;"",NOT(ISNUMBER(N240))),"／電流が数値でない","")&amp;IF(AND(C240&lt;&gt;"",C240&lt;1),"／開始Uが1未満","")&amp;IF(AND(E240&lt;&gt;"",E240&gt;IFERROR(VLOOKUP(A240,ラック定義!$A:$B,2,FALSE),47)),"／総Uをはみ出す","")&amp;IF(AND(A240&lt;&gt;"",COUNTIF(ラック定義!$A:$A,A240)=0),"／ラックが定義にない","")&amp;IF(AND(SUMPRODUCT((機器台帳!$A$2:$A$400=$A240)*((機器台帳!$B$2:$B$400=$B240)+(機器台帳!$B$2:$B$400="両面")+($B240="両面")&gt;0)*(機器台帳!$C$2:$C$400&lt;=$C240+$D240-1)*(機器台帳!$C$2:$C$400+機器台帳!$D$2:$D$400-1&gt;=$C240)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240&amp;"")))&gt;0)),"／同じUに他の機器(横並びなら正常)","")&amp;IF(AND(M240&lt;&gt;"",COUNTIFS(回路定義!$A:$A,A240,回路定義!$B:$B,M240)=0),"／回路1が定義にない","")&amp;IF(AND(P240&lt;&gt;"",COUNTIFS(回路定義!$A:$A,A240,回路定義!$B:$B,P240)=0),"／回路2が定義にない","")&amp;IF(AND(S240&lt;&gt;"",COUNTIFS(回路定義!$A:$A,A240,回路定義!$B:$B,S240)=0),"／回路3が定義にない",""))="","",MID(IF(AND(Y240=0,NOT(SUMPRODUCT(--ISNUMBER(SEARCH({"棚板","棚","アングル","ｱﾝｸﾞﾙ","使用不可","ケーブル","ｹｰﾌﾞﾙ","PatchPnael","パッチ","引き出し","引出","ブランク","ﾌﾞﾗﾝｸ","マネージ","ﾏﾈｰｼﾞ","PDU","ONU"},$F240&amp;"")))&gt;0),NOT(SUMPRODUCT(--ISNUMBER(SEARCH({"電源オフ","未投入","停止","未使用","撤去"},$X240&amp;"")))&gt;0)),"／電力が未記入","")&amp;IF(AND(NOT(ISNUMBER(J240)),NOT(SUMPRODUCT(--ISNUMBER(SEARCH({"棚板","棚","アングル","ｱﾝｸﾞﾙ","使用不可","ケーブル","ｹｰﾌﾞﾙ","PatchPnael","パッチ","引き出し","引出","ブランク","ﾌﾞﾗﾝｸ","マネージ","ﾏﾈｰｼﾞ","PDU","ONU"},$F240&amp;"")))&gt;0)),"／重量が未記入","")&amp;IF(AND(K240&lt;&gt;"",NOT(ISNUMBER(K240))),"／電圧が数値でない","")&amp;IF(AND(N240&lt;&gt;"",NOT(ISNUMBER(N240))),"／電流が数値でない","")&amp;IF(AND(C240&lt;&gt;"",C240&lt;1),"／開始Uが1未満","")&amp;IF(AND(E240&lt;&gt;"",E240&gt;IFERROR(VLOOKUP(A240,ラック定義!$A:$B,2,FALSE),47)),"／総Uをはみ出す","")&amp;IF(AND(A240&lt;&gt;"",COUNTIF(ラック定義!$A:$A,A240)=0),"／ラックが定義にない","")&amp;IF(AND(SUMPRODUCT((機器台帳!$A$2:$A$400=$A240)*((機器台帳!$B$2:$B$400=$B240)+(機器台帳!$B$2:$B$400="両面")+($B240="両面")&gt;0)*(機器台帳!$C$2:$C$400&lt;=$C240+$D240-1)*(機器台帳!$C$2:$C$400+機器台帳!$D$2:$D$400-1&gt;=$C240)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240&amp;"")))&gt;0)),"／同じUに他の機器(横並びなら正常)","")&amp;IF(AND(M240&lt;&gt;"",COUNTIFS(回路定義!$A:$A,A240,回路定義!$B:$B,M240)=0),"／回路1が定義にない","")&amp;IF(AND(P240&lt;&gt;"",COUNTIFS(回路定義!$A:$A,A240,回路定義!$B:$B,P240)=0),"／回路2が定義にない","")&amp;IF(AND(S240&lt;&gt;"",COUNTIFS(回路定義!$A:$A,A240,回路定義!$B:$B,S240)=0),"／回路3が定義にない",""),2,300)))</f>
        <v/>
      </c>
    </row>
    <row r="241">
      <c r="A241" s="5" t="n"/>
      <c r="B241" s="5" t="n"/>
      <c r="C241" s="5" t="n"/>
      <c r="D241" s="5" t="n"/>
      <c r="E241" s="6">
        <f>IF(C241="","",C241+D241-1)</f>
        <v/>
      </c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6">
        <f>COUNT(N241,Q241,T241)</f>
        <v/>
      </c>
      <c r="Z241" s="6">
        <f>IF(OR(K241="",NOT(ISNUMBER(K241))),"",K241*SUM(N241,Q241,T241))</f>
        <v/>
      </c>
      <c r="AA241" s="6">
        <f>IF(OR(Y241=0,N241=""),"",N241/Y241)</f>
        <v/>
      </c>
      <c r="AB241" s="6">
        <f>IF(OR(Y241=0,Q241=""),"",Q241/Y241)</f>
        <v/>
      </c>
      <c r="AC241" s="6">
        <f>IF(OR(Y241=0,T241=""),"",T241/Y241)</f>
        <v/>
      </c>
      <c r="AD241" s="6">
        <f>IF(F241="","",IF((IF(AND(Y241=0,NOT(SUMPRODUCT(--ISNUMBER(SEARCH({"棚板","棚","アングル","ｱﾝｸﾞﾙ","使用不可","ケーブル","ｹｰﾌﾞﾙ","PatchPnael","パッチ","引き出し","引出","ブランク","ﾌﾞﾗﾝｸ","マネージ","ﾏﾈｰｼﾞ","PDU","ONU"},$F241&amp;"")))&gt;0),NOT(SUMPRODUCT(--ISNUMBER(SEARCH({"電源オフ","未投入","停止","未使用","撤去"},$X241&amp;"")))&gt;0)),"／電力が未記入","")&amp;IF(AND(NOT(ISNUMBER(J241)),NOT(SUMPRODUCT(--ISNUMBER(SEARCH({"棚板","棚","アングル","ｱﾝｸﾞﾙ","使用不可","ケーブル","ｹｰﾌﾞﾙ","PatchPnael","パッチ","引き出し","引出","ブランク","ﾌﾞﾗﾝｸ","マネージ","ﾏﾈｰｼﾞ","PDU","ONU"},$F241&amp;"")))&gt;0)),"／重量が未記入","")&amp;IF(AND(K241&lt;&gt;"",NOT(ISNUMBER(K241))),"／電圧が数値でない","")&amp;IF(AND(N241&lt;&gt;"",NOT(ISNUMBER(N241))),"／電流が数値でない","")&amp;IF(AND(C241&lt;&gt;"",C241&lt;1),"／開始Uが1未満","")&amp;IF(AND(E241&lt;&gt;"",E241&gt;IFERROR(VLOOKUP(A241,ラック定義!$A:$B,2,FALSE),47)),"／総Uをはみ出す","")&amp;IF(AND(A241&lt;&gt;"",COUNTIF(ラック定義!$A:$A,A241)=0),"／ラックが定義にない","")&amp;IF(AND(SUMPRODUCT((機器台帳!$A$2:$A$400=$A241)*((機器台帳!$B$2:$B$400=$B241)+(機器台帳!$B$2:$B$400="両面")+($B241="両面")&gt;0)*(機器台帳!$C$2:$C$400&lt;=$C241+$D241-1)*(機器台帳!$C$2:$C$400+機器台帳!$D$2:$D$400-1&gt;=$C241)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241&amp;"")))&gt;0)),"／同じUに他の機器(横並びなら正常)","")&amp;IF(AND(M241&lt;&gt;"",COUNTIFS(回路定義!$A:$A,A241,回路定義!$B:$B,M241)=0),"／回路1が定義にない","")&amp;IF(AND(P241&lt;&gt;"",COUNTIFS(回路定義!$A:$A,A241,回路定義!$B:$B,P241)=0),"／回路2が定義にない","")&amp;IF(AND(S241&lt;&gt;"",COUNTIFS(回路定義!$A:$A,A241,回路定義!$B:$B,S241)=0),"／回路3が定義にない",""))="","",MID(IF(AND(Y241=0,NOT(SUMPRODUCT(--ISNUMBER(SEARCH({"棚板","棚","アングル","ｱﾝｸﾞﾙ","使用不可","ケーブル","ｹｰﾌﾞﾙ","PatchPnael","パッチ","引き出し","引出","ブランク","ﾌﾞﾗﾝｸ","マネージ","ﾏﾈｰｼﾞ","PDU","ONU"},$F241&amp;"")))&gt;0),NOT(SUMPRODUCT(--ISNUMBER(SEARCH({"電源オフ","未投入","停止","未使用","撤去"},$X241&amp;"")))&gt;0)),"／電力が未記入","")&amp;IF(AND(NOT(ISNUMBER(J241)),NOT(SUMPRODUCT(--ISNUMBER(SEARCH({"棚板","棚","アングル","ｱﾝｸﾞﾙ","使用不可","ケーブル","ｹｰﾌﾞﾙ","PatchPnael","パッチ","引き出し","引出","ブランク","ﾌﾞﾗﾝｸ","マネージ","ﾏﾈｰｼﾞ","PDU","ONU"},$F241&amp;"")))&gt;0)),"／重量が未記入","")&amp;IF(AND(K241&lt;&gt;"",NOT(ISNUMBER(K241))),"／電圧が数値でない","")&amp;IF(AND(N241&lt;&gt;"",NOT(ISNUMBER(N241))),"／電流が数値でない","")&amp;IF(AND(C241&lt;&gt;"",C241&lt;1),"／開始Uが1未満","")&amp;IF(AND(E241&lt;&gt;"",E241&gt;IFERROR(VLOOKUP(A241,ラック定義!$A:$B,2,FALSE),47)),"／総Uをはみ出す","")&amp;IF(AND(A241&lt;&gt;"",COUNTIF(ラック定義!$A:$A,A241)=0),"／ラックが定義にない","")&amp;IF(AND(SUMPRODUCT((機器台帳!$A$2:$A$400=$A241)*((機器台帳!$B$2:$B$400=$B241)+(機器台帳!$B$2:$B$400="両面")+($B241="両面")&gt;0)*(機器台帳!$C$2:$C$400&lt;=$C241+$D241-1)*(機器台帳!$C$2:$C$400+機器台帳!$D$2:$D$400-1&gt;=$C241)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241&amp;"")))&gt;0)),"／同じUに他の機器(横並びなら正常)","")&amp;IF(AND(M241&lt;&gt;"",COUNTIFS(回路定義!$A:$A,A241,回路定義!$B:$B,M241)=0),"／回路1が定義にない","")&amp;IF(AND(P241&lt;&gt;"",COUNTIFS(回路定義!$A:$A,A241,回路定義!$B:$B,P241)=0),"／回路2が定義にない","")&amp;IF(AND(S241&lt;&gt;"",COUNTIFS(回路定義!$A:$A,A241,回路定義!$B:$B,S241)=0),"／回路3が定義にない",""),2,300)))</f>
        <v/>
      </c>
    </row>
    <row r="242">
      <c r="A242" s="5" t="n"/>
      <c r="B242" s="5" t="n"/>
      <c r="C242" s="5" t="n"/>
      <c r="D242" s="5" t="n"/>
      <c r="E242" s="6">
        <f>IF(C242="","",C242+D242-1)</f>
        <v/>
      </c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6">
        <f>COUNT(N242,Q242,T242)</f>
        <v/>
      </c>
      <c r="Z242" s="6">
        <f>IF(OR(K242="",NOT(ISNUMBER(K242))),"",K242*SUM(N242,Q242,T242))</f>
        <v/>
      </c>
      <c r="AA242" s="6">
        <f>IF(OR(Y242=0,N242=""),"",N242/Y242)</f>
        <v/>
      </c>
      <c r="AB242" s="6">
        <f>IF(OR(Y242=0,Q242=""),"",Q242/Y242)</f>
        <v/>
      </c>
      <c r="AC242" s="6">
        <f>IF(OR(Y242=0,T242=""),"",T242/Y242)</f>
        <v/>
      </c>
      <c r="AD242" s="6">
        <f>IF(F242="","",IF((IF(AND(Y242=0,NOT(SUMPRODUCT(--ISNUMBER(SEARCH({"棚板","棚","アングル","ｱﾝｸﾞﾙ","使用不可","ケーブル","ｹｰﾌﾞﾙ","PatchPnael","パッチ","引き出し","引出","ブランク","ﾌﾞﾗﾝｸ","マネージ","ﾏﾈｰｼﾞ","PDU","ONU"},$F242&amp;"")))&gt;0),NOT(SUMPRODUCT(--ISNUMBER(SEARCH({"電源オフ","未投入","停止","未使用","撤去"},$X242&amp;"")))&gt;0)),"／電力が未記入","")&amp;IF(AND(NOT(ISNUMBER(J242)),NOT(SUMPRODUCT(--ISNUMBER(SEARCH({"棚板","棚","アングル","ｱﾝｸﾞﾙ","使用不可","ケーブル","ｹｰﾌﾞﾙ","PatchPnael","パッチ","引き出し","引出","ブランク","ﾌﾞﾗﾝｸ","マネージ","ﾏﾈｰｼﾞ","PDU","ONU"},$F242&amp;"")))&gt;0)),"／重量が未記入","")&amp;IF(AND(K242&lt;&gt;"",NOT(ISNUMBER(K242))),"／電圧が数値でない","")&amp;IF(AND(N242&lt;&gt;"",NOT(ISNUMBER(N242))),"／電流が数値でない","")&amp;IF(AND(C242&lt;&gt;"",C242&lt;1),"／開始Uが1未満","")&amp;IF(AND(E242&lt;&gt;"",E242&gt;IFERROR(VLOOKUP(A242,ラック定義!$A:$B,2,FALSE),47)),"／総Uをはみ出す","")&amp;IF(AND(A242&lt;&gt;"",COUNTIF(ラック定義!$A:$A,A242)=0),"／ラックが定義にない","")&amp;IF(AND(SUMPRODUCT((機器台帳!$A$2:$A$400=$A242)*((機器台帳!$B$2:$B$400=$B242)+(機器台帳!$B$2:$B$400="両面")+($B242="両面")&gt;0)*(機器台帳!$C$2:$C$400&lt;=$C242+$D242-1)*(機器台帳!$C$2:$C$400+機器台帳!$D$2:$D$400-1&gt;=$C242)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242&amp;"")))&gt;0)),"／同じUに他の機器(横並びなら正常)","")&amp;IF(AND(M242&lt;&gt;"",COUNTIFS(回路定義!$A:$A,A242,回路定義!$B:$B,M242)=0),"／回路1が定義にない","")&amp;IF(AND(P242&lt;&gt;"",COUNTIFS(回路定義!$A:$A,A242,回路定義!$B:$B,P242)=0),"／回路2が定義にない","")&amp;IF(AND(S242&lt;&gt;"",COUNTIFS(回路定義!$A:$A,A242,回路定義!$B:$B,S242)=0),"／回路3が定義にない",""))="","",MID(IF(AND(Y242=0,NOT(SUMPRODUCT(--ISNUMBER(SEARCH({"棚板","棚","アングル","ｱﾝｸﾞﾙ","使用不可","ケーブル","ｹｰﾌﾞﾙ","PatchPnael","パッチ","引き出し","引出","ブランク","ﾌﾞﾗﾝｸ","マネージ","ﾏﾈｰｼﾞ","PDU","ONU"},$F242&amp;"")))&gt;0),NOT(SUMPRODUCT(--ISNUMBER(SEARCH({"電源オフ","未投入","停止","未使用","撤去"},$X242&amp;"")))&gt;0)),"／電力が未記入","")&amp;IF(AND(NOT(ISNUMBER(J242)),NOT(SUMPRODUCT(--ISNUMBER(SEARCH({"棚板","棚","アングル","ｱﾝｸﾞﾙ","使用不可","ケーブル","ｹｰﾌﾞﾙ","PatchPnael","パッチ","引き出し","引出","ブランク","ﾌﾞﾗﾝｸ","マネージ","ﾏﾈｰｼﾞ","PDU","ONU"},$F242&amp;"")))&gt;0)),"／重量が未記入","")&amp;IF(AND(K242&lt;&gt;"",NOT(ISNUMBER(K242))),"／電圧が数値でない","")&amp;IF(AND(N242&lt;&gt;"",NOT(ISNUMBER(N242))),"／電流が数値でない","")&amp;IF(AND(C242&lt;&gt;"",C242&lt;1),"／開始Uが1未満","")&amp;IF(AND(E242&lt;&gt;"",E242&gt;IFERROR(VLOOKUP(A242,ラック定義!$A:$B,2,FALSE),47)),"／総Uをはみ出す","")&amp;IF(AND(A242&lt;&gt;"",COUNTIF(ラック定義!$A:$A,A242)=0),"／ラックが定義にない","")&amp;IF(AND(SUMPRODUCT((機器台帳!$A$2:$A$400=$A242)*((機器台帳!$B$2:$B$400=$B242)+(機器台帳!$B$2:$B$400="両面")+($B242="両面")&gt;0)*(機器台帳!$C$2:$C$400&lt;=$C242+$D242-1)*(機器台帳!$C$2:$C$400+機器台帳!$D$2:$D$400-1&gt;=$C242)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242&amp;"")))&gt;0)),"／同じUに他の機器(横並びなら正常)","")&amp;IF(AND(M242&lt;&gt;"",COUNTIFS(回路定義!$A:$A,A242,回路定義!$B:$B,M242)=0),"／回路1が定義にない","")&amp;IF(AND(P242&lt;&gt;"",COUNTIFS(回路定義!$A:$A,A242,回路定義!$B:$B,P242)=0),"／回路2が定義にない","")&amp;IF(AND(S242&lt;&gt;"",COUNTIFS(回路定義!$A:$A,A242,回路定義!$B:$B,S242)=0),"／回路3が定義にない",""),2,300)))</f>
        <v/>
      </c>
    </row>
    <row r="243">
      <c r="A243" s="5" t="n"/>
      <c r="B243" s="5" t="n"/>
      <c r="C243" s="5" t="n"/>
      <c r="D243" s="5" t="n"/>
      <c r="E243" s="6">
        <f>IF(C243="","",C243+D243-1)</f>
        <v/>
      </c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6">
        <f>COUNT(N243,Q243,T243)</f>
        <v/>
      </c>
      <c r="Z243" s="6">
        <f>IF(OR(K243="",NOT(ISNUMBER(K243))),"",K243*SUM(N243,Q243,T243))</f>
        <v/>
      </c>
      <c r="AA243" s="6">
        <f>IF(OR(Y243=0,N243=""),"",N243/Y243)</f>
        <v/>
      </c>
      <c r="AB243" s="6">
        <f>IF(OR(Y243=0,Q243=""),"",Q243/Y243)</f>
        <v/>
      </c>
      <c r="AC243" s="6">
        <f>IF(OR(Y243=0,T243=""),"",T243/Y243)</f>
        <v/>
      </c>
      <c r="AD243" s="6">
        <f>IF(F243="","",IF((IF(AND(Y243=0,NOT(SUMPRODUCT(--ISNUMBER(SEARCH({"棚板","棚","アングル","ｱﾝｸﾞﾙ","使用不可","ケーブル","ｹｰﾌﾞﾙ","PatchPnael","パッチ","引き出し","引出","ブランク","ﾌﾞﾗﾝｸ","マネージ","ﾏﾈｰｼﾞ","PDU","ONU"},$F243&amp;"")))&gt;0),NOT(SUMPRODUCT(--ISNUMBER(SEARCH({"電源オフ","未投入","停止","未使用","撤去"},$X243&amp;"")))&gt;0)),"／電力が未記入","")&amp;IF(AND(NOT(ISNUMBER(J243)),NOT(SUMPRODUCT(--ISNUMBER(SEARCH({"棚板","棚","アングル","ｱﾝｸﾞﾙ","使用不可","ケーブル","ｹｰﾌﾞﾙ","PatchPnael","パッチ","引き出し","引出","ブランク","ﾌﾞﾗﾝｸ","マネージ","ﾏﾈｰｼﾞ","PDU","ONU"},$F243&amp;"")))&gt;0)),"／重量が未記入","")&amp;IF(AND(K243&lt;&gt;"",NOT(ISNUMBER(K243))),"／電圧が数値でない","")&amp;IF(AND(N243&lt;&gt;"",NOT(ISNUMBER(N243))),"／電流が数値でない","")&amp;IF(AND(C243&lt;&gt;"",C243&lt;1),"／開始Uが1未満","")&amp;IF(AND(E243&lt;&gt;"",E243&gt;IFERROR(VLOOKUP(A243,ラック定義!$A:$B,2,FALSE),47)),"／総Uをはみ出す","")&amp;IF(AND(A243&lt;&gt;"",COUNTIF(ラック定義!$A:$A,A243)=0),"／ラックが定義にない","")&amp;IF(AND(SUMPRODUCT((機器台帳!$A$2:$A$400=$A243)*((機器台帳!$B$2:$B$400=$B243)+(機器台帳!$B$2:$B$400="両面")+($B243="両面")&gt;0)*(機器台帳!$C$2:$C$400&lt;=$C243+$D243-1)*(機器台帳!$C$2:$C$400+機器台帳!$D$2:$D$400-1&gt;=$C243)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243&amp;"")))&gt;0)),"／同じUに他の機器(横並びなら正常)","")&amp;IF(AND(M243&lt;&gt;"",COUNTIFS(回路定義!$A:$A,A243,回路定義!$B:$B,M243)=0),"／回路1が定義にない","")&amp;IF(AND(P243&lt;&gt;"",COUNTIFS(回路定義!$A:$A,A243,回路定義!$B:$B,P243)=0),"／回路2が定義にない","")&amp;IF(AND(S243&lt;&gt;"",COUNTIFS(回路定義!$A:$A,A243,回路定義!$B:$B,S243)=0),"／回路3が定義にない",""))="","",MID(IF(AND(Y243=0,NOT(SUMPRODUCT(--ISNUMBER(SEARCH({"棚板","棚","アングル","ｱﾝｸﾞﾙ","使用不可","ケーブル","ｹｰﾌﾞﾙ","PatchPnael","パッチ","引き出し","引出","ブランク","ﾌﾞﾗﾝｸ","マネージ","ﾏﾈｰｼﾞ","PDU","ONU"},$F243&amp;"")))&gt;0),NOT(SUMPRODUCT(--ISNUMBER(SEARCH({"電源オフ","未投入","停止","未使用","撤去"},$X243&amp;"")))&gt;0)),"／電力が未記入","")&amp;IF(AND(NOT(ISNUMBER(J243)),NOT(SUMPRODUCT(--ISNUMBER(SEARCH({"棚板","棚","アングル","ｱﾝｸﾞﾙ","使用不可","ケーブル","ｹｰﾌﾞﾙ","PatchPnael","パッチ","引き出し","引出","ブランク","ﾌﾞﾗﾝｸ","マネージ","ﾏﾈｰｼﾞ","PDU","ONU"},$F243&amp;"")))&gt;0)),"／重量が未記入","")&amp;IF(AND(K243&lt;&gt;"",NOT(ISNUMBER(K243))),"／電圧が数値でない","")&amp;IF(AND(N243&lt;&gt;"",NOT(ISNUMBER(N243))),"／電流が数値でない","")&amp;IF(AND(C243&lt;&gt;"",C243&lt;1),"／開始Uが1未満","")&amp;IF(AND(E243&lt;&gt;"",E243&gt;IFERROR(VLOOKUP(A243,ラック定義!$A:$B,2,FALSE),47)),"／総Uをはみ出す","")&amp;IF(AND(A243&lt;&gt;"",COUNTIF(ラック定義!$A:$A,A243)=0),"／ラックが定義にない","")&amp;IF(AND(SUMPRODUCT((機器台帳!$A$2:$A$400=$A243)*((機器台帳!$B$2:$B$400=$B243)+(機器台帳!$B$2:$B$400="両面")+($B243="両面")&gt;0)*(機器台帳!$C$2:$C$400&lt;=$C243+$D243-1)*(機器台帳!$C$2:$C$400+機器台帳!$D$2:$D$400-1&gt;=$C243)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243&amp;"")))&gt;0)),"／同じUに他の機器(横並びなら正常)","")&amp;IF(AND(M243&lt;&gt;"",COUNTIFS(回路定義!$A:$A,A243,回路定義!$B:$B,M243)=0),"／回路1が定義にない","")&amp;IF(AND(P243&lt;&gt;"",COUNTIFS(回路定義!$A:$A,A243,回路定義!$B:$B,P243)=0),"／回路2が定義にない","")&amp;IF(AND(S243&lt;&gt;"",COUNTIFS(回路定義!$A:$A,A243,回路定義!$B:$B,S243)=0),"／回路3が定義にない",""),2,300)))</f>
        <v/>
      </c>
    </row>
    <row r="244">
      <c r="A244" s="5" t="n"/>
      <c r="B244" s="5" t="n"/>
      <c r="C244" s="5" t="n"/>
      <c r="D244" s="5" t="n"/>
      <c r="E244" s="6">
        <f>IF(C244="","",C244+D244-1)</f>
        <v/>
      </c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6">
        <f>COUNT(N244,Q244,T244)</f>
        <v/>
      </c>
      <c r="Z244" s="6">
        <f>IF(OR(K244="",NOT(ISNUMBER(K244))),"",K244*SUM(N244,Q244,T244))</f>
        <v/>
      </c>
      <c r="AA244" s="6">
        <f>IF(OR(Y244=0,N244=""),"",N244/Y244)</f>
        <v/>
      </c>
      <c r="AB244" s="6">
        <f>IF(OR(Y244=0,Q244=""),"",Q244/Y244)</f>
        <v/>
      </c>
      <c r="AC244" s="6">
        <f>IF(OR(Y244=0,T244=""),"",T244/Y244)</f>
        <v/>
      </c>
      <c r="AD244" s="6">
        <f>IF(F244="","",IF((IF(AND(Y244=0,NOT(SUMPRODUCT(--ISNUMBER(SEARCH({"棚板","棚","アングル","ｱﾝｸﾞﾙ","使用不可","ケーブル","ｹｰﾌﾞﾙ","PatchPnael","パッチ","引き出し","引出","ブランク","ﾌﾞﾗﾝｸ","マネージ","ﾏﾈｰｼﾞ","PDU","ONU"},$F244&amp;"")))&gt;0),NOT(SUMPRODUCT(--ISNUMBER(SEARCH({"電源オフ","未投入","停止","未使用","撤去"},$X244&amp;"")))&gt;0)),"／電力が未記入","")&amp;IF(AND(NOT(ISNUMBER(J244)),NOT(SUMPRODUCT(--ISNUMBER(SEARCH({"棚板","棚","アングル","ｱﾝｸﾞﾙ","使用不可","ケーブル","ｹｰﾌﾞﾙ","PatchPnael","パッチ","引き出し","引出","ブランク","ﾌﾞﾗﾝｸ","マネージ","ﾏﾈｰｼﾞ","PDU","ONU"},$F244&amp;"")))&gt;0)),"／重量が未記入","")&amp;IF(AND(K244&lt;&gt;"",NOT(ISNUMBER(K244))),"／電圧が数値でない","")&amp;IF(AND(N244&lt;&gt;"",NOT(ISNUMBER(N244))),"／電流が数値でない","")&amp;IF(AND(C244&lt;&gt;"",C244&lt;1),"／開始Uが1未満","")&amp;IF(AND(E244&lt;&gt;"",E244&gt;IFERROR(VLOOKUP(A244,ラック定義!$A:$B,2,FALSE),47)),"／総Uをはみ出す","")&amp;IF(AND(A244&lt;&gt;"",COUNTIF(ラック定義!$A:$A,A244)=0),"／ラックが定義にない","")&amp;IF(AND(SUMPRODUCT((機器台帳!$A$2:$A$400=$A244)*((機器台帳!$B$2:$B$400=$B244)+(機器台帳!$B$2:$B$400="両面")+($B244="両面")&gt;0)*(機器台帳!$C$2:$C$400&lt;=$C244+$D244-1)*(機器台帳!$C$2:$C$400+機器台帳!$D$2:$D$400-1&gt;=$C244)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244&amp;"")))&gt;0)),"／同じUに他の機器(横並びなら正常)","")&amp;IF(AND(M244&lt;&gt;"",COUNTIFS(回路定義!$A:$A,A244,回路定義!$B:$B,M244)=0),"／回路1が定義にない","")&amp;IF(AND(P244&lt;&gt;"",COUNTIFS(回路定義!$A:$A,A244,回路定義!$B:$B,P244)=0),"／回路2が定義にない","")&amp;IF(AND(S244&lt;&gt;"",COUNTIFS(回路定義!$A:$A,A244,回路定義!$B:$B,S244)=0),"／回路3が定義にない",""))="","",MID(IF(AND(Y244=0,NOT(SUMPRODUCT(--ISNUMBER(SEARCH({"棚板","棚","アングル","ｱﾝｸﾞﾙ","使用不可","ケーブル","ｹｰﾌﾞﾙ","PatchPnael","パッチ","引き出し","引出","ブランク","ﾌﾞﾗﾝｸ","マネージ","ﾏﾈｰｼﾞ","PDU","ONU"},$F244&amp;"")))&gt;0),NOT(SUMPRODUCT(--ISNUMBER(SEARCH({"電源オフ","未投入","停止","未使用","撤去"},$X244&amp;"")))&gt;0)),"／電力が未記入","")&amp;IF(AND(NOT(ISNUMBER(J244)),NOT(SUMPRODUCT(--ISNUMBER(SEARCH({"棚板","棚","アングル","ｱﾝｸﾞﾙ","使用不可","ケーブル","ｹｰﾌﾞﾙ","PatchPnael","パッチ","引き出し","引出","ブランク","ﾌﾞﾗﾝｸ","マネージ","ﾏﾈｰｼﾞ","PDU","ONU"},$F244&amp;"")))&gt;0)),"／重量が未記入","")&amp;IF(AND(K244&lt;&gt;"",NOT(ISNUMBER(K244))),"／電圧が数値でない","")&amp;IF(AND(N244&lt;&gt;"",NOT(ISNUMBER(N244))),"／電流が数値でない","")&amp;IF(AND(C244&lt;&gt;"",C244&lt;1),"／開始Uが1未満","")&amp;IF(AND(E244&lt;&gt;"",E244&gt;IFERROR(VLOOKUP(A244,ラック定義!$A:$B,2,FALSE),47)),"／総Uをはみ出す","")&amp;IF(AND(A244&lt;&gt;"",COUNTIF(ラック定義!$A:$A,A244)=0),"／ラックが定義にない","")&amp;IF(AND(SUMPRODUCT((機器台帳!$A$2:$A$400=$A244)*((機器台帳!$B$2:$B$400=$B244)+(機器台帳!$B$2:$B$400="両面")+($B244="両面")&gt;0)*(機器台帳!$C$2:$C$400&lt;=$C244+$D244-1)*(機器台帳!$C$2:$C$400+機器台帳!$D$2:$D$400-1&gt;=$C244)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244&amp;"")))&gt;0)),"／同じUに他の機器(横並びなら正常)","")&amp;IF(AND(M244&lt;&gt;"",COUNTIFS(回路定義!$A:$A,A244,回路定義!$B:$B,M244)=0),"／回路1が定義にない","")&amp;IF(AND(P244&lt;&gt;"",COUNTIFS(回路定義!$A:$A,A244,回路定義!$B:$B,P244)=0),"／回路2が定義にない","")&amp;IF(AND(S244&lt;&gt;"",COUNTIFS(回路定義!$A:$A,A244,回路定義!$B:$B,S244)=0),"／回路3が定義にない",""),2,300)))</f>
        <v/>
      </c>
    </row>
    <row r="245">
      <c r="A245" s="5" t="n"/>
      <c r="B245" s="5" t="n"/>
      <c r="C245" s="5" t="n"/>
      <c r="D245" s="5" t="n"/>
      <c r="E245" s="6">
        <f>IF(C245="","",C245+D245-1)</f>
        <v/>
      </c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6">
        <f>COUNT(N245,Q245,T245)</f>
        <v/>
      </c>
      <c r="Z245" s="6">
        <f>IF(OR(K245="",NOT(ISNUMBER(K245))),"",K245*SUM(N245,Q245,T245))</f>
        <v/>
      </c>
      <c r="AA245" s="6">
        <f>IF(OR(Y245=0,N245=""),"",N245/Y245)</f>
        <v/>
      </c>
      <c r="AB245" s="6">
        <f>IF(OR(Y245=0,Q245=""),"",Q245/Y245)</f>
        <v/>
      </c>
      <c r="AC245" s="6">
        <f>IF(OR(Y245=0,T245=""),"",T245/Y245)</f>
        <v/>
      </c>
      <c r="AD245" s="6">
        <f>IF(F245="","",IF((IF(AND(Y245=0,NOT(SUMPRODUCT(--ISNUMBER(SEARCH({"棚板","棚","アングル","ｱﾝｸﾞﾙ","使用不可","ケーブル","ｹｰﾌﾞﾙ","PatchPnael","パッチ","引き出し","引出","ブランク","ﾌﾞﾗﾝｸ","マネージ","ﾏﾈｰｼﾞ","PDU","ONU"},$F245&amp;"")))&gt;0),NOT(SUMPRODUCT(--ISNUMBER(SEARCH({"電源オフ","未投入","停止","未使用","撤去"},$X245&amp;"")))&gt;0)),"／電力が未記入","")&amp;IF(AND(NOT(ISNUMBER(J245)),NOT(SUMPRODUCT(--ISNUMBER(SEARCH({"棚板","棚","アングル","ｱﾝｸﾞﾙ","使用不可","ケーブル","ｹｰﾌﾞﾙ","PatchPnael","パッチ","引き出し","引出","ブランク","ﾌﾞﾗﾝｸ","マネージ","ﾏﾈｰｼﾞ","PDU","ONU"},$F245&amp;"")))&gt;0)),"／重量が未記入","")&amp;IF(AND(K245&lt;&gt;"",NOT(ISNUMBER(K245))),"／電圧が数値でない","")&amp;IF(AND(N245&lt;&gt;"",NOT(ISNUMBER(N245))),"／電流が数値でない","")&amp;IF(AND(C245&lt;&gt;"",C245&lt;1),"／開始Uが1未満","")&amp;IF(AND(E245&lt;&gt;"",E245&gt;IFERROR(VLOOKUP(A245,ラック定義!$A:$B,2,FALSE),47)),"／総Uをはみ出す","")&amp;IF(AND(A245&lt;&gt;"",COUNTIF(ラック定義!$A:$A,A245)=0),"／ラックが定義にない","")&amp;IF(AND(SUMPRODUCT((機器台帳!$A$2:$A$400=$A245)*((機器台帳!$B$2:$B$400=$B245)+(機器台帳!$B$2:$B$400="両面")+($B245="両面")&gt;0)*(機器台帳!$C$2:$C$400&lt;=$C245+$D245-1)*(機器台帳!$C$2:$C$400+機器台帳!$D$2:$D$400-1&gt;=$C245)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245&amp;"")))&gt;0)),"／同じUに他の機器(横並びなら正常)","")&amp;IF(AND(M245&lt;&gt;"",COUNTIFS(回路定義!$A:$A,A245,回路定義!$B:$B,M245)=0),"／回路1が定義にない","")&amp;IF(AND(P245&lt;&gt;"",COUNTIFS(回路定義!$A:$A,A245,回路定義!$B:$B,P245)=0),"／回路2が定義にない","")&amp;IF(AND(S245&lt;&gt;"",COUNTIFS(回路定義!$A:$A,A245,回路定義!$B:$B,S245)=0),"／回路3が定義にない",""))="","",MID(IF(AND(Y245=0,NOT(SUMPRODUCT(--ISNUMBER(SEARCH({"棚板","棚","アングル","ｱﾝｸﾞﾙ","使用不可","ケーブル","ｹｰﾌﾞﾙ","PatchPnael","パッチ","引き出し","引出","ブランク","ﾌﾞﾗﾝｸ","マネージ","ﾏﾈｰｼﾞ","PDU","ONU"},$F245&amp;"")))&gt;0),NOT(SUMPRODUCT(--ISNUMBER(SEARCH({"電源オフ","未投入","停止","未使用","撤去"},$X245&amp;"")))&gt;0)),"／電力が未記入","")&amp;IF(AND(NOT(ISNUMBER(J245)),NOT(SUMPRODUCT(--ISNUMBER(SEARCH({"棚板","棚","アングル","ｱﾝｸﾞﾙ","使用不可","ケーブル","ｹｰﾌﾞﾙ","PatchPnael","パッチ","引き出し","引出","ブランク","ﾌﾞﾗﾝｸ","マネージ","ﾏﾈｰｼﾞ","PDU","ONU"},$F245&amp;"")))&gt;0)),"／重量が未記入","")&amp;IF(AND(K245&lt;&gt;"",NOT(ISNUMBER(K245))),"／電圧が数値でない","")&amp;IF(AND(N245&lt;&gt;"",NOT(ISNUMBER(N245))),"／電流が数値でない","")&amp;IF(AND(C245&lt;&gt;"",C245&lt;1),"／開始Uが1未満","")&amp;IF(AND(E245&lt;&gt;"",E245&gt;IFERROR(VLOOKUP(A245,ラック定義!$A:$B,2,FALSE),47)),"／総Uをはみ出す","")&amp;IF(AND(A245&lt;&gt;"",COUNTIF(ラック定義!$A:$A,A245)=0),"／ラックが定義にない","")&amp;IF(AND(SUMPRODUCT((機器台帳!$A$2:$A$400=$A245)*((機器台帳!$B$2:$B$400=$B245)+(機器台帳!$B$2:$B$400="両面")+($B245="両面")&gt;0)*(機器台帳!$C$2:$C$400&lt;=$C245+$D245-1)*(機器台帳!$C$2:$C$400+機器台帳!$D$2:$D$400-1&gt;=$C245)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245&amp;"")))&gt;0)),"／同じUに他の機器(横並びなら正常)","")&amp;IF(AND(M245&lt;&gt;"",COUNTIFS(回路定義!$A:$A,A245,回路定義!$B:$B,M245)=0),"／回路1が定義にない","")&amp;IF(AND(P245&lt;&gt;"",COUNTIFS(回路定義!$A:$A,A245,回路定義!$B:$B,P245)=0),"／回路2が定義にない","")&amp;IF(AND(S245&lt;&gt;"",COUNTIFS(回路定義!$A:$A,A245,回路定義!$B:$B,S245)=0),"／回路3が定義にない",""),2,300)))</f>
        <v/>
      </c>
    </row>
    <row r="246">
      <c r="A246" s="5" t="n"/>
      <c r="B246" s="5" t="n"/>
      <c r="C246" s="5" t="n"/>
      <c r="D246" s="5" t="n"/>
      <c r="E246" s="6">
        <f>IF(C246="","",C246+D246-1)</f>
        <v/>
      </c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6">
        <f>COUNT(N246,Q246,T246)</f>
        <v/>
      </c>
      <c r="Z246" s="6">
        <f>IF(OR(K246="",NOT(ISNUMBER(K246))),"",K246*SUM(N246,Q246,T246))</f>
        <v/>
      </c>
      <c r="AA246" s="6">
        <f>IF(OR(Y246=0,N246=""),"",N246/Y246)</f>
        <v/>
      </c>
      <c r="AB246" s="6">
        <f>IF(OR(Y246=0,Q246=""),"",Q246/Y246)</f>
        <v/>
      </c>
      <c r="AC246" s="6">
        <f>IF(OR(Y246=0,T246=""),"",T246/Y246)</f>
        <v/>
      </c>
      <c r="AD246" s="6">
        <f>IF(F246="","",IF((IF(AND(Y246=0,NOT(SUMPRODUCT(--ISNUMBER(SEARCH({"棚板","棚","アングル","ｱﾝｸﾞﾙ","使用不可","ケーブル","ｹｰﾌﾞﾙ","PatchPnael","パッチ","引き出し","引出","ブランク","ﾌﾞﾗﾝｸ","マネージ","ﾏﾈｰｼﾞ","PDU","ONU"},$F246&amp;"")))&gt;0),NOT(SUMPRODUCT(--ISNUMBER(SEARCH({"電源オフ","未投入","停止","未使用","撤去"},$X246&amp;"")))&gt;0)),"／電力が未記入","")&amp;IF(AND(NOT(ISNUMBER(J246)),NOT(SUMPRODUCT(--ISNUMBER(SEARCH({"棚板","棚","アングル","ｱﾝｸﾞﾙ","使用不可","ケーブル","ｹｰﾌﾞﾙ","PatchPnael","パッチ","引き出し","引出","ブランク","ﾌﾞﾗﾝｸ","マネージ","ﾏﾈｰｼﾞ","PDU","ONU"},$F246&amp;"")))&gt;0)),"／重量が未記入","")&amp;IF(AND(K246&lt;&gt;"",NOT(ISNUMBER(K246))),"／電圧が数値でない","")&amp;IF(AND(N246&lt;&gt;"",NOT(ISNUMBER(N246))),"／電流が数値でない","")&amp;IF(AND(C246&lt;&gt;"",C246&lt;1),"／開始Uが1未満","")&amp;IF(AND(E246&lt;&gt;"",E246&gt;IFERROR(VLOOKUP(A246,ラック定義!$A:$B,2,FALSE),47)),"／総Uをはみ出す","")&amp;IF(AND(A246&lt;&gt;"",COUNTIF(ラック定義!$A:$A,A246)=0),"／ラックが定義にない","")&amp;IF(AND(SUMPRODUCT((機器台帳!$A$2:$A$400=$A246)*((機器台帳!$B$2:$B$400=$B246)+(機器台帳!$B$2:$B$400="両面")+($B246="両面")&gt;0)*(機器台帳!$C$2:$C$400&lt;=$C246+$D246-1)*(機器台帳!$C$2:$C$400+機器台帳!$D$2:$D$400-1&gt;=$C246)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246&amp;"")))&gt;0)),"／同じUに他の機器(横並びなら正常)","")&amp;IF(AND(M246&lt;&gt;"",COUNTIFS(回路定義!$A:$A,A246,回路定義!$B:$B,M246)=0),"／回路1が定義にない","")&amp;IF(AND(P246&lt;&gt;"",COUNTIFS(回路定義!$A:$A,A246,回路定義!$B:$B,P246)=0),"／回路2が定義にない","")&amp;IF(AND(S246&lt;&gt;"",COUNTIFS(回路定義!$A:$A,A246,回路定義!$B:$B,S246)=0),"／回路3が定義にない",""))="","",MID(IF(AND(Y246=0,NOT(SUMPRODUCT(--ISNUMBER(SEARCH({"棚板","棚","アングル","ｱﾝｸﾞﾙ","使用不可","ケーブル","ｹｰﾌﾞﾙ","PatchPnael","パッチ","引き出し","引出","ブランク","ﾌﾞﾗﾝｸ","マネージ","ﾏﾈｰｼﾞ","PDU","ONU"},$F246&amp;"")))&gt;0),NOT(SUMPRODUCT(--ISNUMBER(SEARCH({"電源オフ","未投入","停止","未使用","撤去"},$X246&amp;"")))&gt;0)),"／電力が未記入","")&amp;IF(AND(NOT(ISNUMBER(J246)),NOT(SUMPRODUCT(--ISNUMBER(SEARCH({"棚板","棚","アングル","ｱﾝｸﾞﾙ","使用不可","ケーブル","ｹｰﾌﾞﾙ","PatchPnael","パッチ","引き出し","引出","ブランク","ﾌﾞﾗﾝｸ","マネージ","ﾏﾈｰｼﾞ","PDU","ONU"},$F246&amp;"")))&gt;0)),"／重量が未記入","")&amp;IF(AND(K246&lt;&gt;"",NOT(ISNUMBER(K246))),"／電圧が数値でない","")&amp;IF(AND(N246&lt;&gt;"",NOT(ISNUMBER(N246))),"／電流が数値でない","")&amp;IF(AND(C246&lt;&gt;"",C246&lt;1),"／開始Uが1未満","")&amp;IF(AND(E246&lt;&gt;"",E246&gt;IFERROR(VLOOKUP(A246,ラック定義!$A:$B,2,FALSE),47)),"／総Uをはみ出す","")&amp;IF(AND(A246&lt;&gt;"",COUNTIF(ラック定義!$A:$A,A246)=0),"／ラックが定義にない","")&amp;IF(AND(SUMPRODUCT((機器台帳!$A$2:$A$400=$A246)*((機器台帳!$B$2:$B$400=$B246)+(機器台帳!$B$2:$B$400="両面")+($B246="両面")&gt;0)*(機器台帳!$C$2:$C$400&lt;=$C246+$D246-1)*(機器台帳!$C$2:$C$400+機器台帳!$D$2:$D$400-1&gt;=$C246)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246&amp;"")))&gt;0)),"／同じUに他の機器(横並びなら正常)","")&amp;IF(AND(M246&lt;&gt;"",COUNTIFS(回路定義!$A:$A,A246,回路定義!$B:$B,M246)=0),"／回路1が定義にない","")&amp;IF(AND(P246&lt;&gt;"",COUNTIFS(回路定義!$A:$A,A246,回路定義!$B:$B,P246)=0),"／回路2が定義にない","")&amp;IF(AND(S246&lt;&gt;"",COUNTIFS(回路定義!$A:$A,A246,回路定義!$B:$B,S246)=0),"／回路3が定義にない",""),2,300)))</f>
        <v/>
      </c>
    </row>
    <row r="247">
      <c r="A247" s="5" t="n"/>
      <c r="B247" s="5" t="n"/>
      <c r="C247" s="5" t="n"/>
      <c r="D247" s="5" t="n"/>
      <c r="E247" s="6">
        <f>IF(C247="","",C247+D247-1)</f>
        <v/>
      </c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6">
        <f>COUNT(N247,Q247,T247)</f>
        <v/>
      </c>
      <c r="Z247" s="6">
        <f>IF(OR(K247="",NOT(ISNUMBER(K247))),"",K247*SUM(N247,Q247,T247))</f>
        <v/>
      </c>
      <c r="AA247" s="6">
        <f>IF(OR(Y247=0,N247=""),"",N247/Y247)</f>
        <v/>
      </c>
      <c r="AB247" s="6">
        <f>IF(OR(Y247=0,Q247=""),"",Q247/Y247)</f>
        <v/>
      </c>
      <c r="AC247" s="6">
        <f>IF(OR(Y247=0,T247=""),"",T247/Y247)</f>
        <v/>
      </c>
      <c r="AD247" s="6">
        <f>IF(F247="","",IF((IF(AND(Y247=0,NOT(SUMPRODUCT(--ISNUMBER(SEARCH({"棚板","棚","アングル","ｱﾝｸﾞﾙ","使用不可","ケーブル","ｹｰﾌﾞﾙ","PatchPnael","パッチ","引き出し","引出","ブランク","ﾌﾞﾗﾝｸ","マネージ","ﾏﾈｰｼﾞ","PDU","ONU"},$F247&amp;"")))&gt;0),NOT(SUMPRODUCT(--ISNUMBER(SEARCH({"電源オフ","未投入","停止","未使用","撤去"},$X247&amp;"")))&gt;0)),"／電力が未記入","")&amp;IF(AND(NOT(ISNUMBER(J247)),NOT(SUMPRODUCT(--ISNUMBER(SEARCH({"棚板","棚","アングル","ｱﾝｸﾞﾙ","使用不可","ケーブル","ｹｰﾌﾞﾙ","PatchPnael","パッチ","引き出し","引出","ブランク","ﾌﾞﾗﾝｸ","マネージ","ﾏﾈｰｼﾞ","PDU","ONU"},$F247&amp;"")))&gt;0)),"／重量が未記入","")&amp;IF(AND(K247&lt;&gt;"",NOT(ISNUMBER(K247))),"／電圧が数値でない","")&amp;IF(AND(N247&lt;&gt;"",NOT(ISNUMBER(N247))),"／電流が数値でない","")&amp;IF(AND(C247&lt;&gt;"",C247&lt;1),"／開始Uが1未満","")&amp;IF(AND(E247&lt;&gt;"",E247&gt;IFERROR(VLOOKUP(A247,ラック定義!$A:$B,2,FALSE),47)),"／総Uをはみ出す","")&amp;IF(AND(A247&lt;&gt;"",COUNTIF(ラック定義!$A:$A,A247)=0),"／ラックが定義にない","")&amp;IF(AND(SUMPRODUCT((機器台帳!$A$2:$A$400=$A247)*((機器台帳!$B$2:$B$400=$B247)+(機器台帳!$B$2:$B$400="両面")+($B247="両面")&gt;0)*(機器台帳!$C$2:$C$400&lt;=$C247+$D247-1)*(機器台帳!$C$2:$C$400+機器台帳!$D$2:$D$400-1&gt;=$C247)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247&amp;"")))&gt;0)),"／同じUに他の機器(横並びなら正常)","")&amp;IF(AND(M247&lt;&gt;"",COUNTIFS(回路定義!$A:$A,A247,回路定義!$B:$B,M247)=0),"／回路1が定義にない","")&amp;IF(AND(P247&lt;&gt;"",COUNTIFS(回路定義!$A:$A,A247,回路定義!$B:$B,P247)=0),"／回路2が定義にない","")&amp;IF(AND(S247&lt;&gt;"",COUNTIFS(回路定義!$A:$A,A247,回路定義!$B:$B,S247)=0),"／回路3が定義にない",""))="","",MID(IF(AND(Y247=0,NOT(SUMPRODUCT(--ISNUMBER(SEARCH({"棚板","棚","アングル","ｱﾝｸﾞﾙ","使用不可","ケーブル","ｹｰﾌﾞﾙ","PatchPnael","パッチ","引き出し","引出","ブランク","ﾌﾞﾗﾝｸ","マネージ","ﾏﾈｰｼﾞ","PDU","ONU"},$F247&amp;"")))&gt;0),NOT(SUMPRODUCT(--ISNUMBER(SEARCH({"電源オフ","未投入","停止","未使用","撤去"},$X247&amp;"")))&gt;0)),"／電力が未記入","")&amp;IF(AND(NOT(ISNUMBER(J247)),NOT(SUMPRODUCT(--ISNUMBER(SEARCH({"棚板","棚","アングル","ｱﾝｸﾞﾙ","使用不可","ケーブル","ｹｰﾌﾞﾙ","PatchPnael","パッチ","引き出し","引出","ブランク","ﾌﾞﾗﾝｸ","マネージ","ﾏﾈｰｼﾞ","PDU","ONU"},$F247&amp;"")))&gt;0)),"／重量が未記入","")&amp;IF(AND(K247&lt;&gt;"",NOT(ISNUMBER(K247))),"／電圧が数値でない","")&amp;IF(AND(N247&lt;&gt;"",NOT(ISNUMBER(N247))),"／電流が数値でない","")&amp;IF(AND(C247&lt;&gt;"",C247&lt;1),"／開始Uが1未満","")&amp;IF(AND(E247&lt;&gt;"",E247&gt;IFERROR(VLOOKUP(A247,ラック定義!$A:$B,2,FALSE),47)),"／総Uをはみ出す","")&amp;IF(AND(A247&lt;&gt;"",COUNTIF(ラック定義!$A:$A,A247)=0),"／ラックが定義にない","")&amp;IF(AND(SUMPRODUCT((機器台帳!$A$2:$A$400=$A247)*((機器台帳!$B$2:$B$400=$B247)+(機器台帳!$B$2:$B$400="両面")+($B247="両面")&gt;0)*(機器台帳!$C$2:$C$400&lt;=$C247+$D247-1)*(機器台帳!$C$2:$C$400+機器台帳!$D$2:$D$400-1&gt;=$C247)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247&amp;"")))&gt;0)),"／同じUに他の機器(横並びなら正常)","")&amp;IF(AND(M247&lt;&gt;"",COUNTIFS(回路定義!$A:$A,A247,回路定義!$B:$B,M247)=0),"／回路1が定義にない","")&amp;IF(AND(P247&lt;&gt;"",COUNTIFS(回路定義!$A:$A,A247,回路定義!$B:$B,P247)=0),"／回路2が定義にない","")&amp;IF(AND(S247&lt;&gt;"",COUNTIFS(回路定義!$A:$A,A247,回路定義!$B:$B,S247)=0),"／回路3が定義にない",""),2,300)))</f>
        <v/>
      </c>
    </row>
    <row r="248">
      <c r="A248" s="5" t="n"/>
      <c r="B248" s="5" t="n"/>
      <c r="C248" s="5" t="n"/>
      <c r="D248" s="5" t="n"/>
      <c r="E248" s="6">
        <f>IF(C248="","",C248+D248-1)</f>
        <v/>
      </c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6">
        <f>COUNT(N248,Q248,T248)</f>
        <v/>
      </c>
      <c r="Z248" s="6">
        <f>IF(OR(K248="",NOT(ISNUMBER(K248))),"",K248*SUM(N248,Q248,T248))</f>
        <v/>
      </c>
      <c r="AA248" s="6">
        <f>IF(OR(Y248=0,N248=""),"",N248/Y248)</f>
        <v/>
      </c>
      <c r="AB248" s="6">
        <f>IF(OR(Y248=0,Q248=""),"",Q248/Y248)</f>
        <v/>
      </c>
      <c r="AC248" s="6">
        <f>IF(OR(Y248=0,T248=""),"",T248/Y248)</f>
        <v/>
      </c>
      <c r="AD248" s="6">
        <f>IF(F248="","",IF((IF(AND(Y248=0,NOT(SUMPRODUCT(--ISNUMBER(SEARCH({"棚板","棚","アングル","ｱﾝｸﾞﾙ","使用不可","ケーブル","ｹｰﾌﾞﾙ","PatchPnael","パッチ","引き出し","引出","ブランク","ﾌﾞﾗﾝｸ","マネージ","ﾏﾈｰｼﾞ","PDU","ONU"},$F248&amp;"")))&gt;0),NOT(SUMPRODUCT(--ISNUMBER(SEARCH({"電源オフ","未投入","停止","未使用","撤去"},$X248&amp;"")))&gt;0)),"／電力が未記入","")&amp;IF(AND(NOT(ISNUMBER(J248)),NOT(SUMPRODUCT(--ISNUMBER(SEARCH({"棚板","棚","アングル","ｱﾝｸﾞﾙ","使用不可","ケーブル","ｹｰﾌﾞﾙ","PatchPnael","パッチ","引き出し","引出","ブランク","ﾌﾞﾗﾝｸ","マネージ","ﾏﾈｰｼﾞ","PDU","ONU"},$F248&amp;"")))&gt;0)),"／重量が未記入","")&amp;IF(AND(K248&lt;&gt;"",NOT(ISNUMBER(K248))),"／電圧が数値でない","")&amp;IF(AND(N248&lt;&gt;"",NOT(ISNUMBER(N248))),"／電流が数値でない","")&amp;IF(AND(C248&lt;&gt;"",C248&lt;1),"／開始Uが1未満","")&amp;IF(AND(E248&lt;&gt;"",E248&gt;IFERROR(VLOOKUP(A248,ラック定義!$A:$B,2,FALSE),47)),"／総Uをはみ出す","")&amp;IF(AND(A248&lt;&gt;"",COUNTIF(ラック定義!$A:$A,A248)=0),"／ラックが定義にない","")&amp;IF(AND(SUMPRODUCT((機器台帳!$A$2:$A$400=$A248)*((機器台帳!$B$2:$B$400=$B248)+(機器台帳!$B$2:$B$400="両面")+($B248="両面")&gt;0)*(機器台帳!$C$2:$C$400&lt;=$C248+$D248-1)*(機器台帳!$C$2:$C$400+機器台帳!$D$2:$D$400-1&gt;=$C248)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248&amp;"")))&gt;0)),"／同じUに他の機器(横並びなら正常)","")&amp;IF(AND(M248&lt;&gt;"",COUNTIFS(回路定義!$A:$A,A248,回路定義!$B:$B,M248)=0),"／回路1が定義にない","")&amp;IF(AND(P248&lt;&gt;"",COUNTIFS(回路定義!$A:$A,A248,回路定義!$B:$B,P248)=0),"／回路2が定義にない","")&amp;IF(AND(S248&lt;&gt;"",COUNTIFS(回路定義!$A:$A,A248,回路定義!$B:$B,S248)=0),"／回路3が定義にない",""))="","",MID(IF(AND(Y248=0,NOT(SUMPRODUCT(--ISNUMBER(SEARCH({"棚板","棚","アングル","ｱﾝｸﾞﾙ","使用不可","ケーブル","ｹｰﾌﾞﾙ","PatchPnael","パッチ","引き出し","引出","ブランク","ﾌﾞﾗﾝｸ","マネージ","ﾏﾈｰｼﾞ","PDU","ONU"},$F248&amp;"")))&gt;0),NOT(SUMPRODUCT(--ISNUMBER(SEARCH({"電源オフ","未投入","停止","未使用","撤去"},$X248&amp;"")))&gt;0)),"／電力が未記入","")&amp;IF(AND(NOT(ISNUMBER(J248)),NOT(SUMPRODUCT(--ISNUMBER(SEARCH({"棚板","棚","アングル","ｱﾝｸﾞﾙ","使用不可","ケーブル","ｹｰﾌﾞﾙ","PatchPnael","パッチ","引き出し","引出","ブランク","ﾌﾞﾗﾝｸ","マネージ","ﾏﾈｰｼﾞ","PDU","ONU"},$F248&amp;"")))&gt;0)),"／重量が未記入","")&amp;IF(AND(K248&lt;&gt;"",NOT(ISNUMBER(K248))),"／電圧が数値でない","")&amp;IF(AND(N248&lt;&gt;"",NOT(ISNUMBER(N248))),"／電流が数値でない","")&amp;IF(AND(C248&lt;&gt;"",C248&lt;1),"／開始Uが1未満","")&amp;IF(AND(E248&lt;&gt;"",E248&gt;IFERROR(VLOOKUP(A248,ラック定義!$A:$B,2,FALSE),47)),"／総Uをはみ出す","")&amp;IF(AND(A248&lt;&gt;"",COUNTIF(ラック定義!$A:$A,A248)=0),"／ラックが定義にない","")&amp;IF(AND(SUMPRODUCT((機器台帳!$A$2:$A$400=$A248)*((機器台帳!$B$2:$B$400=$B248)+(機器台帳!$B$2:$B$400="両面")+($B248="両面")&gt;0)*(機器台帳!$C$2:$C$400&lt;=$C248+$D248-1)*(機器台帳!$C$2:$C$400+機器台帳!$D$2:$D$400-1&gt;=$C248)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248&amp;"")))&gt;0)),"／同じUに他の機器(横並びなら正常)","")&amp;IF(AND(M248&lt;&gt;"",COUNTIFS(回路定義!$A:$A,A248,回路定義!$B:$B,M248)=0),"／回路1が定義にない","")&amp;IF(AND(P248&lt;&gt;"",COUNTIFS(回路定義!$A:$A,A248,回路定義!$B:$B,P248)=0),"／回路2が定義にない","")&amp;IF(AND(S248&lt;&gt;"",COUNTIFS(回路定義!$A:$A,A248,回路定義!$B:$B,S248)=0),"／回路3が定義にない",""),2,300)))</f>
        <v/>
      </c>
    </row>
    <row r="249">
      <c r="A249" s="5" t="n"/>
      <c r="B249" s="5" t="n"/>
      <c r="C249" s="5" t="n"/>
      <c r="D249" s="5" t="n"/>
      <c r="E249" s="6">
        <f>IF(C249="","",C249+D249-1)</f>
        <v/>
      </c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6">
        <f>COUNT(N249,Q249,T249)</f>
        <v/>
      </c>
      <c r="Z249" s="6">
        <f>IF(OR(K249="",NOT(ISNUMBER(K249))),"",K249*SUM(N249,Q249,T249))</f>
        <v/>
      </c>
      <c r="AA249" s="6">
        <f>IF(OR(Y249=0,N249=""),"",N249/Y249)</f>
        <v/>
      </c>
      <c r="AB249" s="6">
        <f>IF(OR(Y249=0,Q249=""),"",Q249/Y249)</f>
        <v/>
      </c>
      <c r="AC249" s="6">
        <f>IF(OR(Y249=0,T249=""),"",T249/Y249)</f>
        <v/>
      </c>
      <c r="AD249" s="6">
        <f>IF(F249="","",IF((IF(AND(Y249=0,NOT(SUMPRODUCT(--ISNUMBER(SEARCH({"棚板","棚","アングル","ｱﾝｸﾞﾙ","使用不可","ケーブル","ｹｰﾌﾞﾙ","PatchPnael","パッチ","引き出し","引出","ブランク","ﾌﾞﾗﾝｸ","マネージ","ﾏﾈｰｼﾞ","PDU","ONU"},$F249&amp;"")))&gt;0),NOT(SUMPRODUCT(--ISNUMBER(SEARCH({"電源オフ","未投入","停止","未使用","撤去"},$X249&amp;"")))&gt;0)),"／電力が未記入","")&amp;IF(AND(NOT(ISNUMBER(J249)),NOT(SUMPRODUCT(--ISNUMBER(SEARCH({"棚板","棚","アングル","ｱﾝｸﾞﾙ","使用不可","ケーブル","ｹｰﾌﾞﾙ","PatchPnael","パッチ","引き出し","引出","ブランク","ﾌﾞﾗﾝｸ","マネージ","ﾏﾈｰｼﾞ","PDU","ONU"},$F249&amp;"")))&gt;0)),"／重量が未記入","")&amp;IF(AND(K249&lt;&gt;"",NOT(ISNUMBER(K249))),"／電圧が数値でない","")&amp;IF(AND(N249&lt;&gt;"",NOT(ISNUMBER(N249))),"／電流が数値でない","")&amp;IF(AND(C249&lt;&gt;"",C249&lt;1),"／開始Uが1未満","")&amp;IF(AND(E249&lt;&gt;"",E249&gt;IFERROR(VLOOKUP(A249,ラック定義!$A:$B,2,FALSE),47)),"／総Uをはみ出す","")&amp;IF(AND(A249&lt;&gt;"",COUNTIF(ラック定義!$A:$A,A249)=0),"／ラックが定義にない","")&amp;IF(AND(SUMPRODUCT((機器台帳!$A$2:$A$400=$A249)*((機器台帳!$B$2:$B$400=$B249)+(機器台帳!$B$2:$B$400="両面")+($B249="両面")&gt;0)*(機器台帳!$C$2:$C$400&lt;=$C249+$D249-1)*(機器台帳!$C$2:$C$400+機器台帳!$D$2:$D$400-1&gt;=$C249)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249&amp;"")))&gt;0)),"／同じUに他の機器(横並びなら正常)","")&amp;IF(AND(M249&lt;&gt;"",COUNTIFS(回路定義!$A:$A,A249,回路定義!$B:$B,M249)=0),"／回路1が定義にない","")&amp;IF(AND(P249&lt;&gt;"",COUNTIFS(回路定義!$A:$A,A249,回路定義!$B:$B,P249)=0),"／回路2が定義にない","")&amp;IF(AND(S249&lt;&gt;"",COUNTIFS(回路定義!$A:$A,A249,回路定義!$B:$B,S249)=0),"／回路3が定義にない",""))="","",MID(IF(AND(Y249=0,NOT(SUMPRODUCT(--ISNUMBER(SEARCH({"棚板","棚","アングル","ｱﾝｸﾞﾙ","使用不可","ケーブル","ｹｰﾌﾞﾙ","PatchPnael","パッチ","引き出し","引出","ブランク","ﾌﾞﾗﾝｸ","マネージ","ﾏﾈｰｼﾞ","PDU","ONU"},$F249&amp;"")))&gt;0),NOT(SUMPRODUCT(--ISNUMBER(SEARCH({"電源オフ","未投入","停止","未使用","撤去"},$X249&amp;"")))&gt;0)),"／電力が未記入","")&amp;IF(AND(NOT(ISNUMBER(J249)),NOT(SUMPRODUCT(--ISNUMBER(SEARCH({"棚板","棚","アングル","ｱﾝｸﾞﾙ","使用不可","ケーブル","ｹｰﾌﾞﾙ","PatchPnael","パッチ","引き出し","引出","ブランク","ﾌﾞﾗﾝｸ","マネージ","ﾏﾈｰｼﾞ","PDU","ONU"},$F249&amp;"")))&gt;0)),"／重量が未記入","")&amp;IF(AND(K249&lt;&gt;"",NOT(ISNUMBER(K249))),"／電圧が数値でない","")&amp;IF(AND(N249&lt;&gt;"",NOT(ISNUMBER(N249))),"／電流が数値でない","")&amp;IF(AND(C249&lt;&gt;"",C249&lt;1),"／開始Uが1未満","")&amp;IF(AND(E249&lt;&gt;"",E249&gt;IFERROR(VLOOKUP(A249,ラック定義!$A:$B,2,FALSE),47)),"／総Uをはみ出す","")&amp;IF(AND(A249&lt;&gt;"",COUNTIF(ラック定義!$A:$A,A249)=0),"／ラックが定義にない","")&amp;IF(AND(SUMPRODUCT((機器台帳!$A$2:$A$400=$A249)*((機器台帳!$B$2:$B$400=$B249)+(機器台帳!$B$2:$B$400="両面")+($B249="両面")&gt;0)*(機器台帳!$C$2:$C$400&lt;=$C249+$D249-1)*(機器台帳!$C$2:$C$400+機器台帳!$D$2:$D$400-1&gt;=$C249)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249&amp;"")))&gt;0)),"／同じUに他の機器(横並びなら正常)","")&amp;IF(AND(M249&lt;&gt;"",COUNTIFS(回路定義!$A:$A,A249,回路定義!$B:$B,M249)=0),"／回路1が定義にない","")&amp;IF(AND(P249&lt;&gt;"",COUNTIFS(回路定義!$A:$A,A249,回路定義!$B:$B,P249)=0),"／回路2が定義にない","")&amp;IF(AND(S249&lt;&gt;"",COUNTIFS(回路定義!$A:$A,A249,回路定義!$B:$B,S249)=0),"／回路3が定義にない",""),2,300)))</f>
        <v/>
      </c>
    </row>
    <row r="250">
      <c r="A250" s="5" t="n"/>
      <c r="B250" s="5" t="n"/>
      <c r="C250" s="5" t="n"/>
      <c r="D250" s="5" t="n"/>
      <c r="E250" s="6">
        <f>IF(C250="","",C250+D250-1)</f>
        <v/>
      </c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6">
        <f>COUNT(N250,Q250,T250)</f>
        <v/>
      </c>
      <c r="Z250" s="6">
        <f>IF(OR(K250="",NOT(ISNUMBER(K250))),"",K250*SUM(N250,Q250,T250))</f>
        <v/>
      </c>
      <c r="AA250" s="6">
        <f>IF(OR(Y250=0,N250=""),"",N250/Y250)</f>
        <v/>
      </c>
      <c r="AB250" s="6">
        <f>IF(OR(Y250=0,Q250=""),"",Q250/Y250)</f>
        <v/>
      </c>
      <c r="AC250" s="6">
        <f>IF(OR(Y250=0,T250=""),"",T250/Y250)</f>
        <v/>
      </c>
      <c r="AD250" s="6">
        <f>IF(F250="","",IF((IF(AND(Y250=0,NOT(SUMPRODUCT(--ISNUMBER(SEARCH({"棚板","棚","アングル","ｱﾝｸﾞﾙ","使用不可","ケーブル","ｹｰﾌﾞﾙ","PatchPnael","パッチ","引き出し","引出","ブランク","ﾌﾞﾗﾝｸ","マネージ","ﾏﾈｰｼﾞ","PDU","ONU"},$F250&amp;"")))&gt;0),NOT(SUMPRODUCT(--ISNUMBER(SEARCH({"電源オフ","未投入","停止","未使用","撤去"},$X250&amp;"")))&gt;0)),"／電力が未記入","")&amp;IF(AND(NOT(ISNUMBER(J250)),NOT(SUMPRODUCT(--ISNUMBER(SEARCH({"棚板","棚","アングル","ｱﾝｸﾞﾙ","使用不可","ケーブル","ｹｰﾌﾞﾙ","PatchPnael","パッチ","引き出し","引出","ブランク","ﾌﾞﾗﾝｸ","マネージ","ﾏﾈｰｼﾞ","PDU","ONU"},$F250&amp;"")))&gt;0)),"／重量が未記入","")&amp;IF(AND(K250&lt;&gt;"",NOT(ISNUMBER(K250))),"／電圧が数値でない","")&amp;IF(AND(N250&lt;&gt;"",NOT(ISNUMBER(N250))),"／電流が数値でない","")&amp;IF(AND(C250&lt;&gt;"",C250&lt;1),"／開始Uが1未満","")&amp;IF(AND(E250&lt;&gt;"",E250&gt;IFERROR(VLOOKUP(A250,ラック定義!$A:$B,2,FALSE),47)),"／総Uをはみ出す","")&amp;IF(AND(A250&lt;&gt;"",COUNTIF(ラック定義!$A:$A,A250)=0),"／ラックが定義にない","")&amp;IF(AND(SUMPRODUCT((機器台帳!$A$2:$A$400=$A250)*((機器台帳!$B$2:$B$400=$B250)+(機器台帳!$B$2:$B$400="両面")+($B250="両面")&gt;0)*(機器台帳!$C$2:$C$400&lt;=$C250+$D250-1)*(機器台帳!$C$2:$C$400+機器台帳!$D$2:$D$400-1&gt;=$C250)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250&amp;"")))&gt;0)),"／同じUに他の機器(横並びなら正常)","")&amp;IF(AND(M250&lt;&gt;"",COUNTIFS(回路定義!$A:$A,A250,回路定義!$B:$B,M250)=0),"／回路1が定義にない","")&amp;IF(AND(P250&lt;&gt;"",COUNTIFS(回路定義!$A:$A,A250,回路定義!$B:$B,P250)=0),"／回路2が定義にない","")&amp;IF(AND(S250&lt;&gt;"",COUNTIFS(回路定義!$A:$A,A250,回路定義!$B:$B,S250)=0),"／回路3が定義にない",""))="","",MID(IF(AND(Y250=0,NOT(SUMPRODUCT(--ISNUMBER(SEARCH({"棚板","棚","アングル","ｱﾝｸﾞﾙ","使用不可","ケーブル","ｹｰﾌﾞﾙ","PatchPnael","パッチ","引き出し","引出","ブランク","ﾌﾞﾗﾝｸ","マネージ","ﾏﾈｰｼﾞ","PDU","ONU"},$F250&amp;"")))&gt;0),NOT(SUMPRODUCT(--ISNUMBER(SEARCH({"電源オフ","未投入","停止","未使用","撤去"},$X250&amp;"")))&gt;0)),"／電力が未記入","")&amp;IF(AND(NOT(ISNUMBER(J250)),NOT(SUMPRODUCT(--ISNUMBER(SEARCH({"棚板","棚","アングル","ｱﾝｸﾞﾙ","使用不可","ケーブル","ｹｰﾌﾞﾙ","PatchPnael","パッチ","引き出し","引出","ブランク","ﾌﾞﾗﾝｸ","マネージ","ﾏﾈｰｼﾞ","PDU","ONU"},$F250&amp;"")))&gt;0)),"／重量が未記入","")&amp;IF(AND(K250&lt;&gt;"",NOT(ISNUMBER(K250))),"／電圧が数値でない","")&amp;IF(AND(N250&lt;&gt;"",NOT(ISNUMBER(N250))),"／電流が数値でない","")&amp;IF(AND(C250&lt;&gt;"",C250&lt;1),"／開始Uが1未満","")&amp;IF(AND(E250&lt;&gt;"",E250&gt;IFERROR(VLOOKUP(A250,ラック定義!$A:$B,2,FALSE),47)),"／総Uをはみ出す","")&amp;IF(AND(A250&lt;&gt;"",COUNTIF(ラック定義!$A:$A,A250)=0),"／ラックが定義にない","")&amp;IF(AND(SUMPRODUCT((機器台帳!$A$2:$A$400=$A250)*((機器台帳!$B$2:$B$400=$B250)+(機器台帳!$B$2:$B$400="両面")+($B250="両面")&gt;0)*(機器台帳!$C$2:$C$400&lt;=$C250+$D250-1)*(機器台帳!$C$2:$C$400+機器台帳!$D$2:$D$400-1&gt;=$C250)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250&amp;"")))&gt;0)),"／同じUに他の機器(横並びなら正常)","")&amp;IF(AND(M250&lt;&gt;"",COUNTIFS(回路定義!$A:$A,A250,回路定義!$B:$B,M250)=0),"／回路1が定義にない","")&amp;IF(AND(P250&lt;&gt;"",COUNTIFS(回路定義!$A:$A,A250,回路定義!$B:$B,P250)=0),"／回路2が定義にない","")&amp;IF(AND(S250&lt;&gt;"",COUNTIFS(回路定義!$A:$A,A250,回路定義!$B:$B,S250)=0),"／回路3が定義にない",""),2,300)))</f>
        <v/>
      </c>
    </row>
    <row r="251">
      <c r="A251" s="5" t="n"/>
      <c r="B251" s="5" t="n"/>
      <c r="C251" s="5" t="n"/>
      <c r="D251" s="5" t="n"/>
      <c r="E251" s="6">
        <f>IF(C251="","",C251+D251-1)</f>
        <v/>
      </c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6">
        <f>COUNT(N251,Q251,T251)</f>
        <v/>
      </c>
      <c r="Z251" s="6">
        <f>IF(OR(K251="",NOT(ISNUMBER(K251))),"",K251*SUM(N251,Q251,T251))</f>
        <v/>
      </c>
      <c r="AA251" s="6">
        <f>IF(OR(Y251=0,N251=""),"",N251/Y251)</f>
        <v/>
      </c>
      <c r="AB251" s="6">
        <f>IF(OR(Y251=0,Q251=""),"",Q251/Y251)</f>
        <v/>
      </c>
      <c r="AC251" s="6">
        <f>IF(OR(Y251=0,T251=""),"",T251/Y251)</f>
        <v/>
      </c>
      <c r="AD251" s="6">
        <f>IF(F251="","",IF((IF(AND(Y251=0,NOT(SUMPRODUCT(--ISNUMBER(SEARCH({"棚板","棚","アングル","ｱﾝｸﾞﾙ","使用不可","ケーブル","ｹｰﾌﾞﾙ","PatchPnael","パッチ","引き出し","引出","ブランク","ﾌﾞﾗﾝｸ","マネージ","ﾏﾈｰｼﾞ","PDU","ONU"},$F251&amp;"")))&gt;0),NOT(SUMPRODUCT(--ISNUMBER(SEARCH({"電源オフ","未投入","停止","未使用","撤去"},$X251&amp;"")))&gt;0)),"／電力が未記入","")&amp;IF(AND(NOT(ISNUMBER(J251)),NOT(SUMPRODUCT(--ISNUMBER(SEARCH({"棚板","棚","アングル","ｱﾝｸﾞﾙ","使用不可","ケーブル","ｹｰﾌﾞﾙ","PatchPnael","パッチ","引き出し","引出","ブランク","ﾌﾞﾗﾝｸ","マネージ","ﾏﾈｰｼﾞ","PDU","ONU"},$F251&amp;"")))&gt;0)),"／重量が未記入","")&amp;IF(AND(K251&lt;&gt;"",NOT(ISNUMBER(K251))),"／電圧が数値でない","")&amp;IF(AND(N251&lt;&gt;"",NOT(ISNUMBER(N251))),"／電流が数値でない","")&amp;IF(AND(C251&lt;&gt;"",C251&lt;1),"／開始Uが1未満","")&amp;IF(AND(E251&lt;&gt;"",E251&gt;IFERROR(VLOOKUP(A251,ラック定義!$A:$B,2,FALSE),47)),"／総Uをはみ出す","")&amp;IF(AND(A251&lt;&gt;"",COUNTIF(ラック定義!$A:$A,A251)=0),"／ラックが定義にない","")&amp;IF(AND(SUMPRODUCT((機器台帳!$A$2:$A$400=$A251)*((機器台帳!$B$2:$B$400=$B251)+(機器台帳!$B$2:$B$400="両面")+($B251="両面")&gt;0)*(機器台帳!$C$2:$C$400&lt;=$C251+$D251-1)*(機器台帳!$C$2:$C$400+機器台帳!$D$2:$D$400-1&gt;=$C251)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251&amp;"")))&gt;0)),"／同じUに他の機器(横並びなら正常)","")&amp;IF(AND(M251&lt;&gt;"",COUNTIFS(回路定義!$A:$A,A251,回路定義!$B:$B,M251)=0),"／回路1が定義にない","")&amp;IF(AND(P251&lt;&gt;"",COUNTIFS(回路定義!$A:$A,A251,回路定義!$B:$B,P251)=0),"／回路2が定義にない","")&amp;IF(AND(S251&lt;&gt;"",COUNTIFS(回路定義!$A:$A,A251,回路定義!$B:$B,S251)=0),"／回路3が定義にない",""))="","",MID(IF(AND(Y251=0,NOT(SUMPRODUCT(--ISNUMBER(SEARCH({"棚板","棚","アングル","ｱﾝｸﾞﾙ","使用不可","ケーブル","ｹｰﾌﾞﾙ","PatchPnael","パッチ","引き出し","引出","ブランク","ﾌﾞﾗﾝｸ","マネージ","ﾏﾈｰｼﾞ","PDU","ONU"},$F251&amp;"")))&gt;0),NOT(SUMPRODUCT(--ISNUMBER(SEARCH({"電源オフ","未投入","停止","未使用","撤去"},$X251&amp;"")))&gt;0)),"／電力が未記入","")&amp;IF(AND(NOT(ISNUMBER(J251)),NOT(SUMPRODUCT(--ISNUMBER(SEARCH({"棚板","棚","アングル","ｱﾝｸﾞﾙ","使用不可","ケーブル","ｹｰﾌﾞﾙ","PatchPnael","パッチ","引き出し","引出","ブランク","ﾌﾞﾗﾝｸ","マネージ","ﾏﾈｰｼﾞ","PDU","ONU"},$F251&amp;"")))&gt;0)),"／重量が未記入","")&amp;IF(AND(K251&lt;&gt;"",NOT(ISNUMBER(K251))),"／電圧が数値でない","")&amp;IF(AND(N251&lt;&gt;"",NOT(ISNUMBER(N251))),"／電流が数値でない","")&amp;IF(AND(C251&lt;&gt;"",C251&lt;1),"／開始Uが1未満","")&amp;IF(AND(E251&lt;&gt;"",E251&gt;IFERROR(VLOOKUP(A251,ラック定義!$A:$B,2,FALSE),47)),"／総Uをはみ出す","")&amp;IF(AND(A251&lt;&gt;"",COUNTIF(ラック定義!$A:$A,A251)=0),"／ラックが定義にない","")&amp;IF(AND(SUMPRODUCT((機器台帳!$A$2:$A$400=$A251)*((機器台帳!$B$2:$B$400=$B251)+(機器台帳!$B$2:$B$400="両面")+($B251="両面")&gt;0)*(機器台帳!$C$2:$C$400&lt;=$C251+$D251-1)*(機器台帳!$C$2:$C$400+機器台帳!$D$2:$D$400-1&gt;=$C251)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251&amp;"")))&gt;0)),"／同じUに他の機器(横並びなら正常)","")&amp;IF(AND(M251&lt;&gt;"",COUNTIFS(回路定義!$A:$A,A251,回路定義!$B:$B,M251)=0),"／回路1が定義にない","")&amp;IF(AND(P251&lt;&gt;"",COUNTIFS(回路定義!$A:$A,A251,回路定義!$B:$B,P251)=0),"／回路2が定義にない","")&amp;IF(AND(S251&lt;&gt;"",COUNTIFS(回路定義!$A:$A,A251,回路定義!$B:$B,S251)=0),"／回路3が定義にない",""),2,300)))</f>
        <v/>
      </c>
    </row>
    <row r="252">
      <c r="A252" s="5" t="n"/>
      <c r="B252" s="5" t="n"/>
      <c r="C252" s="5" t="n"/>
      <c r="D252" s="5" t="n"/>
      <c r="E252" s="6">
        <f>IF(C252="","",C252+D252-1)</f>
        <v/>
      </c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6">
        <f>COUNT(N252,Q252,T252)</f>
        <v/>
      </c>
      <c r="Z252" s="6">
        <f>IF(OR(K252="",NOT(ISNUMBER(K252))),"",K252*SUM(N252,Q252,T252))</f>
        <v/>
      </c>
      <c r="AA252" s="6">
        <f>IF(OR(Y252=0,N252=""),"",N252/Y252)</f>
        <v/>
      </c>
      <c r="AB252" s="6">
        <f>IF(OR(Y252=0,Q252=""),"",Q252/Y252)</f>
        <v/>
      </c>
      <c r="AC252" s="6">
        <f>IF(OR(Y252=0,T252=""),"",T252/Y252)</f>
        <v/>
      </c>
      <c r="AD252" s="6">
        <f>IF(F252="","",IF((IF(AND(Y252=0,NOT(SUMPRODUCT(--ISNUMBER(SEARCH({"棚板","棚","アングル","ｱﾝｸﾞﾙ","使用不可","ケーブル","ｹｰﾌﾞﾙ","PatchPnael","パッチ","引き出し","引出","ブランク","ﾌﾞﾗﾝｸ","マネージ","ﾏﾈｰｼﾞ","PDU","ONU"},$F252&amp;"")))&gt;0),NOT(SUMPRODUCT(--ISNUMBER(SEARCH({"電源オフ","未投入","停止","未使用","撤去"},$X252&amp;"")))&gt;0)),"／電力が未記入","")&amp;IF(AND(NOT(ISNUMBER(J252)),NOT(SUMPRODUCT(--ISNUMBER(SEARCH({"棚板","棚","アングル","ｱﾝｸﾞﾙ","使用不可","ケーブル","ｹｰﾌﾞﾙ","PatchPnael","パッチ","引き出し","引出","ブランク","ﾌﾞﾗﾝｸ","マネージ","ﾏﾈｰｼﾞ","PDU","ONU"},$F252&amp;"")))&gt;0)),"／重量が未記入","")&amp;IF(AND(K252&lt;&gt;"",NOT(ISNUMBER(K252))),"／電圧が数値でない","")&amp;IF(AND(N252&lt;&gt;"",NOT(ISNUMBER(N252))),"／電流が数値でない","")&amp;IF(AND(C252&lt;&gt;"",C252&lt;1),"／開始Uが1未満","")&amp;IF(AND(E252&lt;&gt;"",E252&gt;IFERROR(VLOOKUP(A252,ラック定義!$A:$B,2,FALSE),47)),"／総Uをはみ出す","")&amp;IF(AND(A252&lt;&gt;"",COUNTIF(ラック定義!$A:$A,A252)=0),"／ラックが定義にない","")&amp;IF(AND(SUMPRODUCT((機器台帳!$A$2:$A$400=$A252)*((機器台帳!$B$2:$B$400=$B252)+(機器台帳!$B$2:$B$400="両面")+($B252="両面")&gt;0)*(機器台帳!$C$2:$C$400&lt;=$C252+$D252-1)*(機器台帳!$C$2:$C$400+機器台帳!$D$2:$D$400-1&gt;=$C252)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252&amp;"")))&gt;0)),"／同じUに他の機器(横並びなら正常)","")&amp;IF(AND(M252&lt;&gt;"",COUNTIFS(回路定義!$A:$A,A252,回路定義!$B:$B,M252)=0),"／回路1が定義にない","")&amp;IF(AND(P252&lt;&gt;"",COUNTIFS(回路定義!$A:$A,A252,回路定義!$B:$B,P252)=0),"／回路2が定義にない","")&amp;IF(AND(S252&lt;&gt;"",COUNTIFS(回路定義!$A:$A,A252,回路定義!$B:$B,S252)=0),"／回路3が定義にない",""))="","",MID(IF(AND(Y252=0,NOT(SUMPRODUCT(--ISNUMBER(SEARCH({"棚板","棚","アングル","ｱﾝｸﾞﾙ","使用不可","ケーブル","ｹｰﾌﾞﾙ","PatchPnael","パッチ","引き出し","引出","ブランク","ﾌﾞﾗﾝｸ","マネージ","ﾏﾈｰｼﾞ","PDU","ONU"},$F252&amp;"")))&gt;0),NOT(SUMPRODUCT(--ISNUMBER(SEARCH({"電源オフ","未投入","停止","未使用","撤去"},$X252&amp;"")))&gt;0)),"／電力が未記入","")&amp;IF(AND(NOT(ISNUMBER(J252)),NOT(SUMPRODUCT(--ISNUMBER(SEARCH({"棚板","棚","アングル","ｱﾝｸﾞﾙ","使用不可","ケーブル","ｹｰﾌﾞﾙ","PatchPnael","パッチ","引き出し","引出","ブランク","ﾌﾞﾗﾝｸ","マネージ","ﾏﾈｰｼﾞ","PDU","ONU"},$F252&amp;"")))&gt;0)),"／重量が未記入","")&amp;IF(AND(K252&lt;&gt;"",NOT(ISNUMBER(K252))),"／電圧が数値でない","")&amp;IF(AND(N252&lt;&gt;"",NOT(ISNUMBER(N252))),"／電流が数値でない","")&amp;IF(AND(C252&lt;&gt;"",C252&lt;1),"／開始Uが1未満","")&amp;IF(AND(E252&lt;&gt;"",E252&gt;IFERROR(VLOOKUP(A252,ラック定義!$A:$B,2,FALSE),47)),"／総Uをはみ出す","")&amp;IF(AND(A252&lt;&gt;"",COUNTIF(ラック定義!$A:$A,A252)=0),"／ラックが定義にない","")&amp;IF(AND(SUMPRODUCT((機器台帳!$A$2:$A$400=$A252)*((機器台帳!$B$2:$B$400=$B252)+(機器台帳!$B$2:$B$400="両面")+($B252="両面")&gt;0)*(機器台帳!$C$2:$C$400&lt;=$C252+$D252-1)*(機器台帳!$C$2:$C$400+機器台帳!$D$2:$D$400-1&gt;=$C252)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252&amp;"")))&gt;0)),"／同じUに他の機器(横並びなら正常)","")&amp;IF(AND(M252&lt;&gt;"",COUNTIFS(回路定義!$A:$A,A252,回路定義!$B:$B,M252)=0),"／回路1が定義にない","")&amp;IF(AND(P252&lt;&gt;"",COUNTIFS(回路定義!$A:$A,A252,回路定義!$B:$B,P252)=0),"／回路2が定義にない","")&amp;IF(AND(S252&lt;&gt;"",COUNTIFS(回路定義!$A:$A,A252,回路定義!$B:$B,S252)=0),"／回路3が定義にない",""),2,300)))</f>
        <v/>
      </c>
    </row>
    <row r="253">
      <c r="A253" s="5" t="n"/>
      <c r="B253" s="5" t="n"/>
      <c r="C253" s="5" t="n"/>
      <c r="D253" s="5" t="n"/>
      <c r="E253" s="6">
        <f>IF(C253="","",C253+D253-1)</f>
        <v/>
      </c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6">
        <f>COUNT(N253,Q253,T253)</f>
        <v/>
      </c>
      <c r="Z253" s="6">
        <f>IF(OR(K253="",NOT(ISNUMBER(K253))),"",K253*SUM(N253,Q253,T253))</f>
        <v/>
      </c>
      <c r="AA253" s="6">
        <f>IF(OR(Y253=0,N253=""),"",N253/Y253)</f>
        <v/>
      </c>
      <c r="AB253" s="6">
        <f>IF(OR(Y253=0,Q253=""),"",Q253/Y253)</f>
        <v/>
      </c>
      <c r="AC253" s="6">
        <f>IF(OR(Y253=0,T253=""),"",T253/Y253)</f>
        <v/>
      </c>
      <c r="AD253" s="6">
        <f>IF(F253="","",IF((IF(AND(Y253=0,NOT(SUMPRODUCT(--ISNUMBER(SEARCH({"棚板","棚","アングル","ｱﾝｸﾞﾙ","使用不可","ケーブル","ｹｰﾌﾞﾙ","PatchPnael","パッチ","引き出し","引出","ブランク","ﾌﾞﾗﾝｸ","マネージ","ﾏﾈｰｼﾞ","PDU","ONU"},$F253&amp;"")))&gt;0),NOT(SUMPRODUCT(--ISNUMBER(SEARCH({"電源オフ","未投入","停止","未使用","撤去"},$X253&amp;"")))&gt;0)),"／電力が未記入","")&amp;IF(AND(NOT(ISNUMBER(J253)),NOT(SUMPRODUCT(--ISNUMBER(SEARCH({"棚板","棚","アングル","ｱﾝｸﾞﾙ","使用不可","ケーブル","ｹｰﾌﾞﾙ","PatchPnael","パッチ","引き出し","引出","ブランク","ﾌﾞﾗﾝｸ","マネージ","ﾏﾈｰｼﾞ","PDU","ONU"},$F253&amp;"")))&gt;0)),"／重量が未記入","")&amp;IF(AND(K253&lt;&gt;"",NOT(ISNUMBER(K253))),"／電圧が数値でない","")&amp;IF(AND(N253&lt;&gt;"",NOT(ISNUMBER(N253))),"／電流が数値でない","")&amp;IF(AND(C253&lt;&gt;"",C253&lt;1),"／開始Uが1未満","")&amp;IF(AND(E253&lt;&gt;"",E253&gt;IFERROR(VLOOKUP(A253,ラック定義!$A:$B,2,FALSE),47)),"／総Uをはみ出す","")&amp;IF(AND(A253&lt;&gt;"",COUNTIF(ラック定義!$A:$A,A253)=0),"／ラックが定義にない","")&amp;IF(AND(SUMPRODUCT((機器台帳!$A$2:$A$400=$A253)*((機器台帳!$B$2:$B$400=$B253)+(機器台帳!$B$2:$B$400="両面")+($B253="両面")&gt;0)*(機器台帳!$C$2:$C$400&lt;=$C253+$D253-1)*(機器台帳!$C$2:$C$400+機器台帳!$D$2:$D$400-1&gt;=$C253)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253&amp;"")))&gt;0)),"／同じUに他の機器(横並びなら正常)","")&amp;IF(AND(M253&lt;&gt;"",COUNTIFS(回路定義!$A:$A,A253,回路定義!$B:$B,M253)=0),"／回路1が定義にない","")&amp;IF(AND(P253&lt;&gt;"",COUNTIFS(回路定義!$A:$A,A253,回路定義!$B:$B,P253)=0),"／回路2が定義にない","")&amp;IF(AND(S253&lt;&gt;"",COUNTIFS(回路定義!$A:$A,A253,回路定義!$B:$B,S253)=0),"／回路3が定義にない",""))="","",MID(IF(AND(Y253=0,NOT(SUMPRODUCT(--ISNUMBER(SEARCH({"棚板","棚","アングル","ｱﾝｸﾞﾙ","使用不可","ケーブル","ｹｰﾌﾞﾙ","PatchPnael","パッチ","引き出し","引出","ブランク","ﾌﾞﾗﾝｸ","マネージ","ﾏﾈｰｼﾞ","PDU","ONU"},$F253&amp;"")))&gt;0),NOT(SUMPRODUCT(--ISNUMBER(SEARCH({"電源オフ","未投入","停止","未使用","撤去"},$X253&amp;"")))&gt;0)),"／電力が未記入","")&amp;IF(AND(NOT(ISNUMBER(J253)),NOT(SUMPRODUCT(--ISNUMBER(SEARCH({"棚板","棚","アングル","ｱﾝｸﾞﾙ","使用不可","ケーブル","ｹｰﾌﾞﾙ","PatchPnael","パッチ","引き出し","引出","ブランク","ﾌﾞﾗﾝｸ","マネージ","ﾏﾈｰｼﾞ","PDU","ONU"},$F253&amp;"")))&gt;0)),"／重量が未記入","")&amp;IF(AND(K253&lt;&gt;"",NOT(ISNUMBER(K253))),"／電圧が数値でない","")&amp;IF(AND(N253&lt;&gt;"",NOT(ISNUMBER(N253))),"／電流が数値でない","")&amp;IF(AND(C253&lt;&gt;"",C253&lt;1),"／開始Uが1未満","")&amp;IF(AND(E253&lt;&gt;"",E253&gt;IFERROR(VLOOKUP(A253,ラック定義!$A:$B,2,FALSE),47)),"／総Uをはみ出す","")&amp;IF(AND(A253&lt;&gt;"",COUNTIF(ラック定義!$A:$A,A253)=0),"／ラックが定義にない","")&amp;IF(AND(SUMPRODUCT((機器台帳!$A$2:$A$400=$A253)*((機器台帳!$B$2:$B$400=$B253)+(機器台帳!$B$2:$B$400="両面")+($B253="両面")&gt;0)*(機器台帳!$C$2:$C$400&lt;=$C253+$D253-1)*(機器台帳!$C$2:$C$400+機器台帳!$D$2:$D$400-1&gt;=$C253)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253&amp;"")))&gt;0)),"／同じUに他の機器(横並びなら正常)","")&amp;IF(AND(M253&lt;&gt;"",COUNTIFS(回路定義!$A:$A,A253,回路定義!$B:$B,M253)=0),"／回路1が定義にない","")&amp;IF(AND(P253&lt;&gt;"",COUNTIFS(回路定義!$A:$A,A253,回路定義!$B:$B,P253)=0),"／回路2が定義にない","")&amp;IF(AND(S253&lt;&gt;"",COUNTIFS(回路定義!$A:$A,A253,回路定義!$B:$B,S253)=0),"／回路3が定義にない",""),2,300)))</f>
        <v/>
      </c>
    </row>
    <row r="254">
      <c r="A254" s="5" t="n"/>
      <c r="B254" s="5" t="n"/>
      <c r="C254" s="5" t="n"/>
      <c r="D254" s="5" t="n"/>
      <c r="E254" s="6">
        <f>IF(C254="","",C254+D254-1)</f>
        <v/>
      </c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6">
        <f>COUNT(N254,Q254,T254)</f>
        <v/>
      </c>
      <c r="Z254" s="6">
        <f>IF(OR(K254="",NOT(ISNUMBER(K254))),"",K254*SUM(N254,Q254,T254))</f>
        <v/>
      </c>
      <c r="AA254" s="6">
        <f>IF(OR(Y254=0,N254=""),"",N254/Y254)</f>
        <v/>
      </c>
      <c r="AB254" s="6">
        <f>IF(OR(Y254=0,Q254=""),"",Q254/Y254)</f>
        <v/>
      </c>
      <c r="AC254" s="6">
        <f>IF(OR(Y254=0,T254=""),"",T254/Y254)</f>
        <v/>
      </c>
      <c r="AD254" s="6">
        <f>IF(F254="","",IF((IF(AND(Y254=0,NOT(SUMPRODUCT(--ISNUMBER(SEARCH({"棚板","棚","アングル","ｱﾝｸﾞﾙ","使用不可","ケーブル","ｹｰﾌﾞﾙ","PatchPnael","パッチ","引き出し","引出","ブランク","ﾌﾞﾗﾝｸ","マネージ","ﾏﾈｰｼﾞ","PDU","ONU"},$F254&amp;"")))&gt;0),NOT(SUMPRODUCT(--ISNUMBER(SEARCH({"電源オフ","未投入","停止","未使用","撤去"},$X254&amp;"")))&gt;0)),"／電力が未記入","")&amp;IF(AND(NOT(ISNUMBER(J254)),NOT(SUMPRODUCT(--ISNUMBER(SEARCH({"棚板","棚","アングル","ｱﾝｸﾞﾙ","使用不可","ケーブル","ｹｰﾌﾞﾙ","PatchPnael","パッチ","引き出し","引出","ブランク","ﾌﾞﾗﾝｸ","マネージ","ﾏﾈｰｼﾞ","PDU","ONU"},$F254&amp;"")))&gt;0)),"／重量が未記入","")&amp;IF(AND(K254&lt;&gt;"",NOT(ISNUMBER(K254))),"／電圧が数値でない","")&amp;IF(AND(N254&lt;&gt;"",NOT(ISNUMBER(N254))),"／電流が数値でない","")&amp;IF(AND(C254&lt;&gt;"",C254&lt;1),"／開始Uが1未満","")&amp;IF(AND(E254&lt;&gt;"",E254&gt;IFERROR(VLOOKUP(A254,ラック定義!$A:$B,2,FALSE),47)),"／総Uをはみ出す","")&amp;IF(AND(A254&lt;&gt;"",COUNTIF(ラック定義!$A:$A,A254)=0),"／ラックが定義にない","")&amp;IF(AND(SUMPRODUCT((機器台帳!$A$2:$A$400=$A254)*((機器台帳!$B$2:$B$400=$B254)+(機器台帳!$B$2:$B$400="両面")+($B254="両面")&gt;0)*(機器台帳!$C$2:$C$400&lt;=$C254+$D254-1)*(機器台帳!$C$2:$C$400+機器台帳!$D$2:$D$400-1&gt;=$C254)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254&amp;"")))&gt;0)),"／同じUに他の機器(横並びなら正常)","")&amp;IF(AND(M254&lt;&gt;"",COUNTIFS(回路定義!$A:$A,A254,回路定義!$B:$B,M254)=0),"／回路1が定義にない","")&amp;IF(AND(P254&lt;&gt;"",COUNTIFS(回路定義!$A:$A,A254,回路定義!$B:$B,P254)=0),"／回路2が定義にない","")&amp;IF(AND(S254&lt;&gt;"",COUNTIFS(回路定義!$A:$A,A254,回路定義!$B:$B,S254)=0),"／回路3が定義にない",""))="","",MID(IF(AND(Y254=0,NOT(SUMPRODUCT(--ISNUMBER(SEARCH({"棚板","棚","アングル","ｱﾝｸﾞﾙ","使用不可","ケーブル","ｹｰﾌﾞﾙ","PatchPnael","パッチ","引き出し","引出","ブランク","ﾌﾞﾗﾝｸ","マネージ","ﾏﾈｰｼﾞ","PDU","ONU"},$F254&amp;"")))&gt;0),NOT(SUMPRODUCT(--ISNUMBER(SEARCH({"電源オフ","未投入","停止","未使用","撤去"},$X254&amp;"")))&gt;0)),"／電力が未記入","")&amp;IF(AND(NOT(ISNUMBER(J254)),NOT(SUMPRODUCT(--ISNUMBER(SEARCH({"棚板","棚","アングル","ｱﾝｸﾞﾙ","使用不可","ケーブル","ｹｰﾌﾞﾙ","PatchPnael","パッチ","引き出し","引出","ブランク","ﾌﾞﾗﾝｸ","マネージ","ﾏﾈｰｼﾞ","PDU","ONU"},$F254&amp;"")))&gt;0)),"／重量が未記入","")&amp;IF(AND(K254&lt;&gt;"",NOT(ISNUMBER(K254))),"／電圧が数値でない","")&amp;IF(AND(N254&lt;&gt;"",NOT(ISNUMBER(N254))),"／電流が数値でない","")&amp;IF(AND(C254&lt;&gt;"",C254&lt;1),"／開始Uが1未満","")&amp;IF(AND(E254&lt;&gt;"",E254&gt;IFERROR(VLOOKUP(A254,ラック定義!$A:$B,2,FALSE),47)),"／総Uをはみ出す","")&amp;IF(AND(A254&lt;&gt;"",COUNTIF(ラック定義!$A:$A,A254)=0),"／ラックが定義にない","")&amp;IF(AND(SUMPRODUCT((機器台帳!$A$2:$A$400=$A254)*((機器台帳!$B$2:$B$400=$B254)+(機器台帳!$B$2:$B$400="両面")+($B254="両面")&gt;0)*(機器台帳!$C$2:$C$400&lt;=$C254+$D254-1)*(機器台帳!$C$2:$C$400+機器台帳!$D$2:$D$400-1&gt;=$C254)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254&amp;"")))&gt;0)),"／同じUに他の機器(横並びなら正常)","")&amp;IF(AND(M254&lt;&gt;"",COUNTIFS(回路定義!$A:$A,A254,回路定義!$B:$B,M254)=0),"／回路1が定義にない","")&amp;IF(AND(P254&lt;&gt;"",COUNTIFS(回路定義!$A:$A,A254,回路定義!$B:$B,P254)=0),"／回路2が定義にない","")&amp;IF(AND(S254&lt;&gt;"",COUNTIFS(回路定義!$A:$A,A254,回路定義!$B:$B,S254)=0),"／回路3が定義にない",""),2,300)))</f>
        <v/>
      </c>
    </row>
    <row r="255">
      <c r="A255" s="5" t="n"/>
      <c r="B255" s="5" t="n"/>
      <c r="C255" s="5" t="n"/>
      <c r="D255" s="5" t="n"/>
      <c r="E255" s="6">
        <f>IF(C255="","",C255+D255-1)</f>
        <v/>
      </c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6">
        <f>COUNT(N255,Q255,T255)</f>
        <v/>
      </c>
      <c r="Z255" s="6">
        <f>IF(OR(K255="",NOT(ISNUMBER(K255))),"",K255*SUM(N255,Q255,T255))</f>
        <v/>
      </c>
      <c r="AA255" s="6">
        <f>IF(OR(Y255=0,N255=""),"",N255/Y255)</f>
        <v/>
      </c>
      <c r="AB255" s="6">
        <f>IF(OR(Y255=0,Q255=""),"",Q255/Y255)</f>
        <v/>
      </c>
      <c r="AC255" s="6">
        <f>IF(OR(Y255=0,T255=""),"",T255/Y255)</f>
        <v/>
      </c>
      <c r="AD255" s="6">
        <f>IF(F255="","",IF((IF(AND(Y255=0,NOT(SUMPRODUCT(--ISNUMBER(SEARCH({"棚板","棚","アングル","ｱﾝｸﾞﾙ","使用不可","ケーブル","ｹｰﾌﾞﾙ","PatchPnael","パッチ","引き出し","引出","ブランク","ﾌﾞﾗﾝｸ","マネージ","ﾏﾈｰｼﾞ","PDU","ONU"},$F255&amp;"")))&gt;0),NOT(SUMPRODUCT(--ISNUMBER(SEARCH({"電源オフ","未投入","停止","未使用","撤去"},$X255&amp;"")))&gt;0)),"／電力が未記入","")&amp;IF(AND(NOT(ISNUMBER(J255)),NOT(SUMPRODUCT(--ISNUMBER(SEARCH({"棚板","棚","アングル","ｱﾝｸﾞﾙ","使用不可","ケーブル","ｹｰﾌﾞﾙ","PatchPnael","パッチ","引き出し","引出","ブランク","ﾌﾞﾗﾝｸ","マネージ","ﾏﾈｰｼﾞ","PDU","ONU"},$F255&amp;"")))&gt;0)),"／重量が未記入","")&amp;IF(AND(K255&lt;&gt;"",NOT(ISNUMBER(K255))),"／電圧が数値でない","")&amp;IF(AND(N255&lt;&gt;"",NOT(ISNUMBER(N255))),"／電流が数値でない","")&amp;IF(AND(C255&lt;&gt;"",C255&lt;1),"／開始Uが1未満","")&amp;IF(AND(E255&lt;&gt;"",E255&gt;IFERROR(VLOOKUP(A255,ラック定義!$A:$B,2,FALSE),47)),"／総Uをはみ出す","")&amp;IF(AND(A255&lt;&gt;"",COUNTIF(ラック定義!$A:$A,A255)=0),"／ラックが定義にない","")&amp;IF(AND(SUMPRODUCT((機器台帳!$A$2:$A$400=$A255)*((機器台帳!$B$2:$B$400=$B255)+(機器台帳!$B$2:$B$400="両面")+($B255="両面")&gt;0)*(機器台帳!$C$2:$C$400&lt;=$C255+$D255-1)*(機器台帳!$C$2:$C$400+機器台帳!$D$2:$D$400-1&gt;=$C255)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255&amp;"")))&gt;0)),"／同じUに他の機器(横並びなら正常)","")&amp;IF(AND(M255&lt;&gt;"",COUNTIFS(回路定義!$A:$A,A255,回路定義!$B:$B,M255)=0),"／回路1が定義にない","")&amp;IF(AND(P255&lt;&gt;"",COUNTIFS(回路定義!$A:$A,A255,回路定義!$B:$B,P255)=0),"／回路2が定義にない","")&amp;IF(AND(S255&lt;&gt;"",COUNTIFS(回路定義!$A:$A,A255,回路定義!$B:$B,S255)=0),"／回路3が定義にない",""))="","",MID(IF(AND(Y255=0,NOT(SUMPRODUCT(--ISNUMBER(SEARCH({"棚板","棚","アングル","ｱﾝｸﾞﾙ","使用不可","ケーブル","ｹｰﾌﾞﾙ","PatchPnael","パッチ","引き出し","引出","ブランク","ﾌﾞﾗﾝｸ","マネージ","ﾏﾈｰｼﾞ","PDU","ONU"},$F255&amp;"")))&gt;0),NOT(SUMPRODUCT(--ISNUMBER(SEARCH({"電源オフ","未投入","停止","未使用","撤去"},$X255&amp;"")))&gt;0)),"／電力が未記入","")&amp;IF(AND(NOT(ISNUMBER(J255)),NOT(SUMPRODUCT(--ISNUMBER(SEARCH({"棚板","棚","アングル","ｱﾝｸﾞﾙ","使用不可","ケーブル","ｹｰﾌﾞﾙ","PatchPnael","パッチ","引き出し","引出","ブランク","ﾌﾞﾗﾝｸ","マネージ","ﾏﾈｰｼﾞ","PDU","ONU"},$F255&amp;"")))&gt;0)),"／重量が未記入","")&amp;IF(AND(K255&lt;&gt;"",NOT(ISNUMBER(K255))),"／電圧が数値でない","")&amp;IF(AND(N255&lt;&gt;"",NOT(ISNUMBER(N255))),"／電流が数値でない","")&amp;IF(AND(C255&lt;&gt;"",C255&lt;1),"／開始Uが1未満","")&amp;IF(AND(E255&lt;&gt;"",E255&gt;IFERROR(VLOOKUP(A255,ラック定義!$A:$B,2,FALSE),47)),"／総Uをはみ出す","")&amp;IF(AND(A255&lt;&gt;"",COUNTIF(ラック定義!$A:$A,A255)=0),"／ラックが定義にない","")&amp;IF(AND(SUMPRODUCT((機器台帳!$A$2:$A$400=$A255)*((機器台帳!$B$2:$B$400=$B255)+(機器台帳!$B$2:$B$400="両面")+($B255="両面")&gt;0)*(機器台帳!$C$2:$C$400&lt;=$C255+$D255-1)*(機器台帳!$C$2:$C$400+機器台帳!$D$2:$D$400-1&gt;=$C255)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255&amp;"")))&gt;0)),"／同じUに他の機器(横並びなら正常)","")&amp;IF(AND(M255&lt;&gt;"",COUNTIFS(回路定義!$A:$A,A255,回路定義!$B:$B,M255)=0),"／回路1が定義にない","")&amp;IF(AND(P255&lt;&gt;"",COUNTIFS(回路定義!$A:$A,A255,回路定義!$B:$B,P255)=0),"／回路2が定義にない","")&amp;IF(AND(S255&lt;&gt;"",COUNTIFS(回路定義!$A:$A,A255,回路定義!$B:$B,S255)=0),"／回路3が定義にない",""),2,300)))</f>
        <v/>
      </c>
    </row>
    <row r="256">
      <c r="A256" s="5" t="n"/>
      <c r="B256" s="5" t="n"/>
      <c r="C256" s="5" t="n"/>
      <c r="D256" s="5" t="n"/>
      <c r="E256" s="6">
        <f>IF(C256="","",C256+D256-1)</f>
        <v/>
      </c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6">
        <f>COUNT(N256,Q256,T256)</f>
        <v/>
      </c>
      <c r="Z256" s="6">
        <f>IF(OR(K256="",NOT(ISNUMBER(K256))),"",K256*SUM(N256,Q256,T256))</f>
        <v/>
      </c>
      <c r="AA256" s="6">
        <f>IF(OR(Y256=0,N256=""),"",N256/Y256)</f>
        <v/>
      </c>
      <c r="AB256" s="6">
        <f>IF(OR(Y256=0,Q256=""),"",Q256/Y256)</f>
        <v/>
      </c>
      <c r="AC256" s="6">
        <f>IF(OR(Y256=0,T256=""),"",T256/Y256)</f>
        <v/>
      </c>
      <c r="AD256" s="6">
        <f>IF(F256="","",IF((IF(AND(Y256=0,NOT(SUMPRODUCT(--ISNUMBER(SEARCH({"棚板","棚","アングル","ｱﾝｸﾞﾙ","使用不可","ケーブル","ｹｰﾌﾞﾙ","PatchPnael","パッチ","引き出し","引出","ブランク","ﾌﾞﾗﾝｸ","マネージ","ﾏﾈｰｼﾞ","PDU","ONU"},$F256&amp;"")))&gt;0),NOT(SUMPRODUCT(--ISNUMBER(SEARCH({"電源オフ","未投入","停止","未使用","撤去"},$X256&amp;"")))&gt;0)),"／電力が未記入","")&amp;IF(AND(NOT(ISNUMBER(J256)),NOT(SUMPRODUCT(--ISNUMBER(SEARCH({"棚板","棚","アングル","ｱﾝｸﾞﾙ","使用不可","ケーブル","ｹｰﾌﾞﾙ","PatchPnael","パッチ","引き出し","引出","ブランク","ﾌﾞﾗﾝｸ","マネージ","ﾏﾈｰｼﾞ","PDU","ONU"},$F256&amp;"")))&gt;0)),"／重量が未記入","")&amp;IF(AND(K256&lt;&gt;"",NOT(ISNUMBER(K256))),"／電圧が数値でない","")&amp;IF(AND(N256&lt;&gt;"",NOT(ISNUMBER(N256))),"／電流が数値でない","")&amp;IF(AND(C256&lt;&gt;"",C256&lt;1),"／開始Uが1未満","")&amp;IF(AND(E256&lt;&gt;"",E256&gt;IFERROR(VLOOKUP(A256,ラック定義!$A:$B,2,FALSE),47)),"／総Uをはみ出す","")&amp;IF(AND(A256&lt;&gt;"",COUNTIF(ラック定義!$A:$A,A256)=0),"／ラックが定義にない","")&amp;IF(AND(SUMPRODUCT((機器台帳!$A$2:$A$400=$A256)*((機器台帳!$B$2:$B$400=$B256)+(機器台帳!$B$2:$B$400="両面")+($B256="両面")&gt;0)*(機器台帳!$C$2:$C$400&lt;=$C256+$D256-1)*(機器台帳!$C$2:$C$400+機器台帳!$D$2:$D$400-1&gt;=$C256)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256&amp;"")))&gt;0)),"／同じUに他の機器(横並びなら正常)","")&amp;IF(AND(M256&lt;&gt;"",COUNTIFS(回路定義!$A:$A,A256,回路定義!$B:$B,M256)=0),"／回路1が定義にない","")&amp;IF(AND(P256&lt;&gt;"",COUNTIFS(回路定義!$A:$A,A256,回路定義!$B:$B,P256)=0),"／回路2が定義にない","")&amp;IF(AND(S256&lt;&gt;"",COUNTIFS(回路定義!$A:$A,A256,回路定義!$B:$B,S256)=0),"／回路3が定義にない",""))="","",MID(IF(AND(Y256=0,NOT(SUMPRODUCT(--ISNUMBER(SEARCH({"棚板","棚","アングル","ｱﾝｸﾞﾙ","使用不可","ケーブル","ｹｰﾌﾞﾙ","PatchPnael","パッチ","引き出し","引出","ブランク","ﾌﾞﾗﾝｸ","マネージ","ﾏﾈｰｼﾞ","PDU","ONU"},$F256&amp;"")))&gt;0),NOT(SUMPRODUCT(--ISNUMBER(SEARCH({"電源オフ","未投入","停止","未使用","撤去"},$X256&amp;"")))&gt;0)),"／電力が未記入","")&amp;IF(AND(NOT(ISNUMBER(J256)),NOT(SUMPRODUCT(--ISNUMBER(SEARCH({"棚板","棚","アングル","ｱﾝｸﾞﾙ","使用不可","ケーブル","ｹｰﾌﾞﾙ","PatchPnael","パッチ","引き出し","引出","ブランク","ﾌﾞﾗﾝｸ","マネージ","ﾏﾈｰｼﾞ","PDU","ONU"},$F256&amp;"")))&gt;0)),"／重量が未記入","")&amp;IF(AND(K256&lt;&gt;"",NOT(ISNUMBER(K256))),"／電圧が数値でない","")&amp;IF(AND(N256&lt;&gt;"",NOT(ISNUMBER(N256))),"／電流が数値でない","")&amp;IF(AND(C256&lt;&gt;"",C256&lt;1),"／開始Uが1未満","")&amp;IF(AND(E256&lt;&gt;"",E256&gt;IFERROR(VLOOKUP(A256,ラック定義!$A:$B,2,FALSE),47)),"／総Uをはみ出す","")&amp;IF(AND(A256&lt;&gt;"",COUNTIF(ラック定義!$A:$A,A256)=0),"／ラックが定義にない","")&amp;IF(AND(SUMPRODUCT((機器台帳!$A$2:$A$400=$A256)*((機器台帳!$B$2:$B$400=$B256)+(機器台帳!$B$2:$B$400="両面")+($B256="両面")&gt;0)*(機器台帳!$C$2:$C$400&lt;=$C256+$D256-1)*(機器台帳!$C$2:$C$400+機器台帳!$D$2:$D$400-1&gt;=$C256)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256&amp;"")))&gt;0)),"／同じUに他の機器(横並びなら正常)","")&amp;IF(AND(M256&lt;&gt;"",COUNTIFS(回路定義!$A:$A,A256,回路定義!$B:$B,M256)=0),"／回路1が定義にない","")&amp;IF(AND(P256&lt;&gt;"",COUNTIFS(回路定義!$A:$A,A256,回路定義!$B:$B,P256)=0),"／回路2が定義にない","")&amp;IF(AND(S256&lt;&gt;"",COUNTIFS(回路定義!$A:$A,A256,回路定義!$B:$B,S256)=0),"／回路3が定義にない",""),2,300)))</f>
        <v/>
      </c>
    </row>
    <row r="257">
      <c r="A257" s="5" t="n"/>
      <c r="B257" s="5" t="n"/>
      <c r="C257" s="5" t="n"/>
      <c r="D257" s="5" t="n"/>
      <c r="E257" s="6">
        <f>IF(C257="","",C257+D257-1)</f>
        <v/>
      </c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6">
        <f>COUNT(N257,Q257,T257)</f>
        <v/>
      </c>
      <c r="Z257" s="6">
        <f>IF(OR(K257="",NOT(ISNUMBER(K257))),"",K257*SUM(N257,Q257,T257))</f>
        <v/>
      </c>
      <c r="AA257" s="6">
        <f>IF(OR(Y257=0,N257=""),"",N257/Y257)</f>
        <v/>
      </c>
      <c r="AB257" s="6">
        <f>IF(OR(Y257=0,Q257=""),"",Q257/Y257)</f>
        <v/>
      </c>
      <c r="AC257" s="6">
        <f>IF(OR(Y257=0,T257=""),"",T257/Y257)</f>
        <v/>
      </c>
      <c r="AD257" s="6">
        <f>IF(F257="","",IF((IF(AND(Y257=0,NOT(SUMPRODUCT(--ISNUMBER(SEARCH({"棚板","棚","アングル","ｱﾝｸﾞﾙ","使用不可","ケーブル","ｹｰﾌﾞﾙ","PatchPnael","パッチ","引き出し","引出","ブランク","ﾌﾞﾗﾝｸ","マネージ","ﾏﾈｰｼﾞ","PDU","ONU"},$F257&amp;"")))&gt;0),NOT(SUMPRODUCT(--ISNUMBER(SEARCH({"電源オフ","未投入","停止","未使用","撤去"},$X257&amp;"")))&gt;0)),"／電力が未記入","")&amp;IF(AND(NOT(ISNUMBER(J257)),NOT(SUMPRODUCT(--ISNUMBER(SEARCH({"棚板","棚","アングル","ｱﾝｸﾞﾙ","使用不可","ケーブル","ｹｰﾌﾞﾙ","PatchPnael","パッチ","引き出し","引出","ブランク","ﾌﾞﾗﾝｸ","マネージ","ﾏﾈｰｼﾞ","PDU","ONU"},$F257&amp;"")))&gt;0)),"／重量が未記入","")&amp;IF(AND(K257&lt;&gt;"",NOT(ISNUMBER(K257))),"／電圧が数値でない","")&amp;IF(AND(N257&lt;&gt;"",NOT(ISNUMBER(N257))),"／電流が数値でない","")&amp;IF(AND(C257&lt;&gt;"",C257&lt;1),"／開始Uが1未満","")&amp;IF(AND(E257&lt;&gt;"",E257&gt;IFERROR(VLOOKUP(A257,ラック定義!$A:$B,2,FALSE),47)),"／総Uをはみ出す","")&amp;IF(AND(A257&lt;&gt;"",COUNTIF(ラック定義!$A:$A,A257)=0),"／ラックが定義にない","")&amp;IF(AND(SUMPRODUCT((機器台帳!$A$2:$A$400=$A257)*((機器台帳!$B$2:$B$400=$B257)+(機器台帳!$B$2:$B$400="両面")+($B257="両面")&gt;0)*(機器台帳!$C$2:$C$400&lt;=$C257+$D257-1)*(機器台帳!$C$2:$C$400+機器台帳!$D$2:$D$400-1&gt;=$C257)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257&amp;"")))&gt;0)),"／同じUに他の機器(横並びなら正常)","")&amp;IF(AND(M257&lt;&gt;"",COUNTIFS(回路定義!$A:$A,A257,回路定義!$B:$B,M257)=0),"／回路1が定義にない","")&amp;IF(AND(P257&lt;&gt;"",COUNTIFS(回路定義!$A:$A,A257,回路定義!$B:$B,P257)=0),"／回路2が定義にない","")&amp;IF(AND(S257&lt;&gt;"",COUNTIFS(回路定義!$A:$A,A257,回路定義!$B:$B,S257)=0),"／回路3が定義にない",""))="","",MID(IF(AND(Y257=0,NOT(SUMPRODUCT(--ISNUMBER(SEARCH({"棚板","棚","アングル","ｱﾝｸﾞﾙ","使用不可","ケーブル","ｹｰﾌﾞﾙ","PatchPnael","パッチ","引き出し","引出","ブランク","ﾌﾞﾗﾝｸ","マネージ","ﾏﾈｰｼﾞ","PDU","ONU"},$F257&amp;"")))&gt;0),NOT(SUMPRODUCT(--ISNUMBER(SEARCH({"電源オフ","未投入","停止","未使用","撤去"},$X257&amp;"")))&gt;0)),"／電力が未記入","")&amp;IF(AND(NOT(ISNUMBER(J257)),NOT(SUMPRODUCT(--ISNUMBER(SEARCH({"棚板","棚","アングル","ｱﾝｸﾞﾙ","使用不可","ケーブル","ｹｰﾌﾞﾙ","PatchPnael","パッチ","引き出し","引出","ブランク","ﾌﾞﾗﾝｸ","マネージ","ﾏﾈｰｼﾞ","PDU","ONU"},$F257&amp;"")))&gt;0)),"／重量が未記入","")&amp;IF(AND(K257&lt;&gt;"",NOT(ISNUMBER(K257))),"／電圧が数値でない","")&amp;IF(AND(N257&lt;&gt;"",NOT(ISNUMBER(N257))),"／電流が数値でない","")&amp;IF(AND(C257&lt;&gt;"",C257&lt;1),"／開始Uが1未満","")&amp;IF(AND(E257&lt;&gt;"",E257&gt;IFERROR(VLOOKUP(A257,ラック定義!$A:$B,2,FALSE),47)),"／総Uをはみ出す","")&amp;IF(AND(A257&lt;&gt;"",COUNTIF(ラック定義!$A:$A,A257)=0),"／ラックが定義にない","")&amp;IF(AND(SUMPRODUCT((機器台帳!$A$2:$A$400=$A257)*((機器台帳!$B$2:$B$400=$B257)+(機器台帳!$B$2:$B$400="両面")+($B257="両面")&gt;0)*(機器台帳!$C$2:$C$400&lt;=$C257+$D257-1)*(機器台帳!$C$2:$C$400+機器台帳!$D$2:$D$400-1&gt;=$C257)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257&amp;"")))&gt;0)),"／同じUに他の機器(横並びなら正常)","")&amp;IF(AND(M257&lt;&gt;"",COUNTIFS(回路定義!$A:$A,A257,回路定義!$B:$B,M257)=0),"／回路1が定義にない","")&amp;IF(AND(P257&lt;&gt;"",COUNTIFS(回路定義!$A:$A,A257,回路定義!$B:$B,P257)=0),"／回路2が定義にない","")&amp;IF(AND(S257&lt;&gt;"",COUNTIFS(回路定義!$A:$A,A257,回路定義!$B:$B,S257)=0),"／回路3が定義にない",""),2,300)))</f>
        <v/>
      </c>
    </row>
    <row r="258">
      <c r="A258" s="5" t="n"/>
      <c r="B258" s="5" t="n"/>
      <c r="C258" s="5" t="n"/>
      <c r="D258" s="5" t="n"/>
      <c r="E258" s="6">
        <f>IF(C258="","",C258+D258-1)</f>
        <v/>
      </c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6">
        <f>COUNT(N258,Q258,T258)</f>
        <v/>
      </c>
      <c r="Z258" s="6">
        <f>IF(OR(K258="",NOT(ISNUMBER(K258))),"",K258*SUM(N258,Q258,T258))</f>
        <v/>
      </c>
      <c r="AA258" s="6">
        <f>IF(OR(Y258=0,N258=""),"",N258/Y258)</f>
        <v/>
      </c>
      <c r="AB258" s="6">
        <f>IF(OR(Y258=0,Q258=""),"",Q258/Y258)</f>
        <v/>
      </c>
      <c r="AC258" s="6">
        <f>IF(OR(Y258=0,T258=""),"",T258/Y258)</f>
        <v/>
      </c>
      <c r="AD258" s="6">
        <f>IF(F258="","",IF((IF(AND(Y258=0,NOT(SUMPRODUCT(--ISNUMBER(SEARCH({"棚板","棚","アングル","ｱﾝｸﾞﾙ","使用不可","ケーブル","ｹｰﾌﾞﾙ","PatchPnael","パッチ","引き出し","引出","ブランク","ﾌﾞﾗﾝｸ","マネージ","ﾏﾈｰｼﾞ","PDU","ONU"},$F258&amp;"")))&gt;0),NOT(SUMPRODUCT(--ISNUMBER(SEARCH({"電源オフ","未投入","停止","未使用","撤去"},$X258&amp;"")))&gt;0)),"／電力が未記入","")&amp;IF(AND(NOT(ISNUMBER(J258)),NOT(SUMPRODUCT(--ISNUMBER(SEARCH({"棚板","棚","アングル","ｱﾝｸﾞﾙ","使用不可","ケーブル","ｹｰﾌﾞﾙ","PatchPnael","パッチ","引き出し","引出","ブランク","ﾌﾞﾗﾝｸ","マネージ","ﾏﾈｰｼﾞ","PDU","ONU"},$F258&amp;"")))&gt;0)),"／重量が未記入","")&amp;IF(AND(K258&lt;&gt;"",NOT(ISNUMBER(K258))),"／電圧が数値でない","")&amp;IF(AND(N258&lt;&gt;"",NOT(ISNUMBER(N258))),"／電流が数値でない","")&amp;IF(AND(C258&lt;&gt;"",C258&lt;1),"／開始Uが1未満","")&amp;IF(AND(E258&lt;&gt;"",E258&gt;IFERROR(VLOOKUP(A258,ラック定義!$A:$B,2,FALSE),47)),"／総Uをはみ出す","")&amp;IF(AND(A258&lt;&gt;"",COUNTIF(ラック定義!$A:$A,A258)=0),"／ラックが定義にない","")&amp;IF(AND(SUMPRODUCT((機器台帳!$A$2:$A$400=$A258)*((機器台帳!$B$2:$B$400=$B258)+(機器台帳!$B$2:$B$400="両面")+($B258="両面")&gt;0)*(機器台帳!$C$2:$C$400&lt;=$C258+$D258-1)*(機器台帳!$C$2:$C$400+機器台帳!$D$2:$D$400-1&gt;=$C258)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258&amp;"")))&gt;0)),"／同じUに他の機器(横並びなら正常)","")&amp;IF(AND(M258&lt;&gt;"",COUNTIFS(回路定義!$A:$A,A258,回路定義!$B:$B,M258)=0),"／回路1が定義にない","")&amp;IF(AND(P258&lt;&gt;"",COUNTIFS(回路定義!$A:$A,A258,回路定義!$B:$B,P258)=0),"／回路2が定義にない","")&amp;IF(AND(S258&lt;&gt;"",COUNTIFS(回路定義!$A:$A,A258,回路定義!$B:$B,S258)=0),"／回路3が定義にない",""))="","",MID(IF(AND(Y258=0,NOT(SUMPRODUCT(--ISNUMBER(SEARCH({"棚板","棚","アングル","ｱﾝｸﾞﾙ","使用不可","ケーブル","ｹｰﾌﾞﾙ","PatchPnael","パッチ","引き出し","引出","ブランク","ﾌﾞﾗﾝｸ","マネージ","ﾏﾈｰｼﾞ","PDU","ONU"},$F258&amp;"")))&gt;0),NOT(SUMPRODUCT(--ISNUMBER(SEARCH({"電源オフ","未投入","停止","未使用","撤去"},$X258&amp;"")))&gt;0)),"／電力が未記入","")&amp;IF(AND(NOT(ISNUMBER(J258)),NOT(SUMPRODUCT(--ISNUMBER(SEARCH({"棚板","棚","アングル","ｱﾝｸﾞﾙ","使用不可","ケーブル","ｹｰﾌﾞﾙ","PatchPnael","パッチ","引き出し","引出","ブランク","ﾌﾞﾗﾝｸ","マネージ","ﾏﾈｰｼﾞ","PDU","ONU"},$F258&amp;"")))&gt;0)),"／重量が未記入","")&amp;IF(AND(K258&lt;&gt;"",NOT(ISNUMBER(K258))),"／電圧が数値でない","")&amp;IF(AND(N258&lt;&gt;"",NOT(ISNUMBER(N258))),"／電流が数値でない","")&amp;IF(AND(C258&lt;&gt;"",C258&lt;1),"／開始Uが1未満","")&amp;IF(AND(E258&lt;&gt;"",E258&gt;IFERROR(VLOOKUP(A258,ラック定義!$A:$B,2,FALSE),47)),"／総Uをはみ出す","")&amp;IF(AND(A258&lt;&gt;"",COUNTIF(ラック定義!$A:$A,A258)=0),"／ラックが定義にない","")&amp;IF(AND(SUMPRODUCT((機器台帳!$A$2:$A$400=$A258)*((機器台帳!$B$2:$B$400=$B258)+(機器台帳!$B$2:$B$400="両面")+($B258="両面")&gt;0)*(機器台帳!$C$2:$C$400&lt;=$C258+$D258-1)*(機器台帳!$C$2:$C$400+機器台帳!$D$2:$D$400-1&gt;=$C258)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258&amp;"")))&gt;0)),"／同じUに他の機器(横並びなら正常)","")&amp;IF(AND(M258&lt;&gt;"",COUNTIFS(回路定義!$A:$A,A258,回路定義!$B:$B,M258)=0),"／回路1が定義にない","")&amp;IF(AND(P258&lt;&gt;"",COUNTIFS(回路定義!$A:$A,A258,回路定義!$B:$B,P258)=0),"／回路2が定義にない","")&amp;IF(AND(S258&lt;&gt;"",COUNTIFS(回路定義!$A:$A,A258,回路定義!$B:$B,S258)=0),"／回路3が定義にない",""),2,300)))</f>
        <v/>
      </c>
    </row>
    <row r="259">
      <c r="A259" s="5" t="n"/>
      <c r="B259" s="5" t="n"/>
      <c r="C259" s="5" t="n"/>
      <c r="D259" s="5" t="n"/>
      <c r="E259" s="6">
        <f>IF(C259="","",C259+D259-1)</f>
        <v/>
      </c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6">
        <f>COUNT(N259,Q259,T259)</f>
        <v/>
      </c>
      <c r="Z259" s="6">
        <f>IF(OR(K259="",NOT(ISNUMBER(K259))),"",K259*SUM(N259,Q259,T259))</f>
        <v/>
      </c>
      <c r="AA259" s="6">
        <f>IF(OR(Y259=0,N259=""),"",N259/Y259)</f>
        <v/>
      </c>
      <c r="AB259" s="6">
        <f>IF(OR(Y259=0,Q259=""),"",Q259/Y259)</f>
        <v/>
      </c>
      <c r="AC259" s="6">
        <f>IF(OR(Y259=0,T259=""),"",T259/Y259)</f>
        <v/>
      </c>
      <c r="AD259" s="6">
        <f>IF(F259="","",IF((IF(AND(Y259=0,NOT(SUMPRODUCT(--ISNUMBER(SEARCH({"棚板","棚","アングル","ｱﾝｸﾞﾙ","使用不可","ケーブル","ｹｰﾌﾞﾙ","PatchPnael","パッチ","引き出し","引出","ブランク","ﾌﾞﾗﾝｸ","マネージ","ﾏﾈｰｼﾞ","PDU","ONU"},$F259&amp;"")))&gt;0),NOT(SUMPRODUCT(--ISNUMBER(SEARCH({"電源オフ","未投入","停止","未使用","撤去"},$X259&amp;"")))&gt;0)),"／電力が未記入","")&amp;IF(AND(NOT(ISNUMBER(J259)),NOT(SUMPRODUCT(--ISNUMBER(SEARCH({"棚板","棚","アングル","ｱﾝｸﾞﾙ","使用不可","ケーブル","ｹｰﾌﾞﾙ","PatchPnael","パッチ","引き出し","引出","ブランク","ﾌﾞﾗﾝｸ","マネージ","ﾏﾈｰｼﾞ","PDU","ONU"},$F259&amp;"")))&gt;0)),"／重量が未記入","")&amp;IF(AND(K259&lt;&gt;"",NOT(ISNUMBER(K259))),"／電圧が数値でない","")&amp;IF(AND(N259&lt;&gt;"",NOT(ISNUMBER(N259))),"／電流が数値でない","")&amp;IF(AND(C259&lt;&gt;"",C259&lt;1),"／開始Uが1未満","")&amp;IF(AND(E259&lt;&gt;"",E259&gt;IFERROR(VLOOKUP(A259,ラック定義!$A:$B,2,FALSE),47)),"／総Uをはみ出す","")&amp;IF(AND(A259&lt;&gt;"",COUNTIF(ラック定義!$A:$A,A259)=0),"／ラックが定義にない","")&amp;IF(AND(SUMPRODUCT((機器台帳!$A$2:$A$400=$A259)*((機器台帳!$B$2:$B$400=$B259)+(機器台帳!$B$2:$B$400="両面")+($B259="両面")&gt;0)*(機器台帳!$C$2:$C$400&lt;=$C259+$D259-1)*(機器台帳!$C$2:$C$400+機器台帳!$D$2:$D$400-1&gt;=$C259)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259&amp;"")))&gt;0)),"／同じUに他の機器(横並びなら正常)","")&amp;IF(AND(M259&lt;&gt;"",COUNTIFS(回路定義!$A:$A,A259,回路定義!$B:$B,M259)=0),"／回路1が定義にない","")&amp;IF(AND(P259&lt;&gt;"",COUNTIFS(回路定義!$A:$A,A259,回路定義!$B:$B,P259)=0),"／回路2が定義にない","")&amp;IF(AND(S259&lt;&gt;"",COUNTIFS(回路定義!$A:$A,A259,回路定義!$B:$B,S259)=0),"／回路3が定義にない",""))="","",MID(IF(AND(Y259=0,NOT(SUMPRODUCT(--ISNUMBER(SEARCH({"棚板","棚","アングル","ｱﾝｸﾞﾙ","使用不可","ケーブル","ｹｰﾌﾞﾙ","PatchPnael","パッチ","引き出し","引出","ブランク","ﾌﾞﾗﾝｸ","マネージ","ﾏﾈｰｼﾞ","PDU","ONU"},$F259&amp;"")))&gt;0),NOT(SUMPRODUCT(--ISNUMBER(SEARCH({"電源オフ","未投入","停止","未使用","撤去"},$X259&amp;"")))&gt;0)),"／電力が未記入","")&amp;IF(AND(NOT(ISNUMBER(J259)),NOT(SUMPRODUCT(--ISNUMBER(SEARCH({"棚板","棚","アングル","ｱﾝｸﾞﾙ","使用不可","ケーブル","ｹｰﾌﾞﾙ","PatchPnael","パッチ","引き出し","引出","ブランク","ﾌﾞﾗﾝｸ","マネージ","ﾏﾈｰｼﾞ","PDU","ONU"},$F259&amp;"")))&gt;0)),"／重量が未記入","")&amp;IF(AND(K259&lt;&gt;"",NOT(ISNUMBER(K259))),"／電圧が数値でない","")&amp;IF(AND(N259&lt;&gt;"",NOT(ISNUMBER(N259))),"／電流が数値でない","")&amp;IF(AND(C259&lt;&gt;"",C259&lt;1),"／開始Uが1未満","")&amp;IF(AND(E259&lt;&gt;"",E259&gt;IFERROR(VLOOKUP(A259,ラック定義!$A:$B,2,FALSE),47)),"／総Uをはみ出す","")&amp;IF(AND(A259&lt;&gt;"",COUNTIF(ラック定義!$A:$A,A259)=0),"／ラックが定義にない","")&amp;IF(AND(SUMPRODUCT((機器台帳!$A$2:$A$400=$A259)*((機器台帳!$B$2:$B$400=$B259)+(機器台帳!$B$2:$B$400="両面")+($B259="両面")&gt;0)*(機器台帳!$C$2:$C$400&lt;=$C259+$D259-1)*(機器台帳!$C$2:$C$400+機器台帳!$D$2:$D$400-1&gt;=$C259)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259&amp;"")))&gt;0)),"／同じUに他の機器(横並びなら正常)","")&amp;IF(AND(M259&lt;&gt;"",COUNTIFS(回路定義!$A:$A,A259,回路定義!$B:$B,M259)=0),"／回路1が定義にない","")&amp;IF(AND(P259&lt;&gt;"",COUNTIFS(回路定義!$A:$A,A259,回路定義!$B:$B,P259)=0),"／回路2が定義にない","")&amp;IF(AND(S259&lt;&gt;"",COUNTIFS(回路定義!$A:$A,A259,回路定義!$B:$B,S259)=0),"／回路3が定義にない",""),2,300)))</f>
        <v/>
      </c>
    </row>
    <row r="260">
      <c r="A260" s="5" t="n"/>
      <c r="B260" s="5" t="n"/>
      <c r="C260" s="5" t="n"/>
      <c r="D260" s="5" t="n"/>
      <c r="E260" s="6">
        <f>IF(C260="","",C260+D260-1)</f>
        <v/>
      </c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6">
        <f>COUNT(N260,Q260,T260)</f>
        <v/>
      </c>
      <c r="Z260" s="6">
        <f>IF(OR(K260="",NOT(ISNUMBER(K260))),"",K260*SUM(N260,Q260,T260))</f>
        <v/>
      </c>
      <c r="AA260" s="6">
        <f>IF(OR(Y260=0,N260=""),"",N260/Y260)</f>
        <v/>
      </c>
      <c r="AB260" s="6">
        <f>IF(OR(Y260=0,Q260=""),"",Q260/Y260)</f>
        <v/>
      </c>
      <c r="AC260" s="6">
        <f>IF(OR(Y260=0,T260=""),"",T260/Y260)</f>
        <v/>
      </c>
      <c r="AD260" s="6">
        <f>IF(F260="","",IF((IF(AND(Y260=0,NOT(SUMPRODUCT(--ISNUMBER(SEARCH({"棚板","棚","アングル","ｱﾝｸﾞﾙ","使用不可","ケーブル","ｹｰﾌﾞﾙ","PatchPnael","パッチ","引き出し","引出","ブランク","ﾌﾞﾗﾝｸ","マネージ","ﾏﾈｰｼﾞ","PDU","ONU"},$F260&amp;"")))&gt;0),NOT(SUMPRODUCT(--ISNUMBER(SEARCH({"電源オフ","未投入","停止","未使用","撤去"},$X260&amp;"")))&gt;0)),"／電力が未記入","")&amp;IF(AND(NOT(ISNUMBER(J260)),NOT(SUMPRODUCT(--ISNUMBER(SEARCH({"棚板","棚","アングル","ｱﾝｸﾞﾙ","使用不可","ケーブル","ｹｰﾌﾞﾙ","PatchPnael","パッチ","引き出し","引出","ブランク","ﾌﾞﾗﾝｸ","マネージ","ﾏﾈｰｼﾞ","PDU","ONU"},$F260&amp;"")))&gt;0)),"／重量が未記入","")&amp;IF(AND(K260&lt;&gt;"",NOT(ISNUMBER(K260))),"／電圧が数値でない","")&amp;IF(AND(N260&lt;&gt;"",NOT(ISNUMBER(N260))),"／電流が数値でない","")&amp;IF(AND(C260&lt;&gt;"",C260&lt;1),"／開始Uが1未満","")&amp;IF(AND(E260&lt;&gt;"",E260&gt;IFERROR(VLOOKUP(A260,ラック定義!$A:$B,2,FALSE),47)),"／総Uをはみ出す","")&amp;IF(AND(A260&lt;&gt;"",COUNTIF(ラック定義!$A:$A,A260)=0),"／ラックが定義にない","")&amp;IF(AND(SUMPRODUCT((機器台帳!$A$2:$A$400=$A260)*((機器台帳!$B$2:$B$400=$B260)+(機器台帳!$B$2:$B$400="両面")+($B260="両面")&gt;0)*(機器台帳!$C$2:$C$400&lt;=$C260+$D260-1)*(機器台帳!$C$2:$C$400+機器台帳!$D$2:$D$400-1&gt;=$C260)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260&amp;"")))&gt;0)),"／同じUに他の機器(横並びなら正常)","")&amp;IF(AND(M260&lt;&gt;"",COUNTIFS(回路定義!$A:$A,A260,回路定義!$B:$B,M260)=0),"／回路1が定義にない","")&amp;IF(AND(P260&lt;&gt;"",COUNTIFS(回路定義!$A:$A,A260,回路定義!$B:$B,P260)=0),"／回路2が定義にない","")&amp;IF(AND(S260&lt;&gt;"",COUNTIFS(回路定義!$A:$A,A260,回路定義!$B:$B,S260)=0),"／回路3が定義にない",""))="","",MID(IF(AND(Y260=0,NOT(SUMPRODUCT(--ISNUMBER(SEARCH({"棚板","棚","アングル","ｱﾝｸﾞﾙ","使用不可","ケーブル","ｹｰﾌﾞﾙ","PatchPnael","パッチ","引き出し","引出","ブランク","ﾌﾞﾗﾝｸ","マネージ","ﾏﾈｰｼﾞ","PDU","ONU"},$F260&amp;"")))&gt;0),NOT(SUMPRODUCT(--ISNUMBER(SEARCH({"電源オフ","未投入","停止","未使用","撤去"},$X260&amp;"")))&gt;0)),"／電力が未記入","")&amp;IF(AND(NOT(ISNUMBER(J260)),NOT(SUMPRODUCT(--ISNUMBER(SEARCH({"棚板","棚","アングル","ｱﾝｸﾞﾙ","使用不可","ケーブル","ｹｰﾌﾞﾙ","PatchPnael","パッチ","引き出し","引出","ブランク","ﾌﾞﾗﾝｸ","マネージ","ﾏﾈｰｼﾞ","PDU","ONU"},$F260&amp;"")))&gt;0)),"／重量が未記入","")&amp;IF(AND(K260&lt;&gt;"",NOT(ISNUMBER(K260))),"／電圧が数値でない","")&amp;IF(AND(N260&lt;&gt;"",NOT(ISNUMBER(N260))),"／電流が数値でない","")&amp;IF(AND(C260&lt;&gt;"",C260&lt;1),"／開始Uが1未満","")&amp;IF(AND(E260&lt;&gt;"",E260&gt;IFERROR(VLOOKUP(A260,ラック定義!$A:$B,2,FALSE),47)),"／総Uをはみ出す","")&amp;IF(AND(A260&lt;&gt;"",COUNTIF(ラック定義!$A:$A,A260)=0),"／ラックが定義にない","")&amp;IF(AND(SUMPRODUCT((機器台帳!$A$2:$A$400=$A260)*((機器台帳!$B$2:$B$400=$B260)+(機器台帳!$B$2:$B$400="両面")+($B260="両面")&gt;0)*(機器台帳!$C$2:$C$400&lt;=$C260+$D260-1)*(機器台帳!$C$2:$C$400+機器台帳!$D$2:$D$400-1&gt;=$C260)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260&amp;"")))&gt;0)),"／同じUに他の機器(横並びなら正常)","")&amp;IF(AND(M260&lt;&gt;"",COUNTIFS(回路定義!$A:$A,A260,回路定義!$B:$B,M260)=0),"／回路1が定義にない","")&amp;IF(AND(P260&lt;&gt;"",COUNTIFS(回路定義!$A:$A,A260,回路定義!$B:$B,P260)=0),"／回路2が定義にない","")&amp;IF(AND(S260&lt;&gt;"",COUNTIFS(回路定義!$A:$A,A260,回路定義!$B:$B,S260)=0),"／回路3が定義にない",""),2,300)))</f>
        <v/>
      </c>
    </row>
    <row r="261">
      <c r="A261" s="5" t="n"/>
      <c r="B261" s="5" t="n"/>
      <c r="C261" s="5" t="n"/>
      <c r="D261" s="5" t="n"/>
      <c r="E261" s="6">
        <f>IF(C261="","",C261+D261-1)</f>
        <v/>
      </c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6">
        <f>COUNT(N261,Q261,T261)</f>
        <v/>
      </c>
      <c r="Z261" s="6">
        <f>IF(OR(K261="",NOT(ISNUMBER(K261))),"",K261*SUM(N261,Q261,T261))</f>
        <v/>
      </c>
      <c r="AA261" s="6">
        <f>IF(OR(Y261=0,N261=""),"",N261/Y261)</f>
        <v/>
      </c>
      <c r="AB261" s="6">
        <f>IF(OR(Y261=0,Q261=""),"",Q261/Y261)</f>
        <v/>
      </c>
      <c r="AC261" s="6">
        <f>IF(OR(Y261=0,T261=""),"",T261/Y261)</f>
        <v/>
      </c>
      <c r="AD261" s="6">
        <f>IF(F261="","",IF((IF(AND(Y261=0,NOT(SUMPRODUCT(--ISNUMBER(SEARCH({"棚板","棚","アングル","ｱﾝｸﾞﾙ","使用不可","ケーブル","ｹｰﾌﾞﾙ","PatchPnael","パッチ","引き出し","引出","ブランク","ﾌﾞﾗﾝｸ","マネージ","ﾏﾈｰｼﾞ","PDU","ONU"},$F261&amp;"")))&gt;0),NOT(SUMPRODUCT(--ISNUMBER(SEARCH({"電源オフ","未投入","停止","未使用","撤去"},$X261&amp;"")))&gt;0)),"／電力が未記入","")&amp;IF(AND(NOT(ISNUMBER(J261)),NOT(SUMPRODUCT(--ISNUMBER(SEARCH({"棚板","棚","アングル","ｱﾝｸﾞﾙ","使用不可","ケーブル","ｹｰﾌﾞﾙ","PatchPnael","パッチ","引き出し","引出","ブランク","ﾌﾞﾗﾝｸ","マネージ","ﾏﾈｰｼﾞ","PDU","ONU"},$F261&amp;"")))&gt;0)),"／重量が未記入","")&amp;IF(AND(K261&lt;&gt;"",NOT(ISNUMBER(K261))),"／電圧が数値でない","")&amp;IF(AND(N261&lt;&gt;"",NOT(ISNUMBER(N261))),"／電流が数値でない","")&amp;IF(AND(C261&lt;&gt;"",C261&lt;1),"／開始Uが1未満","")&amp;IF(AND(E261&lt;&gt;"",E261&gt;IFERROR(VLOOKUP(A261,ラック定義!$A:$B,2,FALSE),47)),"／総Uをはみ出す","")&amp;IF(AND(A261&lt;&gt;"",COUNTIF(ラック定義!$A:$A,A261)=0),"／ラックが定義にない","")&amp;IF(AND(SUMPRODUCT((機器台帳!$A$2:$A$400=$A261)*((機器台帳!$B$2:$B$400=$B261)+(機器台帳!$B$2:$B$400="両面")+($B261="両面")&gt;0)*(機器台帳!$C$2:$C$400&lt;=$C261+$D261-1)*(機器台帳!$C$2:$C$400+機器台帳!$D$2:$D$400-1&gt;=$C261)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261&amp;"")))&gt;0)),"／同じUに他の機器(横並びなら正常)","")&amp;IF(AND(M261&lt;&gt;"",COUNTIFS(回路定義!$A:$A,A261,回路定義!$B:$B,M261)=0),"／回路1が定義にない","")&amp;IF(AND(P261&lt;&gt;"",COUNTIFS(回路定義!$A:$A,A261,回路定義!$B:$B,P261)=0),"／回路2が定義にない","")&amp;IF(AND(S261&lt;&gt;"",COUNTIFS(回路定義!$A:$A,A261,回路定義!$B:$B,S261)=0),"／回路3が定義にない",""))="","",MID(IF(AND(Y261=0,NOT(SUMPRODUCT(--ISNUMBER(SEARCH({"棚板","棚","アングル","ｱﾝｸﾞﾙ","使用不可","ケーブル","ｹｰﾌﾞﾙ","PatchPnael","パッチ","引き出し","引出","ブランク","ﾌﾞﾗﾝｸ","マネージ","ﾏﾈｰｼﾞ","PDU","ONU"},$F261&amp;"")))&gt;0),NOT(SUMPRODUCT(--ISNUMBER(SEARCH({"電源オフ","未投入","停止","未使用","撤去"},$X261&amp;"")))&gt;0)),"／電力が未記入","")&amp;IF(AND(NOT(ISNUMBER(J261)),NOT(SUMPRODUCT(--ISNUMBER(SEARCH({"棚板","棚","アングル","ｱﾝｸﾞﾙ","使用不可","ケーブル","ｹｰﾌﾞﾙ","PatchPnael","パッチ","引き出し","引出","ブランク","ﾌﾞﾗﾝｸ","マネージ","ﾏﾈｰｼﾞ","PDU","ONU"},$F261&amp;"")))&gt;0)),"／重量が未記入","")&amp;IF(AND(K261&lt;&gt;"",NOT(ISNUMBER(K261))),"／電圧が数値でない","")&amp;IF(AND(N261&lt;&gt;"",NOT(ISNUMBER(N261))),"／電流が数値でない","")&amp;IF(AND(C261&lt;&gt;"",C261&lt;1),"／開始Uが1未満","")&amp;IF(AND(E261&lt;&gt;"",E261&gt;IFERROR(VLOOKUP(A261,ラック定義!$A:$B,2,FALSE),47)),"／総Uをはみ出す","")&amp;IF(AND(A261&lt;&gt;"",COUNTIF(ラック定義!$A:$A,A261)=0),"／ラックが定義にない","")&amp;IF(AND(SUMPRODUCT((機器台帳!$A$2:$A$400=$A261)*((機器台帳!$B$2:$B$400=$B261)+(機器台帳!$B$2:$B$400="両面")+($B261="両面")&gt;0)*(機器台帳!$C$2:$C$400&lt;=$C261+$D261-1)*(機器台帳!$C$2:$C$400+機器台帳!$D$2:$D$400-1&gt;=$C261)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261&amp;"")))&gt;0)),"／同じUに他の機器(横並びなら正常)","")&amp;IF(AND(M261&lt;&gt;"",COUNTIFS(回路定義!$A:$A,A261,回路定義!$B:$B,M261)=0),"／回路1が定義にない","")&amp;IF(AND(P261&lt;&gt;"",COUNTIFS(回路定義!$A:$A,A261,回路定義!$B:$B,P261)=0),"／回路2が定義にない","")&amp;IF(AND(S261&lt;&gt;"",COUNTIFS(回路定義!$A:$A,A261,回路定義!$B:$B,S261)=0),"／回路3が定義にない",""),2,300)))</f>
        <v/>
      </c>
    </row>
    <row r="262">
      <c r="A262" s="5" t="n"/>
      <c r="B262" s="5" t="n"/>
      <c r="C262" s="5" t="n"/>
      <c r="D262" s="5" t="n"/>
      <c r="E262" s="6">
        <f>IF(C262="","",C262+D262-1)</f>
        <v/>
      </c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6">
        <f>COUNT(N262,Q262,T262)</f>
        <v/>
      </c>
      <c r="Z262" s="6">
        <f>IF(OR(K262="",NOT(ISNUMBER(K262))),"",K262*SUM(N262,Q262,T262))</f>
        <v/>
      </c>
      <c r="AA262" s="6">
        <f>IF(OR(Y262=0,N262=""),"",N262/Y262)</f>
        <v/>
      </c>
      <c r="AB262" s="6">
        <f>IF(OR(Y262=0,Q262=""),"",Q262/Y262)</f>
        <v/>
      </c>
      <c r="AC262" s="6">
        <f>IF(OR(Y262=0,T262=""),"",T262/Y262)</f>
        <v/>
      </c>
      <c r="AD262" s="6">
        <f>IF(F262="","",IF((IF(AND(Y262=0,NOT(SUMPRODUCT(--ISNUMBER(SEARCH({"棚板","棚","アングル","ｱﾝｸﾞﾙ","使用不可","ケーブル","ｹｰﾌﾞﾙ","PatchPnael","パッチ","引き出し","引出","ブランク","ﾌﾞﾗﾝｸ","マネージ","ﾏﾈｰｼﾞ","PDU","ONU"},$F262&amp;"")))&gt;0),NOT(SUMPRODUCT(--ISNUMBER(SEARCH({"電源オフ","未投入","停止","未使用","撤去"},$X262&amp;"")))&gt;0)),"／電力が未記入","")&amp;IF(AND(NOT(ISNUMBER(J262)),NOT(SUMPRODUCT(--ISNUMBER(SEARCH({"棚板","棚","アングル","ｱﾝｸﾞﾙ","使用不可","ケーブル","ｹｰﾌﾞﾙ","PatchPnael","パッチ","引き出し","引出","ブランク","ﾌﾞﾗﾝｸ","マネージ","ﾏﾈｰｼﾞ","PDU","ONU"},$F262&amp;"")))&gt;0)),"／重量が未記入","")&amp;IF(AND(K262&lt;&gt;"",NOT(ISNUMBER(K262))),"／電圧が数値でない","")&amp;IF(AND(N262&lt;&gt;"",NOT(ISNUMBER(N262))),"／電流が数値でない","")&amp;IF(AND(C262&lt;&gt;"",C262&lt;1),"／開始Uが1未満","")&amp;IF(AND(E262&lt;&gt;"",E262&gt;IFERROR(VLOOKUP(A262,ラック定義!$A:$B,2,FALSE),47)),"／総Uをはみ出す","")&amp;IF(AND(A262&lt;&gt;"",COUNTIF(ラック定義!$A:$A,A262)=0),"／ラックが定義にない","")&amp;IF(AND(SUMPRODUCT((機器台帳!$A$2:$A$400=$A262)*((機器台帳!$B$2:$B$400=$B262)+(機器台帳!$B$2:$B$400="両面")+($B262="両面")&gt;0)*(機器台帳!$C$2:$C$400&lt;=$C262+$D262-1)*(機器台帳!$C$2:$C$400+機器台帳!$D$2:$D$400-1&gt;=$C262)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262&amp;"")))&gt;0)),"／同じUに他の機器(横並びなら正常)","")&amp;IF(AND(M262&lt;&gt;"",COUNTIFS(回路定義!$A:$A,A262,回路定義!$B:$B,M262)=0),"／回路1が定義にない","")&amp;IF(AND(P262&lt;&gt;"",COUNTIFS(回路定義!$A:$A,A262,回路定義!$B:$B,P262)=0),"／回路2が定義にない","")&amp;IF(AND(S262&lt;&gt;"",COUNTIFS(回路定義!$A:$A,A262,回路定義!$B:$B,S262)=0),"／回路3が定義にない",""))="","",MID(IF(AND(Y262=0,NOT(SUMPRODUCT(--ISNUMBER(SEARCH({"棚板","棚","アングル","ｱﾝｸﾞﾙ","使用不可","ケーブル","ｹｰﾌﾞﾙ","PatchPnael","パッチ","引き出し","引出","ブランク","ﾌﾞﾗﾝｸ","マネージ","ﾏﾈｰｼﾞ","PDU","ONU"},$F262&amp;"")))&gt;0),NOT(SUMPRODUCT(--ISNUMBER(SEARCH({"電源オフ","未投入","停止","未使用","撤去"},$X262&amp;"")))&gt;0)),"／電力が未記入","")&amp;IF(AND(NOT(ISNUMBER(J262)),NOT(SUMPRODUCT(--ISNUMBER(SEARCH({"棚板","棚","アングル","ｱﾝｸﾞﾙ","使用不可","ケーブル","ｹｰﾌﾞﾙ","PatchPnael","パッチ","引き出し","引出","ブランク","ﾌﾞﾗﾝｸ","マネージ","ﾏﾈｰｼﾞ","PDU","ONU"},$F262&amp;"")))&gt;0)),"／重量が未記入","")&amp;IF(AND(K262&lt;&gt;"",NOT(ISNUMBER(K262))),"／電圧が数値でない","")&amp;IF(AND(N262&lt;&gt;"",NOT(ISNUMBER(N262))),"／電流が数値でない","")&amp;IF(AND(C262&lt;&gt;"",C262&lt;1),"／開始Uが1未満","")&amp;IF(AND(E262&lt;&gt;"",E262&gt;IFERROR(VLOOKUP(A262,ラック定義!$A:$B,2,FALSE),47)),"／総Uをはみ出す","")&amp;IF(AND(A262&lt;&gt;"",COUNTIF(ラック定義!$A:$A,A262)=0),"／ラックが定義にない","")&amp;IF(AND(SUMPRODUCT((機器台帳!$A$2:$A$400=$A262)*((機器台帳!$B$2:$B$400=$B262)+(機器台帳!$B$2:$B$400="両面")+($B262="両面")&gt;0)*(機器台帳!$C$2:$C$400&lt;=$C262+$D262-1)*(機器台帳!$C$2:$C$400+機器台帳!$D$2:$D$400-1&gt;=$C262)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262&amp;"")))&gt;0)),"／同じUに他の機器(横並びなら正常)","")&amp;IF(AND(M262&lt;&gt;"",COUNTIFS(回路定義!$A:$A,A262,回路定義!$B:$B,M262)=0),"／回路1が定義にない","")&amp;IF(AND(P262&lt;&gt;"",COUNTIFS(回路定義!$A:$A,A262,回路定義!$B:$B,P262)=0),"／回路2が定義にない","")&amp;IF(AND(S262&lt;&gt;"",COUNTIFS(回路定義!$A:$A,A262,回路定義!$B:$B,S262)=0),"／回路3が定義にない",""),2,300)))</f>
        <v/>
      </c>
    </row>
    <row r="263">
      <c r="A263" s="5" t="n"/>
      <c r="B263" s="5" t="n"/>
      <c r="C263" s="5" t="n"/>
      <c r="D263" s="5" t="n"/>
      <c r="E263" s="6">
        <f>IF(C263="","",C263+D263-1)</f>
        <v/>
      </c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6">
        <f>COUNT(N263,Q263,T263)</f>
        <v/>
      </c>
      <c r="Z263" s="6">
        <f>IF(OR(K263="",NOT(ISNUMBER(K263))),"",K263*SUM(N263,Q263,T263))</f>
        <v/>
      </c>
      <c r="AA263" s="6">
        <f>IF(OR(Y263=0,N263=""),"",N263/Y263)</f>
        <v/>
      </c>
      <c r="AB263" s="6">
        <f>IF(OR(Y263=0,Q263=""),"",Q263/Y263)</f>
        <v/>
      </c>
      <c r="AC263" s="6">
        <f>IF(OR(Y263=0,T263=""),"",T263/Y263)</f>
        <v/>
      </c>
      <c r="AD263" s="6">
        <f>IF(F263="","",IF((IF(AND(Y263=0,NOT(SUMPRODUCT(--ISNUMBER(SEARCH({"棚板","棚","アングル","ｱﾝｸﾞﾙ","使用不可","ケーブル","ｹｰﾌﾞﾙ","PatchPnael","パッチ","引き出し","引出","ブランク","ﾌﾞﾗﾝｸ","マネージ","ﾏﾈｰｼﾞ","PDU","ONU"},$F263&amp;"")))&gt;0),NOT(SUMPRODUCT(--ISNUMBER(SEARCH({"電源オフ","未投入","停止","未使用","撤去"},$X263&amp;"")))&gt;0)),"／電力が未記入","")&amp;IF(AND(NOT(ISNUMBER(J263)),NOT(SUMPRODUCT(--ISNUMBER(SEARCH({"棚板","棚","アングル","ｱﾝｸﾞﾙ","使用不可","ケーブル","ｹｰﾌﾞﾙ","PatchPnael","パッチ","引き出し","引出","ブランク","ﾌﾞﾗﾝｸ","マネージ","ﾏﾈｰｼﾞ","PDU","ONU"},$F263&amp;"")))&gt;0)),"／重量が未記入","")&amp;IF(AND(K263&lt;&gt;"",NOT(ISNUMBER(K263))),"／電圧が数値でない","")&amp;IF(AND(N263&lt;&gt;"",NOT(ISNUMBER(N263))),"／電流が数値でない","")&amp;IF(AND(C263&lt;&gt;"",C263&lt;1),"／開始Uが1未満","")&amp;IF(AND(E263&lt;&gt;"",E263&gt;IFERROR(VLOOKUP(A263,ラック定義!$A:$B,2,FALSE),47)),"／総Uをはみ出す","")&amp;IF(AND(A263&lt;&gt;"",COUNTIF(ラック定義!$A:$A,A263)=0),"／ラックが定義にない","")&amp;IF(AND(SUMPRODUCT((機器台帳!$A$2:$A$400=$A263)*((機器台帳!$B$2:$B$400=$B263)+(機器台帳!$B$2:$B$400="両面")+($B263="両面")&gt;0)*(機器台帳!$C$2:$C$400&lt;=$C263+$D263-1)*(機器台帳!$C$2:$C$400+機器台帳!$D$2:$D$400-1&gt;=$C263)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263&amp;"")))&gt;0)),"／同じUに他の機器(横並びなら正常)","")&amp;IF(AND(M263&lt;&gt;"",COUNTIFS(回路定義!$A:$A,A263,回路定義!$B:$B,M263)=0),"／回路1が定義にない","")&amp;IF(AND(P263&lt;&gt;"",COUNTIFS(回路定義!$A:$A,A263,回路定義!$B:$B,P263)=0),"／回路2が定義にない","")&amp;IF(AND(S263&lt;&gt;"",COUNTIFS(回路定義!$A:$A,A263,回路定義!$B:$B,S263)=0),"／回路3が定義にない",""))="","",MID(IF(AND(Y263=0,NOT(SUMPRODUCT(--ISNUMBER(SEARCH({"棚板","棚","アングル","ｱﾝｸﾞﾙ","使用不可","ケーブル","ｹｰﾌﾞﾙ","PatchPnael","パッチ","引き出し","引出","ブランク","ﾌﾞﾗﾝｸ","マネージ","ﾏﾈｰｼﾞ","PDU","ONU"},$F263&amp;"")))&gt;0),NOT(SUMPRODUCT(--ISNUMBER(SEARCH({"電源オフ","未投入","停止","未使用","撤去"},$X263&amp;"")))&gt;0)),"／電力が未記入","")&amp;IF(AND(NOT(ISNUMBER(J263)),NOT(SUMPRODUCT(--ISNUMBER(SEARCH({"棚板","棚","アングル","ｱﾝｸﾞﾙ","使用不可","ケーブル","ｹｰﾌﾞﾙ","PatchPnael","パッチ","引き出し","引出","ブランク","ﾌﾞﾗﾝｸ","マネージ","ﾏﾈｰｼﾞ","PDU","ONU"},$F263&amp;"")))&gt;0)),"／重量が未記入","")&amp;IF(AND(K263&lt;&gt;"",NOT(ISNUMBER(K263))),"／電圧が数値でない","")&amp;IF(AND(N263&lt;&gt;"",NOT(ISNUMBER(N263))),"／電流が数値でない","")&amp;IF(AND(C263&lt;&gt;"",C263&lt;1),"／開始Uが1未満","")&amp;IF(AND(E263&lt;&gt;"",E263&gt;IFERROR(VLOOKUP(A263,ラック定義!$A:$B,2,FALSE),47)),"／総Uをはみ出す","")&amp;IF(AND(A263&lt;&gt;"",COUNTIF(ラック定義!$A:$A,A263)=0),"／ラックが定義にない","")&amp;IF(AND(SUMPRODUCT((機器台帳!$A$2:$A$400=$A263)*((機器台帳!$B$2:$B$400=$B263)+(機器台帳!$B$2:$B$400="両面")+($B263="両面")&gt;0)*(機器台帳!$C$2:$C$400&lt;=$C263+$D263-1)*(機器台帳!$C$2:$C$400+機器台帳!$D$2:$D$400-1&gt;=$C263)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263&amp;"")))&gt;0)),"／同じUに他の機器(横並びなら正常)","")&amp;IF(AND(M263&lt;&gt;"",COUNTIFS(回路定義!$A:$A,A263,回路定義!$B:$B,M263)=0),"／回路1が定義にない","")&amp;IF(AND(P263&lt;&gt;"",COUNTIFS(回路定義!$A:$A,A263,回路定義!$B:$B,P263)=0),"／回路2が定義にない","")&amp;IF(AND(S263&lt;&gt;"",COUNTIFS(回路定義!$A:$A,A263,回路定義!$B:$B,S263)=0),"／回路3が定義にない",""),2,300)))</f>
        <v/>
      </c>
    </row>
    <row r="264">
      <c r="A264" s="5" t="n"/>
      <c r="B264" s="5" t="n"/>
      <c r="C264" s="5" t="n"/>
      <c r="D264" s="5" t="n"/>
      <c r="E264" s="6">
        <f>IF(C264="","",C264+D264-1)</f>
        <v/>
      </c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6">
        <f>COUNT(N264,Q264,T264)</f>
        <v/>
      </c>
      <c r="Z264" s="6">
        <f>IF(OR(K264="",NOT(ISNUMBER(K264))),"",K264*SUM(N264,Q264,T264))</f>
        <v/>
      </c>
      <c r="AA264" s="6">
        <f>IF(OR(Y264=0,N264=""),"",N264/Y264)</f>
        <v/>
      </c>
      <c r="AB264" s="6">
        <f>IF(OR(Y264=0,Q264=""),"",Q264/Y264)</f>
        <v/>
      </c>
      <c r="AC264" s="6">
        <f>IF(OR(Y264=0,T264=""),"",T264/Y264)</f>
        <v/>
      </c>
      <c r="AD264" s="6">
        <f>IF(F264="","",IF((IF(AND(Y264=0,NOT(SUMPRODUCT(--ISNUMBER(SEARCH({"棚板","棚","アングル","ｱﾝｸﾞﾙ","使用不可","ケーブル","ｹｰﾌﾞﾙ","PatchPnael","パッチ","引き出し","引出","ブランク","ﾌﾞﾗﾝｸ","マネージ","ﾏﾈｰｼﾞ","PDU","ONU"},$F264&amp;"")))&gt;0),NOT(SUMPRODUCT(--ISNUMBER(SEARCH({"電源オフ","未投入","停止","未使用","撤去"},$X264&amp;"")))&gt;0)),"／電力が未記入","")&amp;IF(AND(NOT(ISNUMBER(J264)),NOT(SUMPRODUCT(--ISNUMBER(SEARCH({"棚板","棚","アングル","ｱﾝｸﾞﾙ","使用不可","ケーブル","ｹｰﾌﾞﾙ","PatchPnael","パッチ","引き出し","引出","ブランク","ﾌﾞﾗﾝｸ","マネージ","ﾏﾈｰｼﾞ","PDU","ONU"},$F264&amp;"")))&gt;0)),"／重量が未記入","")&amp;IF(AND(K264&lt;&gt;"",NOT(ISNUMBER(K264))),"／電圧が数値でない","")&amp;IF(AND(N264&lt;&gt;"",NOT(ISNUMBER(N264))),"／電流が数値でない","")&amp;IF(AND(C264&lt;&gt;"",C264&lt;1),"／開始Uが1未満","")&amp;IF(AND(E264&lt;&gt;"",E264&gt;IFERROR(VLOOKUP(A264,ラック定義!$A:$B,2,FALSE),47)),"／総Uをはみ出す","")&amp;IF(AND(A264&lt;&gt;"",COUNTIF(ラック定義!$A:$A,A264)=0),"／ラックが定義にない","")&amp;IF(AND(SUMPRODUCT((機器台帳!$A$2:$A$400=$A264)*((機器台帳!$B$2:$B$400=$B264)+(機器台帳!$B$2:$B$400="両面")+($B264="両面")&gt;0)*(機器台帳!$C$2:$C$400&lt;=$C264+$D264-1)*(機器台帳!$C$2:$C$400+機器台帳!$D$2:$D$400-1&gt;=$C264)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264&amp;"")))&gt;0)),"／同じUに他の機器(横並びなら正常)","")&amp;IF(AND(M264&lt;&gt;"",COUNTIFS(回路定義!$A:$A,A264,回路定義!$B:$B,M264)=0),"／回路1が定義にない","")&amp;IF(AND(P264&lt;&gt;"",COUNTIFS(回路定義!$A:$A,A264,回路定義!$B:$B,P264)=0),"／回路2が定義にない","")&amp;IF(AND(S264&lt;&gt;"",COUNTIFS(回路定義!$A:$A,A264,回路定義!$B:$B,S264)=0),"／回路3が定義にない",""))="","",MID(IF(AND(Y264=0,NOT(SUMPRODUCT(--ISNUMBER(SEARCH({"棚板","棚","アングル","ｱﾝｸﾞﾙ","使用不可","ケーブル","ｹｰﾌﾞﾙ","PatchPnael","パッチ","引き出し","引出","ブランク","ﾌﾞﾗﾝｸ","マネージ","ﾏﾈｰｼﾞ","PDU","ONU"},$F264&amp;"")))&gt;0),NOT(SUMPRODUCT(--ISNUMBER(SEARCH({"電源オフ","未投入","停止","未使用","撤去"},$X264&amp;"")))&gt;0)),"／電力が未記入","")&amp;IF(AND(NOT(ISNUMBER(J264)),NOT(SUMPRODUCT(--ISNUMBER(SEARCH({"棚板","棚","アングル","ｱﾝｸﾞﾙ","使用不可","ケーブル","ｹｰﾌﾞﾙ","PatchPnael","パッチ","引き出し","引出","ブランク","ﾌﾞﾗﾝｸ","マネージ","ﾏﾈｰｼﾞ","PDU","ONU"},$F264&amp;"")))&gt;0)),"／重量が未記入","")&amp;IF(AND(K264&lt;&gt;"",NOT(ISNUMBER(K264))),"／電圧が数値でない","")&amp;IF(AND(N264&lt;&gt;"",NOT(ISNUMBER(N264))),"／電流が数値でない","")&amp;IF(AND(C264&lt;&gt;"",C264&lt;1),"／開始Uが1未満","")&amp;IF(AND(E264&lt;&gt;"",E264&gt;IFERROR(VLOOKUP(A264,ラック定義!$A:$B,2,FALSE),47)),"／総Uをはみ出す","")&amp;IF(AND(A264&lt;&gt;"",COUNTIF(ラック定義!$A:$A,A264)=0),"／ラックが定義にない","")&amp;IF(AND(SUMPRODUCT((機器台帳!$A$2:$A$400=$A264)*((機器台帳!$B$2:$B$400=$B264)+(機器台帳!$B$2:$B$400="両面")+($B264="両面")&gt;0)*(機器台帳!$C$2:$C$400&lt;=$C264+$D264-1)*(機器台帳!$C$2:$C$400+機器台帳!$D$2:$D$400-1&gt;=$C264)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264&amp;"")))&gt;0)),"／同じUに他の機器(横並びなら正常)","")&amp;IF(AND(M264&lt;&gt;"",COUNTIFS(回路定義!$A:$A,A264,回路定義!$B:$B,M264)=0),"／回路1が定義にない","")&amp;IF(AND(P264&lt;&gt;"",COUNTIFS(回路定義!$A:$A,A264,回路定義!$B:$B,P264)=0),"／回路2が定義にない","")&amp;IF(AND(S264&lt;&gt;"",COUNTIFS(回路定義!$A:$A,A264,回路定義!$B:$B,S264)=0),"／回路3が定義にない",""),2,300)))</f>
        <v/>
      </c>
    </row>
    <row r="265">
      <c r="A265" s="5" t="n"/>
      <c r="B265" s="5" t="n"/>
      <c r="C265" s="5" t="n"/>
      <c r="D265" s="5" t="n"/>
      <c r="E265" s="6">
        <f>IF(C265="","",C265+D265-1)</f>
        <v/>
      </c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6">
        <f>COUNT(N265,Q265,T265)</f>
        <v/>
      </c>
      <c r="Z265" s="6">
        <f>IF(OR(K265="",NOT(ISNUMBER(K265))),"",K265*SUM(N265,Q265,T265))</f>
        <v/>
      </c>
      <c r="AA265" s="6">
        <f>IF(OR(Y265=0,N265=""),"",N265/Y265)</f>
        <v/>
      </c>
      <c r="AB265" s="6">
        <f>IF(OR(Y265=0,Q265=""),"",Q265/Y265)</f>
        <v/>
      </c>
      <c r="AC265" s="6">
        <f>IF(OR(Y265=0,T265=""),"",T265/Y265)</f>
        <v/>
      </c>
      <c r="AD265" s="6">
        <f>IF(F265="","",IF((IF(AND(Y265=0,NOT(SUMPRODUCT(--ISNUMBER(SEARCH({"棚板","棚","アングル","ｱﾝｸﾞﾙ","使用不可","ケーブル","ｹｰﾌﾞﾙ","PatchPnael","パッチ","引き出し","引出","ブランク","ﾌﾞﾗﾝｸ","マネージ","ﾏﾈｰｼﾞ","PDU","ONU"},$F265&amp;"")))&gt;0),NOT(SUMPRODUCT(--ISNUMBER(SEARCH({"電源オフ","未投入","停止","未使用","撤去"},$X265&amp;"")))&gt;0)),"／電力が未記入","")&amp;IF(AND(NOT(ISNUMBER(J265)),NOT(SUMPRODUCT(--ISNUMBER(SEARCH({"棚板","棚","アングル","ｱﾝｸﾞﾙ","使用不可","ケーブル","ｹｰﾌﾞﾙ","PatchPnael","パッチ","引き出し","引出","ブランク","ﾌﾞﾗﾝｸ","マネージ","ﾏﾈｰｼﾞ","PDU","ONU"},$F265&amp;"")))&gt;0)),"／重量が未記入","")&amp;IF(AND(K265&lt;&gt;"",NOT(ISNUMBER(K265))),"／電圧が数値でない","")&amp;IF(AND(N265&lt;&gt;"",NOT(ISNUMBER(N265))),"／電流が数値でない","")&amp;IF(AND(C265&lt;&gt;"",C265&lt;1),"／開始Uが1未満","")&amp;IF(AND(E265&lt;&gt;"",E265&gt;IFERROR(VLOOKUP(A265,ラック定義!$A:$B,2,FALSE),47)),"／総Uをはみ出す","")&amp;IF(AND(A265&lt;&gt;"",COUNTIF(ラック定義!$A:$A,A265)=0),"／ラックが定義にない","")&amp;IF(AND(SUMPRODUCT((機器台帳!$A$2:$A$400=$A265)*((機器台帳!$B$2:$B$400=$B265)+(機器台帳!$B$2:$B$400="両面")+($B265="両面")&gt;0)*(機器台帳!$C$2:$C$400&lt;=$C265+$D265-1)*(機器台帳!$C$2:$C$400+機器台帳!$D$2:$D$400-1&gt;=$C265)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265&amp;"")))&gt;0)),"／同じUに他の機器(横並びなら正常)","")&amp;IF(AND(M265&lt;&gt;"",COUNTIFS(回路定義!$A:$A,A265,回路定義!$B:$B,M265)=0),"／回路1が定義にない","")&amp;IF(AND(P265&lt;&gt;"",COUNTIFS(回路定義!$A:$A,A265,回路定義!$B:$B,P265)=0),"／回路2が定義にない","")&amp;IF(AND(S265&lt;&gt;"",COUNTIFS(回路定義!$A:$A,A265,回路定義!$B:$B,S265)=0),"／回路3が定義にない",""))="","",MID(IF(AND(Y265=0,NOT(SUMPRODUCT(--ISNUMBER(SEARCH({"棚板","棚","アングル","ｱﾝｸﾞﾙ","使用不可","ケーブル","ｹｰﾌﾞﾙ","PatchPnael","パッチ","引き出し","引出","ブランク","ﾌﾞﾗﾝｸ","マネージ","ﾏﾈｰｼﾞ","PDU","ONU"},$F265&amp;"")))&gt;0),NOT(SUMPRODUCT(--ISNUMBER(SEARCH({"電源オフ","未投入","停止","未使用","撤去"},$X265&amp;"")))&gt;0)),"／電力が未記入","")&amp;IF(AND(NOT(ISNUMBER(J265)),NOT(SUMPRODUCT(--ISNUMBER(SEARCH({"棚板","棚","アングル","ｱﾝｸﾞﾙ","使用不可","ケーブル","ｹｰﾌﾞﾙ","PatchPnael","パッチ","引き出し","引出","ブランク","ﾌﾞﾗﾝｸ","マネージ","ﾏﾈｰｼﾞ","PDU","ONU"},$F265&amp;"")))&gt;0)),"／重量が未記入","")&amp;IF(AND(K265&lt;&gt;"",NOT(ISNUMBER(K265))),"／電圧が数値でない","")&amp;IF(AND(N265&lt;&gt;"",NOT(ISNUMBER(N265))),"／電流が数値でない","")&amp;IF(AND(C265&lt;&gt;"",C265&lt;1),"／開始Uが1未満","")&amp;IF(AND(E265&lt;&gt;"",E265&gt;IFERROR(VLOOKUP(A265,ラック定義!$A:$B,2,FALSE),47)),"／総Uをはみ出す","")&amp;IF(AND(A265&lt;&gt;"",COUNTIF(ラック定義!$A:$A,A265)=0),"／ラックが定義にない","")&amp;IF(AND(SUMPRODUCT((機器台帳!$A$2:$A$400=$A265)*((機器台帳!$B$2:$B$400=$B265)+(機器台帳!$B$2:$B$400="両面")+($B265="両面")&gt;0)*(機器台帳!$C$2:$C$400&lt;=$C265+$D265-1)*(機器台帳!$C$2:$C$400+機器台帳!$D$2:$D$400-1&gt;=$C265)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265&amp;"")))&gt;0)),"／同じUに他の機器(横並びなら正常)","")&amp;IF(AND(M265&lt;&gt;"",COUNTIFS(回路定義!$A:$A,A265,回路定義!$B:$B,M265)=0),"／回路1が定義にない","")&amp;IF(AND(P265&lt;&gt;"",COUNTIFS(回路定義!$A:$A,A265,回路定義!$B:$B,P265)=0),"／回路2が定義にない","")&amp;IF(AND(S265&lt;&gt;"",COUNTIFS(回路定義!$A:$A,A265,回路定義!$B:$B,S265)=0),"／回路3が定義にない",""),2,300)))</f>
        <v/>
      </c>
    </row>
    <row r="266">
      <c r="A266" s="5" t="n"/>
      <c r="B266" s="5" t="n"/>
      <c r="C266" s="5" t="n"/>
      <c r="D266" s="5" t="n"/>
      <c r="E266" s="6">
        <f>IF(C266="","",C266+D266-1)</f>
        <v/>
      </c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6">
        <f>COUNT(N266,Q266,T266)</f>
        <v/>
      </c>
      <c r="Z266" s="6">
        <f>IF(OR(K266="",NOT(ISNUMBER(K266))),"",K266*SUM(N266,Q266,T266))</f>
        <v/>
      </c>
      <c r="AA266" s="6">
        <f>IF(OR(Y266=0,N266=""),"",N266/Y266)</f>
        <v/>
      </c>
      <c r="AB266" s="6">
        <f>IF(OR(Y266=0,Q266=""),"",Q266/Y266)</f>
        <v/>
      </c>
      <c r="AC266" s="6">
        <f>IF(OR(Y266=0,T266=""),"",T266/Y266)</f>
        <v/>
      </c>
      <c r="AD266" s="6">
        <f>IF(F266="","",IF((IF(AND(Y266=0,NOT(SUMPRODUCT(--ISNUMBER(SEARCH({"棚板","棚","アングル","ｱﾝｸﾞﾙ","使用不可","ケーブル","ｹｰﾌﾞﾙ","PatchPnael","パッチ","引き出し","引出","ブランク","ﾌﾞﾗﾝｸ","マネージ","ﾏﾈｰｼﾞ","PDU","ONU"},$F266&amp;"")))&gt;0),NOT(SUMPRODUCT(--ISNUMBER(SEARCH({"電源オフ","未投入","停止","未使用","撤去"},$X266&amp;"")))&gt;0)),"／電力が未記入","")&amp;IF(AND(NOT(ISNUMBER(J266)),NOT(SUMPRODUCT(--ISNUMBER(SEARCH({"棚板","棚","アングル","ｱﾝｸﾞﾙ","使用不可","ケーブル","ｹｰﾌﾞﾙ","PatchPnael","パッチ","引き出し","引出","ブランク","ﾌﾞﾗﾝｸ","マネージ","ﾏﾈｰｼﾞ","PDU","ONU"},$F266&amp;"")))&gt;0)),"／重量が未記入","")&amp;IF(AND(K266&lt;&gt;"",NOT(ISNUMBER(K266))),"／電圧が数値でない","")&amp;IF(AND(N266&lt;&gt;"",NOT(ISNUMBER(N266))),"／電流が数値でない","")&amp;IF(AND(C266&lt;&gt;"",C266&lt;1),"／開始Uが1未満","")&amp;IF(AND(E266&lt;&gt;"",E266&gt;IFERROR(VLOOKUP(A266,ラック定義!$A:$B,2,FALSE),47)),"／総Uをはみ出す","")&amp;IF(AND(A266&lt;&gt;"",COUNTIF(ラック定義!$A:$A,A266)=0),"／ラックが定義にない","")&amp;IF(AND(SUMPRODUCT((機器台帳!$A$2:$A$400=$A266)*((機器台帳!$B$2:$B$400=$B266)+(機器台帳!$B$2:$B$400="両面")+($B266="両面")&gt;0)*(機器台帳!$C$2:$C$400&lt;=$C266+$D266-1)*(機器台帳!$C$2:$C$400+機器台帳!$D$2:$D$400-1&gt;=$C266)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266&amp;"")))&gt;0)),"／同じUに他の機器(横並びなら正常)","")&amp;IF(AND(M266&lt;&gt;"",COUNTIFS(回路定義!$A:$A,A266,回路定義!$B:$B,M266)=0),"／回路1が定義にない","")&amp;IF(AND(P266&lt;&gt;"",COUNTIFS(回路定義!$A:$A,A266,回路定義!$B:$B,P266)=0),"／回路2が定義にない","")&amp;IF(AND(S266&lt;&gt;"",COUNTIFS(回路定義!$A:$A,A266,回路定義!$B:$B,S266)=0),"／回路3が定義にない",""))="","",MID(IF(AND(Y266=0,NOT(SUMPRODUCT(--ISNUMBER(SEARCH({"棚板","棚","アングル","ｱﾝｸﾞﾙ","使用不可","ケーブル","ｹｰﾌﾞﾙ","PatchPnael","パッチ","引き出し","引出","ブランク","ﾌﾞﾗﾝｸ","マネージ","ﾏﾈｰｼﾞ","PDU","ONU"},$F266&amp;"")))&gt;0),NOT(SUMPRODUCT(--ISNUMBER(SEARCH({"電源オフ","未投入","停止","未使用","撤去"},$X266&amp;"")))&gt;0)),"／電力が未記入","")&amp;IF(AND(NOT(ISNUMBER(J266)),NOT(SUMPRODUCT(--ISNUMBER(SEARCH({"棚板","棚","アングル","ｱﾝｸﾞﾙ","使用不可","ケーブル","ｹｰﾌﾞﾙ","PatchPnael","パッチ","引き出し","引出","ブランク","ﾌﾞﾗﾝｸ","マネージ","ﾏﾈｰｼﾞ","PDU","ONU"},$F266&amp;"")))&gt;0)),"／重量が未記入","")&amp;IF(AND(K266&lt;&gt;"",NOT(ISNUMBER(K266))),"／電圧が数値でない","")&amp;IF(AND(N266&lt;&gt;"",NOT(ISNUMBER(N266))),"／電流が数値でない","")&amp;IF(AND(C266&lt;&gt;"",C266&lt;1),"／開始Uが1未満","")&amp;IF(AND(E266&lt;&gt;"",E266&gt;IFERROR(VLOOKUP(A266,ラック定義!$A:$B,2,FALSE),47)),"／総Uをはみ出す","")&amp;IF(AND(A266&lt;&gt;"",COUNTIF(ラック定義!$A:$A,A266)=0),"／ラックが定義にない","")&amp;IF(AND(SUMPRODUCT((機器台帳!$A$2:$A$400=$A266)*((機器台帳!$B$2:$B$400=$B266)+(機器台帳!$B$2:$B$400="両面")+($B266="両面")&gt;0)*(機器台帳!$C$2:$C$400&lt;=$C266+$D266-1)*(機器台帳!$C$2:$C$400+機器台帳!$D$2:$D$400-1&gt;=$C266)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266&amp;"")))&gt;0)),"／同じUに他の機器(横並びなら正常)","")&amp;IF(AND(M266&lt;&gt;"",COUNTIFS(回路定義!$A:$A,A266,回路定義!$B:$B,M266)=0),"／回路1が定義にない","")&amp;IF(AND(P266&lt;&gt;"",COUNTIFS(回路定義!$A:$A,A266,回路定義!$B:$B,P266)=0),"／回路2が定義にない","")&amp;IF(AND(S266&lt;&gt;"",COUNTIFS(回路定義!$A:$A,A266,回路定義!$B:$B,S266)=0),"／回路3が定義にない",""),2,300)))</f>
        <v/>
      </c>
    </row>
    <row r="267">
      <c r="A267" s="5" t="n"/>
      <c r="B267" s="5" t="n"/>
      <c r="C267" s="5" t="n"/>
      <c r="D267" s="5" t="n"/>
      <c r="E267" s="6">
        <f>IF(C267="","",C267+D267-1)</f>
        <v/>
      </c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6">
        <f>COUNT(N267,Q267,T267)</f>
        <v/>
      </c>
      <c r="Z267" s="6">
        <f>IF(OR(K267="",NOT(ISNUMBER(K267))),"",K267*SUM(N267,Q267,T267))</f>
        <v/>
      </c>
      <c r="AA267" s="6">
        <f>IF(OR(Y267=0,N267=""),"",N267/Y267)</f>
        <v/>
      </c>
      <c r="AB267" s="6">
        <f>IF(OR(Y267=0,Q267=""),"",Q267/Y267)</f>
        <v/>
      </c>
      <c r="AC267" s="6">
        <f>IF(OR(Y267=0,T267=""),"",T267/Y267)</f>
        <v/>
      </c>
      <c r="AD267" s="6">
        <f>IF(F267="","",IF((IF(AND(Y267=0,NOT(SUMPRODUCT(--ISNUMBER(SEARCH({"棚板","棚","アングル","ｱﾝｸﾞﾙ","使用不可","ケーブル","ｹｰﾌﾞﾙ","PatchPnael","パッチ","引き出し","引出","ブランク","ﾌﾞﾗﾝｸ","マネージ","ﾏﾈｰｼﾞ","PDU","ONU"},$F267&amp;"")))&gt;0),NOT(SUMPRODUCT(--ISNUMBER(SEARCH({"電源オフ","未投入","停止","未使用","撤去"},$X267&amp;"")))&gt;0)),"／電力が未記入","")&amp;IF(AND(NOT(ISNUMBER(J267)),NOT(SUMPRODUCT(--ISNUMBER(SEARCH({"棚板","棚","アングル","ｱﾝｸﾞﾙ","使用不可","ケーブル","ｹｰﾌﾞﾙ","PatchPnael","パッチ","引き出し","引出","ブランク","ﾌﾞﾗﾝｸ","マネージ","ﾏﾈｰｼﾞ","PDU","ONU"},$F267&amp;"")))&gt;0)),"／重量が未記入","")&amp;IF(AND(K267&lt;&gt;"",NOT(ISNUMBER(K267))),"／電圧が数値でない","")&amp;IF(AND(N267&lt;&gt;"",NOT(ISNUMBER(N267))),"／電流が数値でない","")&amp;IF(AND(C267&lt;&gt;"",C267&lt;1),"／開始Uが1未満","")&amp;IF(AND(E267&lt;&gt;"",E267&gt;IFERROR(VLOOKUP(A267,ラック定義!$A:$B,2,FALSE),47)),"／総Uをはみ出す","")&amp;IF(AND(A267&lt;&gt;"",COUNTIF(ラック定義!$A:$A,A267)=0),"／ラックが定義にない","")&amp;IF(AND(SUMPRODUCT((機器台帳!$A$2:$A$400=$A267)*((機器台帳!$B$2:$B$400=$B267)+(機器台帳!$B$2:$B$400="両面")+($B267="両面")&gt;0)*(機器台帳!$C$2:$C$400&lt;=$C267+$D267-1)*(機器台帳!$C$2:$C$400+機器台帳!$D$2:$D$400-1&gt;=$C267)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267&amp;"")))&gt;0)),"／同じUに他の機器(横並びなら正常)","")&amp;IF(AND(M267&lt;&gt;"",COUNTIFS(回路定義!$A:$A,A267,回路定義!$B:$B,M267)=0),"／回路1が定義にない","")&amp;IF(AND(P267&lt;&gt;"",COUNTIFS(回路定義!$A:$A,A267,回路定義!$B:$B,P267)=0),"／回路2が定義にない","")&amp;IF(AND(S267&lt;&gt;"",COUNTIFS(回路定義!$A:$A,A267,回路定義!$B:$B,S267)=0),"／回路3が定義にない",""))="","",MID(IF(AND(Y267=0,NOT(SUMPRODUCT(--ISNUMBER(SEARCH({"棚板","棚","アングル","ｱﾝｸﾞﾙ","使用不可","ケーブル","ｹｰﾌﾞﾙ","PatchPnael","パッチ","引き出し","引出","ブランク","ﾌﾞﾗﾝｸ","マネージ","ﾏﾈｰｼﾞ","PDU","ONU"},$F267&amp;"")))&gt;0),NOT(SUMPRODUCT(--ISNUMBER(SEARCH({"電源オフ","未投入","停止","未使用","撤去"},$X267&amp;"")))&gt;0)),"／電力が未記入","")&amp;IF(AND(NOT(ISNUMBER(J267)),NOT(SUMPRODUCT(--ISNUMBER(SEARCH({"棚板","棚","アングル","ｱﾝｸﾞﾙ","使用不可","ケーブル","ｹｰﾌﾞﾙ","PatchPnael","パッチ","引き出し","引出","ブランク","ﾌﾞﾗﾝｸ","マネージ","ﾏﾈｰｼﾞ","PDU","ONU"},$F267&amp;"")))&gt;0)),"／重量が未記入","")&amp;IF(AND(K267&lt;&gt;"",NOT(ISNUMBER(K267))),"／電圧が数値でない","")&amp;IF(AND(N267&lt;&gt;"",NOT(ISNUMBER(N267))),"／電流が数値でない","")&amp;IF(AND(C267&lt;&gt;"",C267&lt;1),"／開始Uが1未満","")&amp;IF(AND(E267&lt;&gt;"",E267&gt;IFERROR(VLOOKUP(A267,ラック定義!$A:$B,2,FALSE),47)),"／総Uをはみ出す","")&amp;IF(AND(A267&lt;&gt;"",COUNTIF(ラック定義!$A:$A,A267)=0),"／ラックが定義にない","")&amp;IF(AND(SUMPRODUCT((機器台帳!$A$2:$A$400=$A267)*((機器台帳!$B$2:$B$400=$B267)+(機器台帳!$B$2:$B$400="両面")+($B267="両面")&gt;0)*(機器台帳!$C$2:$C$400&lt;=$C267+$D267-1)*(機器台帳!$C$2:$C$400+機器台帳!$D$2:$D$400-1&gt;=$C267)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267&amp;"")))&gt;0)),"／同じUに他の機器(横並びなら正常)","")&amp;IF(AND(M267&lt;&gt;"",COUNTIFS(回路定義!$A:$A,A267,回路定義!$B:$B,M267)=0),"／回路1が定義にない","")&amp;IF(AND(P267&lt;&gt;"",COUNTIFS(回路定義!$A:$A,A267,回路定義!$B:$B,P267)=0),"／回路2が定義にない","")&amp;IF(AND(S267&lt;&gt;"",COUNTIFS(回路定義!$A:$A,A267,回路定義!$B:$B,S267)=0),"／回路3が定義にない",""),2,300)))</f>
        <v/>
      </c>
    </row>
    <row r="268">
      <c r="A268" s="5" t="n"/>
      <c r="B268" s="5" t="n"/>
      <c r="C268" s="5" t="n"/>
      <c r="D268" s="5" t="n"/>
      <c r="E268" s="6">
        <f>IF(C268="","",C268+D268-1)</f>
        <v/>
      </c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6">
        <f>COUNT(N268,Q268,T268)</f>
        <v/>
      </c>
      <c r="Z268" s="6">
        <f>IF(OR(K268="",NOT(ISNUMBER(K268))),"",K268*SUM(N268,Q268,T268))</f>
        <v/>
      </c>
      <c r="AA268" s="6">
        <f>IF(OR(Y268=0,N268=""),"",N268/Y268)</f>
        <v/>
      </c>
      <c r="AB268" s="6">
        <f>IF(OR(Y268=0,Q268=""),"",Q268/Y268)</f>
        <v/>
      </c>
      <c r="AC268" s="6">
        <f>IF(OR(Y268=0,T268=""),"",T268/Y268)</f>
        <v/>
      </c>
      <c r="AD268" s="6">
        <f>IF(F268="","",IF((IF(AND(Y268=0,NOT(SUMPRODUCT(--ISNUMBER(SEARCH({"棚板","棚","アングル","ｱﾝｸﾞﾙ","使用不可","ケーブル","ｹｰﾌﾞﾙ","PatchPnael","パッチ","引き出し","引出","ブランク","ﾌﾞﾗﾝｸ","マネージ","ﾏﾈｰｼﾞ","PDU","ONU"},$F268&amp;"")))&gt;0),NOT(SUMPRODUCT(--ISNUMBER(SEARCH({"電源オフ","未投入","停止","未使用","撤去"},$X268&amp;"")))&gt;0)),"／電力が未記入","")&amp;IF(AND(NOT(ISNUMBER(J268)),NOT(SUMPRODUCT(--ISNUMBER(SEARCH({"棚板","棚","アングル","ｱﾝｸﾞﾙ","使用不可","ケーブル","ｹｰﾌﾞﾙ","PatchPnael","パッチ","引き出し","引出","ブランク","ﾌﾞﾗﾝｸ","マネージ","ﾏﾈｰｼﾞ","PDU","ONU"},$F268&amp;"")))&gt;0)),"／重量が未記入","")&amp;IF(AND(K268&lt;&gt;"",NOT(ISNUMBER(K268))),"／電圧が数値でない","")&amp;IF(AND(N268&lt;&gt;"",NOT(ISNUMBER(N268))),"／電流が数値でない","")&amp;IF(AND(C268&lt;&gt;"",C268&lt;1),"／開始Uが1未満","")&amp;IF(AND(E268&lt;&gt;"",E268&gt;IFERROR(VLOOKUP(A268,ラック定義!$A:$B,2,FALSE),47)),"／総Uをはみ出す","")&amp;IF(AND(A268&lt;&gt;"",COUNTIF(ラック定義!$A:$A,A268)=0),"／ラックが定義にない","")&amp;IF(AND(SUMPRODUCT((機器台帳!$A$2:$A$400=$A268)*((機器台帳!$B$2:$B$400=$B268)+(機器台帳!$B$2:$B$400="両面")+($B268="両面")&gt;0)*(機器台帳!$C$2:$C$400&lt;=$C268+$D268-1)*(機器台帳!$C$2:$C$400+機器台帳!$D$2:$D$400-1&gt;=$C268)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268&amp;"")))&gt;0)),"／同じUに他の機器(横並びなら正常)","")&amp;IF(AND(M268&lt;&gt;"",COUNTIFS(回路定義!$A:$A,A268,回路定義!$B:$B,M268)=0),"／回路1が定義にない","")&amp;IF(AND(P268&lt;&gt;"",COUNTIFS(回路定義!$A:$A,A268,回路定義!$B:$B,P268)=0),"／回路2が定義にない","")&amp;IF(AND(S268&lt;&gt;"",COUNTIFS(回路定義!$A:$A,A268,回路定義!$B:$B,S268)=0),"／回路3が定義にない",""))="","",MID(IF(AND(Y268=0,NOT(SUMPRODUCT(--ISNUMBER(SEARCH({"棚板","棚","アングル","ｱﾝｸﾞﾙ","使用不可","ケーブル","ｹｰﾌﾞﾙ","PatchPnael","パッチ","引き出し","引出","ブランク","ﾌﾞﾗﾝｸ","マネージ","ﾏﾈｰｼﾞ","PDU","ONU"},$F268&amp;"")))&gt;0),NOT(SUMPRODUCT(--ISNUMBER(SEARCH({"電源オフ","未投入","停止","未使用","撤去"},$X268&amp;"")))&gt;0)),"／電力が未記入","")&amp;IF(AND(NOT(ISNUMBER(J268)),NOT(SUMPRODUCT(--ISNUMBER(SEARCH({"棚板","棚","アングル","ｱﾝｸﾞﾙ","使用不可","ケーブル","ｹｰﾌﾞﾙ","PatchPnael","パッチ","引き出し","引出","ブランク","ﾌﾞﾗﾝｸ","マネージ","ﾏﾈｰｼﾞ","PDU","ONU"},$F268&amp;"")))&gt;0)),"／重量が未記入","")&amp;IF(AND(K268&lt;&gt;"",NOT(ISNUMBER(K268))),"／電圧が数値でない","")&amp;IF(AND(N268&lt;&gt;"",NOT(ISNUMBER(N268))),"／電流が数値でない","")&amp;IF(AND(C268&lt;&gt;"",C268&lt;1),"／開始Uが1未満","")&amp;IF(AND(E268&lt;&gt;"",E268&gt;IFERROR(VLOOKUP(A268,ラック定義!$A:$B,2,FALSE),47)),"／総Uをはみ出す","")&amp;IF(AND(A268&lt;&gt;"",COUNTIF(ラック定義!$A:$A,A268)=0),"／ラックが定義にない","")&amp;IF(AND(SUMPRODUCT((機器台帳!$A$2:$A$400=$A268)*((機器台帳!$B$2:$B$400=$B268)+(機器台帳!$B$2:$B$400="両面")+($B268="両面")&gt;0)*(機器台帳!$C$2:$C$400&lt;=$C268+$D268-1)*(機器台帳!$C$2:$C$400+機器台帳!$D$2:$D$400-1&gt;=$C268)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268&amp;"")))&gt;0)),"／同じUに他の機器(横並びなら正常)","")&amp;IF(AND(M268&lt;&gt;"",COUNTIFS(回路定義!$A:$A,A268,回路定義!$B:$B,M268)=0),"／回路1が定義にない","")&amp;IF(AND(P268&lt;&gt;"",COUNTIFS(回路定義!$A:$A,A268,回路定義!$B:$B,P268)=0),"／回路2が定義にない","")&amp;IF(AND(S268&lt;&gt;"",COUNTIFS(回路定義!$A:$A,A268,回路定義!$B:$B,S268)=0),"／回路3が定義にない",""),2,300)))</f>
        <v/>
      </c>
    </row>
    <row r="269">
      <c r="A269" s="5" t="n"/>
      <c r="B269" s="5" t="n"/>
      <c r="C269" s="5" t="n"/>
      <c r="D269" s="5" t="n"/>
      <c r="E269" s="6">
        <f>IF(C269="","",C269+D269-1)</f>
        <v/>
      </c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6">
        <f>COUNT(N269,Q269,T269)</f>
        <v/>
      </c>
      <c r="Z269" s="6">
        <f>IF(OR(K269="",NOT(ISNUMBER(K269))),"",K269*SUM(N269,Q269,T269))</f>
        <v/>
      </c>
      <c r="AA269" s="6">
        <f>IF(OR(Y269=0,N269=""),"",N269/Y269)</f>
        <v/>
      </c>
      <c r="AB269" s="6">
        <f>IF(OR(Y269=0,Q269=""),"",Q269/Y269)</f>
        <v/>
      </c>
      <c r="AC269" s="6">
        <f>IF(OR(Y269=0,T269=""),"",T269/Y269)</f>
        <v/>
      </c>
      <c r="AD269" s="6">
        <f>IF(F269="","",IF((IF(AND(Y269=0,NOT(SUMPRODUCT(--ISNUMBER(SEARCH({"棚板","棚","アングル","ｱﾝｸﾞﾙ","使用不可","ケーブル","ｹｰﾌﾞﾙ","PatchPnael","パッチ","引き出し","引出","ブランク","ﾌﾞﾗﾝｸ","マネージ","ﾏﾈｰｼﾞ","PDU","ONU"},$F269&amp;"")))&gt;0),NOT(SUMPRODUCT(--ISNUMBER(SEARCH({"電源オフ","未投入","停止","未使用","撤去"},$X269&amp;"")))&gt;0)),"／電力が未記入","")&amp;IF(AND(NOT(ISNUMBER(J269)),NOT(SUMPRODUCT(--ISNUMBER(SEARCH({"棚板","棚","アングル","ｱﾝｸﾞﾙ","使用不可","ケーブル","ｹｰﾌﾞﾙ","PatchPnael","パッチ","引き出し","引出","ブランク","ﾌﾞﾗﾝｸ","マネージ","ﾏﾈｰｼﾞ","PDU","ONU"},$F269&amp;"")))&gt;0)),"／重量が未記入","")&amp;IF(AND(K269&lt;&gt;"",NOT(ISNUMBER(K269))),"／電圧が数値でない","")&amp;IF(AND(N269&lt;&gt;"",NOT(ISNUMBER(N269))),"／電流が数値でない","")&amp;IF(AND(C269&lt;&gt;"",C269&lt;1),"／開始Uが1未満","")&amp;IF(AND(E269&lt;&gt;"",E269&gt;IFERROR(VLOOKUP(A269,ラック定義!$A:$B,2,FALSE),47)),"／総Uをはみ出す","")&amp;IF(AND(A269&lt;&gt;"",COUNTIF(ラック定義!$A:$A,A269)=0),"／ラックが定義にない","")&amp;IF(AND(SUMPRODUCT((機器台帳!$A$2:$A$400=$A269)*((機器台帳!$B$2:$B$400=$B269)+(機器台帳!$B$2:$B$400="両面")+($B269="両面")&gt;0)*(機器台帳!$C$2:$C$400&lt;=$C269+$D269-1)*(機器台帳!$C$2:$C$400+機器台帳!$D$2:$D$400-1&gt;=$C269)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269&amp;"")))&gt;0)),"／同じUに他の機器(横並びなら正常)","")&amp;IF(AND(M269&lt;&gt;"",COUNTIFS(回路定義!$A:$A,A269,回路定義!$B:$B,M269)=0),"／回路1が定義にない","")&amp;IF(AND(P269&lt;&gt;"",COUNTIFS(回路定義!$A:$A,A269,回路定義!$B:$B,P269)=0),"／回路2が定義にない","")&amp;IF(AND(S269&lt;&gt;"",COUNTIFS(回路定義!$A:$A,A269,回路定義!$B:$B,S269)=0),"／回路3が定義にない",""))="","",MID(IF(AND(Y269=0,NOT(SUMPRODUCT(--ISNUMBER(SEARCH({"棚板","棚","アングル","ｱﾝｸﾞﾙ","使用不可","ケーブル","ｹｰﾌﾞﾙ","PatchPnael","パッチ","引き出し","引出","ブランク","ﾌﾞﾗﾝｸ","マネージ","ﾏﾈｰｼﾞ","PDU","ONU"},$F269&amp;"")))&gt;0),NOT(SUMPRODUCT(--ISNUMBER(SEARCH({"電源オフ","未投入","停止","未使用","撤去"},$X269&amp;"")))&gt;0)),"／電力が未記入","")&amp;IF(AND(NOT(ISNUMBER(J269)),NOT(SUMPRODUCT(--ISNUMBER(SEARCH({"棚板","棚","アングル","ｱﾝｸﾞﾙ","使用不可","ケーブル","ｹｰﾌﾞﾙ","PatchPnael","パッチ","引き出し","引出","ブランク","ﾌﾞﾗﾝｸ","マネージ","ﾏﾈｰｼﾞ","PDU","ONU"},$F269&amp;"")))&gt;0)),"／重量が未記入","")&amp;IF(AND(K269&lt;&gt;"",NOT(ISNUMBER(K269))),"／電圧が数値でない","")&amp;IF(AND(N269&lt;&gt;"",NOT(ISNUMBER(N269))),"／電流が数値でない","")&amp;IF(AND(C269&lt;&gt;"",C269&lt;1),"／開始Uが1未満","")&amp;IF(AND(E269&lt;&gt;"",E269&gt;IFERROR(VLOOKUP(A269,ラック定義!$A:$B,2,FALSE),47)),"／総Uをはみ出す","")&amp;IF(AND(A269&lt;&gt;"",COUNTIF(ラック定義!$A:$A,A269)=0),"／ラックが定義にない","")&amp;IF(AND(SUMPRODUCT((機器台帳!$A$2:$A$400=$A269)*((機器台帳!$B$2:$B$400=$B269)+(機器台帳!$B$2:$B$400="両面")+($B269="両面")&gt;0)*(機器台帳!$C$2:$C$400&lt;=$C269+$D269-1)*(機器台帳!$C$2:$C$400+機器台帳!$D$2:$D$400-1&gt;=$C269)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269&amp;"")))&gt;0)),"／同じUに他の機器(横並びなら正常)","")&amp;IF(AND(M269&lt;&gt;"",COUNTIFS(回路定義!$A:$A,A269,回路定義!$B:$B,M269)=0),"／回路1が定義にない","")&amp;IF(AND(P269&lt;&gt;"",COUNTIFS(回路定義!$A:$A,A269,回路定義!$B:$B,P269)=0),"／回路2が定義にない","")&amp;IF(AND(S269&lt;&gt;"",COUNTIFS(回路定義!$A:$A,A269,回路定義!$B:$B,S269)=0),"／回路3が定義にない",""),2,300)))</f>
        <v/>
      </c>
    </row>
    <row r="270">
      <c r="A270" s="5" t="n"/>
      <c r="B270" s="5" t="n"/>
      <c r="C270" s="5" t="n"/>
      <c r="D270" s="5" t="n"/>
      <c r="E270" s="6">
        <f>IF(C270="","",C270+D270-1)</f>
        <v/>
      </c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6">
        <f>COUNT(N270,Q270,T270)</f>
        <v/>
      </c>
      <c r="Z270" s="6">
        <f>IF(OR(K270="",NOT(ISNUMBER(K270))),"",K270*SUM(N270,Q270,T270))</f>
        <v/>
      </c>
      <c r="AA270" s="6">
        <f>IF(OR(Y270=0,N270=""),"",N270/Y270)</f>
        <v/>
      </c>
      <c r="AB270" s="6">
        <f>IF(OR(Y270=0,Q270=""),"",Q270/Y270)</f>
        <v/>
      </c>
      <c r="AC270" s="6">
        <f>IF(OR(Y270=0,T270=""),"",T270/Y270)</f>
        <v/>
      </c>
      <c r="AD270" s="6">
        <f>IF(F270="","",IF((IF(AND(Y270=0,NOT(SUMPRODUCT(--ISNUMBER(SEARCH({"棚板","棚","アングル","ｱﾝｸﾞﾙ","使用不可","ケーブル","ｹｰﾌﾞﾙ","PatchPnael","パッチ","引き出し","引出","ブランク","ﾌﾞﾗﾝｸ","マネージ","ﾏﾈｰｼﾞ","PDU","ONU"},$F270&amp;"")))&gt;0),NOT(SUMPRODUCT(--ISNUMBER(SEARCH({"電源オフ","未投入","停止","未使用","撤去"},$X270&amp;"")))&gt;0)),"／電力が未記入","")&amp;IF(AND(NOT(ISNUMBER(J270)),NOT(SUMPRODUCT(--ISNUMBER(SEARCH({"棚板","棚","アングル","ｱﾝｸﾞﾙ","使用不可","ケーブル","ｹｰﾌﾞﾙ","PatchPnael","パッチ","引き出し","引出","ブランク","ﾌﾞﾗﾝｸ","マネージ","ﾏﾈｰｼﾞ","PDU","ONU"},$F270&amp;"")))&gt;0)),"／重量が未記入","")&amp;IF(AND(K270&lt;&gt;"",NOT(ISNUMBER(K270))),"／電圧が数値でない","")&amp;IF(AND(N270&lt;&gt;"",NOT(ISNUMBER(N270))),"／電流が数値でない","")&amp;IF(AND(C270&lt;&gt;"",C270&lt;1),"／開始Uが1未満","")&amp;IF(AND(E270&lt;&gt;"",E270&gt;IFERROR(VLOOKUP(A270,ラック定義!$A:$B,2,FALSE),47)),"／総Uをはみ出す","")&amp;IF(AND(A270&lt;&gt;"",COUNTIF(ラック定義!$A:$A,A270)=0),"／ラックが定義にない","")&amp;IF(AND(SUMPRODUCT((機器台帳!$A$2:$A$400=$A270)*((機器台帳!$B$2:$B$400=$B270)+(機器台帳!$B$2:$B$400="両面")+($B270="両面")&gt;0)*(機器台帳!$C$2:$C$400&lt;=$C270+$D270-1)*(機器台帳!$C$2:$C$400+機器台帳!$D$2:$D$400-1&gt;=$C270)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270&amp;"")))&gt;0)),"／同じUに他の機器(横並びなら正常)","")&amp;IF(AND(M270&lt;&gt;"",COUNTIFS(回路定義!$A:$A,A270,回路定義!$B:$B,M270)=0),"／回路1が定義にない","")&amp;IF(AND(P270&lt;&gt;"",COUNTIFS(回路定義!$A:$A,A270,回路定義!$B:$B,P270)=0),"／回路2が定義にない","")&amp;IF(AND(S270&lt;&gt;"",COUNTIFS(回路定義!$A:$A,A270,回路定義!$B:$B,S270)=0),"／回路3が定義にない",""))="","",MID(IF(AND(Y270=0,NOT(SUMPRODUCT(--ISNUMBER(SEARCH({"棚板","棚","アングル","ｱﾝｸﾞﾙ","使用不可","ケーブル","ｹｰﾌﾞﾙ","PatchPnael","パッチ","引き出し","引出","ブランク","ﾌﾞﾗﾝｸ","マネージ","ﾏﾈｰｼﾞ","PDU","ONU"},$F270&amp;"")))&gt;0),NOT(SUMPRODUCT(--ISNUMBER(SEARCH({"電源オフ","未投入","停止","未使用","撤去"},$X270&amp;"")))&gt;0)),"／電力が未記入","")&amp;IF(AND(NOT(ISNUMBER(J270)),NOT(SUMPRODUCT(--ISNUMBER(SEARCH({"棚板","棚","アングル","ｱﾝｸﾞﾙ","使用不可","ケーブル","ｹｰﾌﾞﾙ","PatchPnael","パッチ","引き出し","引出","ブランク","ﾌﾞﾗﾝｸ","マネージ","ﾏﾈｰｼﾞ","PDU","ONU"},$F270&amp;"")))&gt;0)),"／重量が未記入","")&amp;IF(AND(K270&lt;&gt;"",NOT(ISNUMBER(K270))),"／電圧が数値でない","")&amp;IF(AND(N270&lt;&gt;"",NOT(ISNUMBER(N270))),"／電流が数値でない","")&amp;IF(AND(C270&lt;&gt;"",C270&lt;1),"／開始Uが1未満","")&amp;IF(AND(E270&lt;&gt;"",E270&gt;IFERROR(VLOOKUP(A270,ラック定義!$A:$B,2,FALSE),47)),"／総Uをはみ出す","")&amp;IF(AND(A270&lt;&gt;"",COUNTIF(ラック定義!$A:$A,A270)=0),"／ラックが定義にない","")&amp;IF(AND(SUMPRODUCT((機器台帳!$A$2:$A$400=$A270)*((機器台帳!$B$2:$B$400=$B270)+(機器台帳!$B$2:$B$400="両面")+($B270="両面")&gt;0)*(機器台帳!$C$2:$C$400&lt;=$C270+$D270-1)*(機器台帳!$C$2:$C$400+機器台帳!$D$2:$D$400-1&gt;=$C270)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270&amp;"")))&gt;0)),"／同じUに他の機器(横並びなら正常)","")&amp;IF(AND(M270&lt;&gt;"",COUNTIFS(回路定義!$A:$A,A270,回路定義!$B:$B,M270)=0),"／回路1が定義にない","")&amp;IF(AND(P270&lt;&gt;"",COUNTIFS(回路定義!$A:$A,A270,回路定義!$B:$B,P270)=0),"／回路2が定義にない","")&amp;IF(AND(S270&lt;&gt;"",COUNTIFS(回路定義!$A:$A,A270,回路定義!$B:$B,S270)=0),"／回路3が定義にない",""),2,300)))</f>
        <v/>
      </c>
    </row>
    <row r="271">
      <c r="A271" s="5" t="n"/>
      <c r="B271" s="5" t="n"/>
      <c r="C271" s="5" t="n"/>
      <c r="D271" s="5" t="n"/>
      <c r="E271" s="6">
        <f>IF(C271="","",C271+D271-1)</f>
        <v/>
      </c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6">
        <f>COUNT(N271,Q271,T271)</f>
        <v/>
      </c>
      <c r="Z271" s="6">
        <f>IF(OR(K271="",NOT(ISNUMBER(K271))),"",K271*SUM(N271,Q271,T271))</f>
        <v/>
      </c>
      <c r="AA271" s="6">
        <f>IF(OR(Y271=0,N271=""),"",N271/Y271)</f>
        <v/>
      </c>
      <c r="AB271" s="6">
        <f>IF(OR(Y271=0,Q271=""),"",Q271/Y271)</f>
        <v/>
      </c>
      <c r="AC271" s="6">
        <f>IF(OR(Y271=0,T271=""),"",T271/Y271)</f>
        <v/>
      </c>
      <c r="AD271" s="6">
        <f>IF(F271="","",IF((IF(AND(Y271=0,NOT(SUMPRODUCT(--ISNUMBER(SEARCH({"棚板","棚","アングル","ｱﾝｸﾞﾙ","使用不可","ケーブル","ｹｰﾌﾞﾙ","PatchPnael","パッチ","引き出し","引出","ブランク","ﾌﾞﾗﾝｸ","マネージ","ﾏﾈｰｼﾞ","PDU","ONU"},$F271&amp;"")))&gt;0),NOT(SUMPRODUCT(--ISNUMBER(SEARCH({"電源オフ","未投入","停止","未使用","撤去"},$X271&amp;"")))&gt;0)),"／電力が未記入","")&amp;IF(AND(NOT(ISNUMBER(J271)),NOT(SUMPRODUCT(--ISNUMBER(SEARCH({"棚板","棚","アングル","ｱﾝｸﾞﾙ","使用不可","ケーブル","ｹｰﾌﾞﾙ","PatchPnael","パッチ","引き出し","引出","ブランク","ﾌﾞﾗﾝｸ","マネージ","ﾏﾈｰｼﾞ","PDU","ONU"},$F271&amp;"")))&gt;0)),"／重量が未記入","")&amp;IF(AND(K271&lt;&gt;"",NOT(ISNUMBER(K271))),"／電圧が数値でない","")&amp;IF(AND(N271&lt;&gt;"",NOT(ISNUMBER(N271))),"／電流が数値でない","")&amp;IF(AND(C271&lt;&gt;"",C271&lt;1),"／開始Uが1未満","")&amp;IF(AND(E271&lt;&gt;"",E271&gt;IFERROR(VLOOKUP(A271,ラック定義!$A:$B,2,FALSE),47)),"／総Uをはみ出す","")&amp;IF(AND(A271&lt;&gt;"",COUNTIF(ラック定義!$A:$A,A271)=0),"／ラックが定義にない","")&amp;IF(AND(SUMPRODUCT((機器台帳!$A$2:$A$400=$A271)*((機器台帳!$B$2:$B$400=$B271)+(機器台帳!$B$2:$B$400="両面")+($B271="両面")&gt;0)*(機器台帳!$C$2:$C$400&lt;=$C271+$D271-1)*(機器台帳!$C$2:$C$400+機器台帳!$D$2:$D$400-1&gt;=$C271)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271&amp;"")))&gt;0)),"／同じUに他の機器(横並びなら正常)","")&amp;IF(AND(M271&lt;&gt;"",COUNTIFS(回路定義!$A:$A,A271,回路定義!$B:$B,M271)=0),"／回路1が定義にない","")&amp;IF(AND(P271&lt;&gt;"",COUNTIFS(回路定義!$A:$A,A271,回路定義!$B:$B,P271)=0),"／回路2が定義にない","")&amp;IF(AND(S271&lt;&gt;"",COUNTIFS(回路定義!$A:$A,A271,回路定義!$B:$B,S271)=0),"／回路3が定義にない",""))="","",MID(IF(AND(Y271=0,NOT(SUMPRODUCT(--ISNUMBER(SEARCH({"棚板","棚","アングル","ｱﾝｸﾞﾙ","使用不可","ケーブル","ｹｰﾌﾞﾙ","PatchPnael","パッチ","引き出し","引出","ブランク","ﾌﾞﾗﾝｸ","マネージ","ﾏﾈｰｼﾞ","PDU","ONU"},$F271&amp;"")))&gt;0),NOT(SUMPRODUCT(--ISNUMBER(SEARCH({"電源オフ","未投入","停止","未使用","撤去"},$X271&amp;"")))&gt;0)),"／電力が未記入","")&amp;IF(AND(NOT(ISNUMBER(J271)),NOT(SUMPRODUCT(--ISNUMBER(SEARCH({"棚板","棚","アングル","ｱﾝｸﾞﾙ","使用不可","ケーブル","ｹｰﾌﾞﾙ","PatchPnael","パッチ","引き出し","引出","ブランク","ﾌﾞﾗﾝｸ","マネージ","ﾏﾈｰｼﾞ","PDU","ONU"},$F271&amp;"")))&gt;0)),"／重量が未記入","")&amp;IF(AND(K271&lt;&gt;"",NOT(ISNUMBER(K271))),"／電圧が数値でない","")&amp;IF(AND(N271&lt;&gt;"",NOT(ISNUMBER(N271))),"／電流が数値でない","")&amp;IF(AND(C271&lt;&gt;"",C271&lt;1),"／開始Uが1未満","")&amp;IF(AND(E271&lt;&gt;"",E271&gt;IFERROR(VLOOKUP(A271,ラック定義!$A:$B,2,FALSE),47)),"／総Uをはみ出す","")&amp;IF(AND(A271&lt;&gt;"",COUNTIF(ラック定義!$A:$A,A271)=0),"／ラックが定義にない","")&amp;IF(AND(SUMPRODUCT((機器台帳!$A$2:$A$400=$A271)*((機器台帳!$B$2:$B$400=$B271)+(機器台帳!$B$2:$B$400="両面")+($B271="両面")&gt;0)*(機器台帳!$C$2:$C$400&lt;=$C271+$D271-1)*(機器台帳!$C$2:$C$400+機器台帳!$D$2:$D$400-1&gt;=$C271)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271&amp;"")))&gt;0)),"／同じUに他の機器(横並びなら正常)","")&amp;IF(AND(M271&lt;&gt;"",COUNTIFS(回路定義!$A:$A,A271,回路定義!$B:$B,M271)=0),"／回路1が定義にない","")&amp;IF(AND(P271&lt;&gt;"",COUNTIFS(回路定義!$A:$A,A271,回路定義!$B:$B,P271)=0),"／回路2が定義にない","")&amp;IF(AND(S271&lt;&gt;"",COUNTIFS(回路定義!$A:$A,A271,回路定義!$B:$B,S271)=0),"／回路3が定義にない",""),2,300)))</f>
        <v/>
      </c>
    </row>
    <row r="272">
      <c r="A272" s="5" t="n"/>
      <c r="B272" s="5" t="n"/>
      <c r="C272" s="5" t="n"/>
      <c r="D272" s="5" t="n"/>
      <c r="E272" s="6">
        <f>IF(C272="","",C272+D272-1)</f>
        <v/>
      </c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6">
        <f>COUNT(N272,Q272,T272)</f>
        <v/>
      </c>
      <c r="Z272" s="6">
        <f>IF(OR(K272="",NOT(ISNUMBER(K272))),"",K272*SUM(N272,Q272,T272))</f>
        <v/>
      </c>
      <c r="AA272" s="6">
        <f>IF(OR(Y272=0,N272=""),"",N272/Y272)</f>
        <v/>
      </c>
      <c r="AB272" s="6">
        <f>IF(OR(Y272=0,Q272=""),"",Q272/Y272)</f>
        <v/>
      </c>
      <c r="AC272" s="6">
        <f>IF(OR(Y272=0,T272=""),"",T272/Y272)</f>
        <v/>
      </c>
      <c r="AD272" s="6">
        <f>IF(F272="","",IF((IF(AND(Y272=0,NOT(SUMPRODUCT(--ISNUMBER(SEARCH({"棚板","棚","アングル","ｱﾝｸﾞﾙ","使用不可","ケーブル","ｹｰﾌﾞﾙ","PatchPnael","パッチ","引き出し","引出","ブランク","ﾌﾞﾗﾝｸ","マネージ","ﾏﾈｰｼﾞ","PDU","ONU"},$F272&amp;"")))&gt;0),NOT(SUMPRODUCT(--ISNUMBER(SEARCH({"電源オフ","未投入","停止","未使用","撤去"},$X272&amp;"")))&gt;0)),"／電力が未記入","")&amp;IF(AND(NOT(ISNUMBER(J272)),NOT(SUMPRODUCT(--ISNUMBER(SEARCH({"棚板","棚","アングル","ｱﾝｸﾞﾙ","使用不可","ケーブル","ｹｰﾌﾞﾙ","PatchPnael","パッチ","引き出し","引出","ブランク","ﾌﾞﾗﾝｸ","マネージ","ﾏﾈｰｼﾞ","PDU","ONU"},$F272&amp;"")))&gt;0)),"／重量が未記入","")&amp;IF(AND(K272&lt;&gt;"",NOT(ISNUMBER(K272))),"／電圧が数値でない","")&amp;IF(AND(N272&lt;&gt;"",NOT(ISNUMBER(N272))),"／電流が数値でない","")&amp;IF(AND(C272&lt;&gt;"",C272&lt;1),"／開始Uが1未満","")&amp;IF(AND(E272&lt;&gt;"",E272&gt;IFERROR(VLOOKUP(A272,ラック定義!$A:$B,2,FALSE),47)),"／総Uをはみ出す","")&amp;IF(AND(A272&lt;&gt;"",COUNTIF(ラック定義!$A:$A,A272)=0),"／ラックが定義にない","")&amp;IF(AND(SUMPRODUCT((機器台帳!$A$2:$A$400=$A272)*((機器台帳!$B$2:$B$400=$B272)+(機器台帳!$B$2:$B$400="両面")+($B272="両面")&gt;0)*(機器台帳!$C$2:$C$400&lt;=$C272+$D272-1)*(機器台帳!$C$2:$C$400+機器台帳!$D$2:$D$400-1&gt;=$C272)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272&amp;"")))&gt;0)),"／同じUに他の機器(横並びなら正常)","")&amp;IF(AND(M272&lt;&gt;"",COUNTIFS(回路定義!$A:$A,A272,回路定義!$B:$B,M272)=0),"／回路1が定義にない","")&amp;IF(AND(P272&lt;&gt;"",COUNTIFS(回路定義!$A:$A,A272,回路定義!$B:$B,P272)=0),"／回路2が定義にない","")&amp;IF(AND(S272&lt;&gt;"",COUNTIFS(回路定義!$A:$A,A272,回路定義!$B:$B,S272)=0),"／回路3が定義にない",""))="","",MID(IF(AND(Y272=0,NOT(SUMPRODUCT(--ISNUMBER(SEARCH({"棚板","棚","アングル","ｱﾝｸﾞﾙ","使用不可","ケーブル","ｹｰﾌﾞﾙ","PatchPnael","パッチ","引き出し","引出","ブランク","ﾌﾞﾗﾝｸ","マネージ","ﾏﾈｰｼﾞ","PDU","ONU"},$F272&amp;"")))&gt;0),NOT(SUMPRODUCT(--ISNUMBER(SEARCH({"電源オフ","未投入","停止","未使用","撤去"},$X272&amp;"")))&gt;0)),"／電力が未記入","")&amp;IF(AND(NOT(ISNUMBER(J272)),NOT(SUMPRODUCT(--ISNUMBER(SEARCH({"棚板","棚","アングル","ｱﾝｸﾞﾙ","使用不可","ケーブル","ｹｰﾌﾞﾙ","PatchPnael","パッチ","引き出し","引出","ブランク","ﾌﾞﾗﾝｸ","マネージ","ﾏﾈｰｼﾞ","PDU","ONU"},$F272&amp;"")))&gt;0)),"／重量が未記入","")&amp;IF(AND(K272&lt;&gt;"",NOT(ISNUMBER(K272))),"／電圧が数値でない","")&amp;IF(AND(N272&lt;&gt;"",NOT(ISNUMBER(N272))),"／電流が数値でない","")&amp;IF(AND(C272&lt;&gt;"",C272&lt;1),"／開始Uが1未満","")&amp;IF(AND(E272&lt;&gt;"",E272&gt;IFERROR(VLOOKUP(A272,ラック定義!$A:$B,2,FALSE),47)),"／総Uをはみ出す","")&amp;IF(AND(A272&lt;&gt;"",COUNTIF(ラック定義!$A:$A,A272)=0),"／ラックが定義にない","")&amp;IF(AND(SUMPRODUCT((機器台帳!$A$2:$A$400=$A272)*((機器台帳!$B$2:$B$400=$B272)+(機器台帳!$B$2:$B$400="両面")+($B272="両面")&gt;0)*(機器台帳!$C$2:$C$400&lt;=$C272+$D272-1)*(機器台帳!$C$2:$C$400+機器台帳!$D$2:$D$400-1&gt;=$C272)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272&amp;"")))&gt;0)),"／同じUに他の機器(横並びなら正常)","")&amp;IF(AND(M272&lt;&gt;"",COUNTIFS(回路定義!$A:$A,A272,回路定義!$B:$B,M272)=0),"／回路1が定義にない","")&amp;IF(AND(P272&lt;&gt;"",COUNTIFS(回路定義!$A:$A,A272,回路定義!$B:$B,P272)=0),"／回路2が定義にない","")&amp;IF(AND(S272&lt;&gt;"",COUNTIFS(回路定義!$A:$A,A272,回路定義!$B:$B,S272)=0),"／回路3が定義にない",""),2,300)))</f>
        <v/>
      </c>
    </row>
    <row r="273">
      <c r="A273" s="5" t="n"/>
      <c r="B273" s="5" t="n"/>
      <c r="C273" s="5" t="n"/>
      <c r="D273" s="5" t="n"/>
      <c r="E273" s="6">
        <f>IF(C273="","",C273+D273-1)</f>
        <v/>
      </c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6">
        <f>COUNT(N273,Q273,T273)</f>
        <v/>
      </c>
      <c r="Z273" s="6">
        <f>IF(OR(K273="",NOT(ISNUMBER(K273))),"",K273*SUM(N273,Q273,T273))</f>
        <v/>
      </c>
      <c r="AA273" s="6">
        <f>IF(OR(Y273=0,N273=""),"",N273/Y273)</f>
        <v/>
      </c>
      <c r="AB273" s="6">
        <f>IF(OR(Y273=0,Q273=""),"",Q273/Y273)</f>
        <v/>
      </c>
      <c r="AC273" s="6">
        <f>IF(OR(Y273=0,T273=""),"",T273/Y273)</f>
        <v/>
      </c>
      <c r="AD273" s="6">
        <f>IF(F273="","",IF((IF(AND(Y273=0,NOT(SUMPRODUCT(--ISNUMBER(SEARCH({"棚板","棚","アングル","ｱﾝｸﾞﾙ","使用不可","ケーブル","ｹｰﾌﾞﾙ","PatchPnael","パッチ","引き出し","引出","ブランク","ﾌﾞﾗﾝｸ","マネージ","ﾏﾈｰｼﾞ","PDU","ONU"},$F273&amp;"")))&gt;0),NOT(SUMPRODUCT(--ISNUMBER(SEARCH({"電源オフ","未投入","停止","未使用","撤去"},$X273&amp;"")))&gt;0)),"／電力が未記入","")&amp;IF(AND(NOT(ISNUMBER(J273)),NOT(SUMPRODUCT(--ISNUMBER(SEARCH({"棚板","棚","アングル","ｱﾝｸﾞﾙ","使用不可","ケーブル","ｹｰﾌﾞﾙ","PatchPnael","パッチ","引き出し","引出","ブランク","ﾌﾞﾗﾝｸ","マネージ","ﾏﾈｰｼﾞ","PDU","ONU"},$F273&amp;"")))&gt;0)),"／重量が未記入","")&amp;IF(AND(K273&lt;&gt;"",NOT(ISNUMBER(K273))),"／電圧が数値でない","")&amp;IF(AND(N273&lt;&gt;"",NOT(ISNUMBER(N273))),"／電流が数値でない","")&amp;IF(AND(C273&lt;&gt;"",C273&lt;1),"／開始Uが1未満","")&amp;IF(AND(E273&lt;&gt;"",E273&gt;IFERROR(VLOOKUP(A273,ラック定義!$A:$B,2,FALSE),47)),"／総Uをはみ出す","")&amp;IF(AND(A273&lt;&gt;"",COUNTIF(ラック定義!$A:$A,A273)=0),"／ラックが定義にない","")&amp;IF(AND(SUMPRODUCT((機器台帳!$A$2:$A$400=$A273)*((機器台帳!$B$2:$B$400=$B273)+(機器台帳!$B$2:$B$400="両面")+($B273="両面")&gt;0)*(機器台帳!$C$2:$C$400&lt;=$C273+$D273-1)*(機器台帳!$C$2:$C$400+機器台帳!$D$2:$D$400-1&gt;=$C273)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273&amp;"")))&gt;0)),"／同じUに他の機器(横並びなら正常)","")&amp;IF(AND(M273&lt;&gt;"",COUNTIFS(回路定義!$A:$A,A273,回路定義!$B:$B,M273)=0),"／回路1が定義にない","")&amp;IF(AND(P273&lt;&gt;"",COUNTIFS(回路定義!$A:$A,A273,回路定義!$B:$B,P273)=0),"／回路2が定義にない","")&amp;IF(AND(S273&lt;&gt;"",COUNTIFS(回路定義!$A:$A,A273,回路定義!$B:$B,S273)=0),"／回路3が定義にない",""))="","",MID(IF(AND(Y273=0,NOT(SUMPRODUCT(--ISNUMBER(SEARCH({"棚板","棚","アングル","ｱﾝｸﾞﾙ","使用不可","ケーブル","ｹｰﾌﾞﾙ","PatchPnael","パッチ","引き出し","引出","ブランク","ﾌﾞﾗﾝｸ","マネージ","ﾏﾈｰｼﾞ","PDU","ONU"},$F273&amp;"")))&gt;0),NOT(SUMPRODUCT(--ISNUMBER(SEARCH({"電源オフ","未投入","停止","未使用","撤去"},$X273&amp;"")))&gt;0)),"／電力が未記入","")&amp;IF(AND(NOT(ISNUMBER(J273)),NOT(SUMPRODUCT(--ISNUMBER(SEARCH({"棚板","棚","アングル","ｱﾝｸﾞﾙ","使用不可","ケーブル","ｹｰﾌﾞﾙ","PatchPnael","パッチ","引き出し","引出","ブランク","ﾌﾞﾗﾝｸ","マネージ","ﾏﾈｰｼﾞ","PDU","ONU"},$F273&amp;"")))&gt;0)),"／重量が未記入","")&amp;IF(AND(K273&lt;&gt;"",NOT(ISNUMBER(K273))),"／電圧が数値でない","")&amp;IF(AND(N273&lt;&gt;"",NOT(ISNUMBER(N273))),"／電流が数値でない","")&amp;IF(AND(C273&lt;&gt;"",C273&lt;1),"／開始Uが1未満","")&amp;IF(AND(E273&lt;&gt;"",E273&gt;IFERROR(VLOOKUP(A273,ラック定義!$A:$B,2,FALSE),47)),"／総Uをはみ出す","")&amp;IF(AND(A273&lt;&gt;"",COUNTIF(ラック定義!$A:$A,A273)=0),"／ラックが定義にない","")&amp;IF(AND(SUMPRODUCT((機器台帳!$A$2:$A$400=$A273)*((機器台帳!$B$2:$B$400=$B273)+(機器台帳!$B$2:$B$400="両面")+($B273="両面")&gt;0)*(機器台帳!$C$2:$C$400&lt;=$C273+$D273-1)*(機器台帳!$C$2:$C$400+機器台帳!$D$2:$D$400-1&gt;=$C273)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273&amp;"")))&gt;0)),"／同じUに他の機器(横並びなら正常)","")&amp;IF(AND(M273&lt;&gt;"",COUNTIFS(回路定義!$A:$A,A273,回路定義!$B:$B,M273)=0),"／回路1が定義にない","")&amp;IF(AND(P273&lt;&gt;"",COUNTIFS(回路定義!$A:$A,A273,回路定義!$B:$B,P273)=0),"／回路2が定義にない","")&amp;IF(AND(S273&lt;&gt;"",COUNTIFS(回路定義!$A:$A,A273,回路定義!$B:$B,S273)=0),"／回路3が定義にない",""),2,300)))</f>
        <v/>
      </c>
    </row>
    <row r="274">
      <c r="A274" s="5" t="n"/>
      <c r="B274" s="5" t="n"/>
      <c r="C274" s="5" t="n"/>
      <c r="D274" s="5" t="n"/>
      <c r="E274" s="6">
        <f>IF(C274="","",C274+D274-1)</f>
        <v/>
      </c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6">
        <f>COUNT(N274,Q274,T274)</f>
        <v/>
      </c>
      <c r="Z274" s="6">
        <f>IF(OR(K274="",NOT(ISNUMBER(K274))),"",K274*SUM(N274,Q274,T274))</f>
        <v/>
      </c>
      <c r="AA274" s="6">
        <f>IF(OR(Y274=0,N274=""),"",N274/Y274)</f>
        <v/>
      </c>
      <c r="AB274" s="6">
        <f>IF(OR(Y274=0,Q274=""),"",Q274/Y274)</f>
        <v/>
      </c>
      <c r="AC274" s="6">
        <f>IF(OR(Y274=0,T274=""),"",T274/Y274)</f>
        <v/>
      </c>
      <c r="AD274" s="6">
        <f>IF(F274="","",IF((IF(AND(Y274=0,NOT(SUMPRODUCT(--ISNUMBER(SEARCH({"棚板","棚","アングル","ｱﾝｸﾞﾙ","使用不可","ケーブル","ｹｰﾌﾞﾙ","PatchPnael","パッチ","引き出し","引出","ブランク","ﾌﾞﾗﾝｸ","マネージ","ﾏﾈｰｼﾞ","PDU","ONU"},$F274&amp;"")))&gt;0),NOT(SUMPRODUCT(--ISNUMBER(SEARCH({"電源オフ","未投入","停止","未使用","撤去"},$X274&amp;"")))&gt;0)),"／電力が未記入","")&amp;IF(AND(NOT(ISNUMBER(J274)),NOT(SUMPRODUCT(--ISNUMBER(SEARCH({"棚板","棚","アングル","ｱﾝｸﾞﾙ","使用不可","ケーブル","ｹｰﾌﾞﾙ","PatchPnael","パッチ","引き出し","引出","ブランク","ﾌﾞﾗﾝｸ","マネージ","ﾏﾈｰｼﾞ","PDU","ONU"},$F274&amp;"")))&gt;0)),"／重量が未記入","")&amp;IF(AND(K274&lt;&gt;"",NOT(ISNUMBER(K274))),"／電圧が数値でない","")&amp;IF(AND(N274&lt;&gt;"",NOT(ISNUMBER(N274))),"／電流が数値でない","")&amp;IF(AND(C274&lt;&gt;"",C274&lt;1),"／開始Uが1未満","")&amp;IF(AND(E274&lt;&gt;"",E274&gt;IFERROR(VLOOKUP(A274,ラック定義!$A:$B,2,FALSE),47)),"／総Uをはみ出す","")&amp;IF(AND(A274&lt;&gt;"",COUNTIF(ラック定義!$A:$A,A274)=0),"／ラックが定義にない","")&amp;IF(AND(SUMPRODUCT((機器台帳!$A$2:$A$400=$A274)*((機器台帳!$B$2:$B$400=$B274)+(機器台帳!$B$2:$B$400="両面")+($B274="両面")&gt;0)*(機器台帳!$C$2:$C$400&lt;=$C274+$D274-1)*(機器台帳!$C$2:$C$400+機器台帳!$D$2:$D$400-1&gt;=$C274)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274&amp;"")))&gt;0)),"／同じUに他の機器(横並びなら正常)","")&amp;IF(AND(M274&lt;&gt;"",COUNTIFS(回路定義!$A:$A,A274,回路定義!$B:$B,M274)=0),"／回路1が定義にない","")&amp;IF(AND(P274&lt;&gt;"",COUNTIFS(回路定義!$A:$A,A274,回路定義!$B:$B,P274)=0),"／回路2が定義にない","")&amp;IF(AND(S274&lt;&gt;"",COUNTIFS(回路定義!$A:$A,A274,回路定義!$B:$B,S274)=0),"／回路3が定義にない",""))="","",MID(IF(AND(Y274=0,NOT(SUMPRODUCT(--ISNUMBER(SEARCH({"棚板","棚","アングル","ｱﾝｸﾞﾙ","使用不可","ケーブル","ｹｰﾌﾞﾙ","PatchPnael","パッチ","引き出し","引出","ブランク","ﾌﾞﾗﾝｸ","マネージ","ﾏﾈｰｼﾞ","PDU","ONU"},$F274&amp;"")))&gt;0),NOT(SUMPRODUCT(--ISNUMBER(SEARCH({"電源オフ","未投入","停止","未使用","撤去"},$X274&amp;"")))&gt;0)),"／電力が未記入","")&amp;IF(AND(NOT(ISNUMBER(J274)),NOT(SUMPRODUCT(--ISNUMBER(SEARCH({"棚板","棚","アングル","ｱﾝｸﾞﾙ","使用不可","ケーブル","ｹｰﾌﾞﾙ","PatchPnael","パッチ","引き出し","引出","ブランク","ﾌﾞﾗﾝｸ","マネージ","ﾏﾈｰｼﾞ","PDU","ONU"},$F274&amp;"")))&gt;0)),"／重量が未記入","")&amp;IF(AND(K274&lt;&gt;"",NOT(ISNUMBER(K274))),"／電圧が数値でない","")&amp;IF(AND(N274&lt;&gt;"",NOT(ISNUMBER(N274))),"／電流が数値でない","")&amp;IF(AND(C274&lt;&gt;"",C274&lt;1),"／開始Uが1未満","")&amp;IF(AND(E274&lt;&gt;"",E274&gt;IFERROR(VLOOKUP(A274,ラック定義!$A:$B,2,FALSE),47)),"／総Uをはみ出す","")&amp;IF(AND(A274&lt;&gt;"",COUNTIF(ラック定義!$A:$A,A274)=0),"／ラックが定義にない","")&amp;IF(AND(SUMPRODUCT((機器台帳!$A$2:$A$400=$A274)*((機器台帳!$B$2:$B$400=$B274)+(機器台帳!$B$2:$B$400="両面")+($B274="両面")&gt;0)*(機器台帳!$C$2:$C$400&lt;=$C274+$D274-1)*(機器台帳!$C$2:$C$400+機器台帳!$D$2:$D$400-1&gt;=$C274)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274&amp;"")))&gt;0)),"／同じUに他の機器(横並びなら正常)","")&amp;IF(AND(M274&lt;&gt;"",COUNTIFS(回路定義!$A:$A,A274,回路定義!$B:$B,M274)=0),"／回路1が定義にない","")&amp;IF(AND(P274&lt;&gt;"",COUNTIFS(回路定義!$A:$A,A274,回路定義!$B:$B,P274)=0),"／回路2が定義にない","")&amp;IF(AND(S274&lt;&gt;"",COUNTIFS(回路定義!$A:$A,A274,回路定義!$B:$B,S274)=0),"／回路3が定義にない",""),2,300)))</f>
        <v/>
      </c>
    </row>
    <row r="275">
      <c r="A275" s="5" t="n"/>
      <c r="B275" s="5" t="n"/>
      <c r="C275" s="5" t="n"/>
      <c r="D275" s="5" t="n"/>
      <c r="E275" s="6">
        <f>IF(C275="","",C275+D275-1)</f>
        <v/>
      </c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6">
        <f>COUNT(N275,Q275,T275)</f>
        <v/>
      </c>
      <c r="Z275" s="6">
        <f>IF(OR(K275="",NOT(ISNUMBER(K275))),"",K275*SUM(N275,Q275,T275))</f>
        <v/>
      </c>
      <c r="AA275" s="6">
        <f>IF(OR(Y275=0,N275=""),"",N275/Y275)</f>
        <v/>
      </c>
      <c r="AB275" s="6">
        <f>IF(OR(Y275=0,Q275=""),"",Q275/Y275)</f>
        <v/>
      </c>
      <c r="AC275" s="6">
        <f>IF(OR(Y275=0,T275=""),"",T275/Y275)</f>
        <v/>
      </c>
      <c r="AD275" s="6">
        <f>IF(F275="","",IF((IF(AND(Y275=0,NOT(SUMPRODUCT(--ISNUMBER(SEARCH({"棚板","棚","アングル","ｱﾝｸﾞﾙ","使用不可","ケーブル","ｹｰﾌﾞﾙ","PatchPnael","パッチ","引き出し","引出","ブランク","ﾌﾞﾗﾝｸ","マネージ","ﾏﾈｰｼﾞ","PDU","ONU"},$F275&amp;"")))&gt;0),NOT(SUMPRODUCT(--ISNUMBER(SEARCH({"電源オフ","未投入","停止","未使用","撤去"},$X275&amp;"")))&gt;0)),"／電力が未記入","")&amp;IF(AND(NOT(ISNUMBER(J275)),NOT(SUMPRODUCT(--ISNUMBER(SEARCH({"棚板","棚","アングル","ｱﾝｸﾞﾙ","使用不可","ケーブル","ｹｰﾌﾞﾙ","PatchPnael","パッチ","引き出し","引出","ブランク","ﾌﾞﾗﾝｸ","マネージ","ﾏﾈｰｼﾞ","PDU","ONU"},$F275&amp;"")))&gt;0)),"／重量が未記入","")&amp;IF(AND(K275&lt;&gt;"",NOT(ISNUMBER(K275))),"／電圧が数値でない","")&amp;IF(AND(N275&lt;&gt;"",NOT(ISNUMBER(N275))),"／電流が数値でない","")&amp;IF(AND(C275&lt;&gt;"",C275&lt;1),"／開始Uが1未満","")&amp;IF(AND(E275&lt;&gt;"",E275&gt;IFERROR(VLOOKUP(A275,ラック定義!$A:$B,2,FALSE),47)),"／総Uをはみ出す","")&amp;IF(AND(A275&lt;&gt;"",COUNTIF(ラック定義!$A:$A,A275)=0),"／ラックが定義にない","")&amp;IF(AND(SUMPRODUCT((機器台帳!$A$2:$A$400=$A275)*((機器台帳!$B$2:$B$400=$B275)+(機器台帳!$B$2:$B$400="両面")+($B275="両面")&gt;0)*(機器台帳!$C$2:$C$400&lt;=$C275+$D275-1)*(機器台帳!$C$2:$C$400+機器台帳!$D$2:$D$400-1&gt;=$C275)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275&amp;"")))&gt;0)),"／同じUに他の機器(横並びなら正常)","")&amp;IF(AND(M275&lt;&gt;"",COUNTIFS(回路定義!$A:$A,A275,回路定義!$B:$B,M275)=0),"／回路1が定義にない","")&amp;IF(AND(P275&lt;&gt;"",COUNTIFS(回路定義!$A:$A,A275,回路定義!$B:$B,P275)=0),"／回路2が定義にない","")&amp;IF(AND(S275&lt;&gt;"",COUNTIFS(回路定義!$A:$A,A275,回路定義!$B:$B,S275)=0),"／回路3が定義にない",""))="","",MID(IF(AND(Y275=0,NOT(SUMPRODUCT(--ISNUMBER(SEARCH({"棚板","棚","アングル","ｱﾝｸﾞﾙ","使用不可","ケーブル","ｹｰﾌﾞﾙ","PatchPnael","パッチ","引き出し","引出","ブランク","ﾌﾞﾗﾝｸ","マネージ","ﾏﾈｰｼﾞ","PDU","ONU"},$F275&amp;"")))&gt;0),NOT(SUMPRODUCT(--ISNUMBER(SEARCH({"電源オフ","未投入","停止","未使用","撤去"},$X275&amp;"")))&gt;0)),"／電力が未記入","")&amp;IF(AND(NOT(ISNUMBER(J275)),NOT(SUMPRODUCT(--ISNUMBER(SEARCH({"棚板","棚","アングル","ｱﾝｸﾞﾙ","使用不可","ケーブル","ｹｰﾌﾞﾙ","PatchPnael","パッチ","引き出し","引出","ブランク","ﾌﾞﾗﾝｸ","マネージ","ﾏﾈｰｼﾞ","PDU","ONU"},$F275&amp;"")))&gt;0)),"／重量が未記入","")&amp;IF(AND(K275&lt;&gt;"",NOT(ISNUMBER(K275))),"／電圧が数値でない","")&amp;IF(AND(N275&lt;&gt;"",NOT(ISNUMBER(N275))),"／電流が数値でない","")&amp;IF(AND(C275&lt;&gt;"",C275&lt;1),"／開始Uが1未満","")&amp;IF(AND(E275&lt;&gt;"",E275&gt;IFERROR(VLOOKUP(A275,ラック定義!$A:$B,2,FALSE),47)),"／総Uをはみ出す","")&amp;IF(AND(A275&lt;&gt;"",COUNTIF(ラック定義!$A:$A,A275)=0),"／ラックが定義にない","")&amp;IF(AND(SUMPRODUCT((機器台帳!$A$2:$A$400=$A275)*((機器台帳!$B$2:$B$400=$B275)+(機器台帳!$B$2:$B$400="両面")+($B275="両面")&gt;0)*(機器台帳!$C$2:$C$400&lt;=$C275+$D275-1)*(機器台帳!$C$2:$C$400+機器台帳!$D$2:$D$400-1&gt;=$C275)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275&amp;"")))&gt;0)),"／同じUに他の機器(横並びなら正常)","")&amp;IF(AND(M275&lt;&gt;"",COUNTIFS(回路定義!$A:$A,A275,回路定義!$B:$B,M275)=0),"／回路1が定義にない","")&amp;IF(AND(P275&lt;&gt;"",COUNTIFS(回路定義!$A:$A,A275,回路定義!$B:$B,P275)=0),"／回路2が定義にない","")&amp;IF(AND(S275&lt;&gt;"",COUNTIFS(回路定義!$A:$A,A275,回路定義!$B:$B,S275)=0),"／回路3が定義にない",""),2,300)))</f>
        <v/>
      </c>
    </row>
    <row r="276">
      <c r="A276" s="5" t="n"/>
      <c r="B276" s="5" t="n"/>
      <c r="C276" s="5" t="n"/>
      <c r="D276" s="5" t="n"/>
      <c r="E276" s="6">
        <f>IF(C276="","",C276+D276-1)</f>
        <v/>
      </c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6">
        <f>COUNT(N276,Q276,T276)</f>
        <v/>
      </c>
      <c r="Z276" s="6">
        <f>IF(OR(K276="",NOT(ISNUMBER(K276))),"",K276*SUM(N276,Q276,T276))</f>
        <v/>
      </c>
      <c r="AA276" s="6">
        <f>IF(OR(Y276=0,N276=""),"",N276/Y276)</f>
        <v/>
      </c>
      <c r="AB276" s="6">
        <f>IF(OR(Y276=0,Q276=""),"",Q276/Y276)</f>
        <v/>
      </c>
      <c r="AC276" s="6">
        <f>IF(OR(Y276=0,T276=""),"",T276/Y276)</f>
        <v/>
      </c>
      <c r="AD276" s="6">
        <f>IF(F276="","",IF((IF(AND(Y276=0,NOT(SUMPRODUCT(--ISNUMBER(SEARCH({"棚板","棚","アングル","ｱﾝｸﾞﾙ","使用不可","ケーブル","ｹｰﾌﾞﾙ","PatchPnael","パッチ","引き出し","引出","ブランク","ﾌﾞﾗﾝｸ","マネージ","ﾏﾈｰｼﾞ","PDU","ONU"},$F276&amp;"")))&gt;0),NOT(SUMPRODUCT(--ISNUMBER(SEARCH({"電源オフ","未投入","停止","未使用","撤去"},$X276&amp;"")))&gt;0)),"／電力が未記入","")&amp;IF(AND(NOT(ISNUMBER(J276)),NOT(SUMPRODUCT(--ISNUMBER(SEARCH({"棚板","棚","アングル","ｱﾝｸﾞﾙ","使用不可","ケーブル","ｹｰﾌﾞﾙ","PatchPnael","パッチ","引き出し","引出","ブランク","ﾌﾞﾗﾝｸ","マネージ","ﾏﾈｰｼﾞ","PDU","ONU"},$F276&amp;"")))&gt;0)),"／重量が未記入","")&amp;IF(AND(K276&lt;&gt;"",NOT(ISNUMBER(K276))),"／電圧が数値でない","")&amp;IF(AND(N276&lt;&gt;"",NOT(ISNUMBER(N276))),"／電流が数値でない","")&amp;IF(AND(C276&lt;&gt;"",C276&lt;1),"／開始Uが1未満","")&amp;IF(AND(E276&lt;&gt;"",E276&gt;IFERROR(VLOOKUP(A276,ラック定義!$A:$B,2,FALSE),47)),"／総Uをはみ出す","")&amp;IF(AND(A276&lt;&gt;"",COUNTIF(ラック定義!$A:$A,A276)=0),"／ラックが定義にない","")&amp;IF(AND(SUMPRODUCT((機器台帳!$A$2:$A$400=$A276)*((機器台帳!$B$2:$B$400=$B276)+(機器台帳!$B$2:$B$400="両面")+($B276="両面")&gt;0)*(機器台帳!$C$2:$C$400&lt;=$C276+$D276-1)*(機器台帳!$C$2:$C$400+機器台帳!$D$2:$D$400-1&gt;=$C276)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276&amp;"")))&gt;0)),"／同じUに他の機器(横並びなら正常)","")&amp;IF(AND(M276&lt;&gt;"",COUNTIFS(回路定義!$A:$A,A276,回路定義!$B:$B,M276)=0),"／回路1が定義にない","")&amp;IF(AND(P276&lt;&gt;"",COUNTIFS(回路定義!$A:$A,A276,回路定義!$B:$B,P276)=0),"／回路2が定義にない","")&amp;IF(AND(S276&lt;&gt;"",COUNTIFS(回路定義!$A:$A,A276,回路定義!$B:$B,S276)=0),"／回路3が定義にない",""))="","",MID(IF(AND(Y276=0,NOT(SUMPRODUCT(--ISNUMBER(SEARCH({"棚板","棚","アングル","ｱﾝｸﾞﾙ","使用不可","ケーブル","ｹｰﾌﾞﾙ","PatchPnael","パッチ","引き出し","引出","ブランク","ﾌﾞﾗﾝｸ","マネージ","ﾏﾈｰｼﾞ","PDU","ONU"},$F276&amp;"")))&gt;0),NOT(SUMPRODUCT(--ISNUMBER(SEARCH({"電源オフ","未投入","停止","未使用","撤去"},$X276&amp;"")))&gt;0)),"／電力が未記入","")&amp;IF(AND(NOT(ISNUMBER(J276)),NOT(SUMPRODUCT(--ISNUMBER(SEARCH({"棚板","棚","アングル","ｱﾝｸﾞﾙ","使用不可","ケーブル","ｹｰﾌﾞﾙ","PatchPnael","パッチ","引き出し","引出","ブランク","ﾌﾞﾗﾝｸ","マネージ","ﾏﾈｰｼﾞ","PDU","ONU"},$F276&amp;"")))&gt;0)),"／重量が未記入","")&amp;IF(AND(K276&lt;&gt;"",NOT(ISNUMBER(K276))),"／電圧が数値でない","")&amp;IF(AND(N276&lt;&gt;"",NOT(ISNUMBER(N276))),"／電流が数値でない","")&amp;IF(AND(C276&lt;&gt;"",C276&lt;1),"／開始Uが1未満","")&amp;IF(AND(E276&lt;&gt;"",E276&gt;IFERROR(VLOOKUP(A276,ラック定義!$A:$B,2,FALSE),47)),"／総Uをはみ出す","")&amp;IF(AND(A276&lt;&gt;"",COUNTIF(ラック定義!$A:$A,A276)=0),"／ラックが定義にない","")&amp;IF(AND(SUMPRODUCT((機器台帳!$A$2:$A$400=$A276)*((機器台帳!$B$2:$B$400=$B276)+(機器台帳!$B$2:$B$400="両面")+($B276="両面")&gt;0)*(機器台帳!$C$2:$C$400&lt;=$C276+$D276-1)*(機器台帳!$C$2:$C$400+機器台帳!$D$2:$D$400-1&gt;=$C276)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276&amp;"")))&gt;0)),"／同じUに他の機器(横並びなら正常)","")&amp;IF(AND(M276&lt;&gt;"",COUNTIFS(回路定義!$A:$A,A276,回路定義!$B:$B,M276)=0),"／回路1が定義にない","")&amp;IF(AND(P276&lt;&gt;"",COUNTIFS(回路定義!$A:$A,A276,回路定義!$B:$B,P276)=0),"／回路2が定義にない","")&amp;IF(AND(S276&lt;&gt;"",COUNTIFS(回路定義!$A:$A,A276,回路定義!$B:$B,S276)=0),"／回路3が定義にない",""),2,300)))</f>
        <v/>
      </c>
    </row>
    <row r="277">
      <c r="A277" s="5" t="n"/>
      <c r="B277" s="5" t="n"/>
      <c r="C277" s="5" t="n"/>
      <c r="D277" s="5" t="n"/>
      <c r="E277" s="6">
        <f>IF(C277="","",C277+D277-1)</f>
        <v/>
      </c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6">
        <f>COUNT(N277,Q277,T277)</f>
        <v/>
      </c>
      <c r="Z277" s="6">
        <f>IF(OR(K277="",NOT(ISNUMBER(K277))),"",K277*SUM(N277,Q277,T277))</f>
        <v/>
      </c>
      <c r="AA277" s="6">
        <f>IF(OR(Y277=0,N277=""),"",N277/Y277)</f>
        <v/>
      </c>
      <c r="AB277" s="6">
        <f>IF(OR(Y277=0,Q277=""),"",Q277/Y277)</f>
        <v/>
      </c>
      <c r="AC277" s="6">
        <f>IF(OR(Y277=0,T277=""),"",T277/Y277)</f>
        <v/>
      </c>
      <c r="AD277" s="6">
        <f>IF(F277="","",IF((IF(AND(Y277=0,NOT(SUMPRODUCT(--ISNUMBER(SEARCH({"棚板","棚","アングル","ｱﾝｸﾞﾙ","使用不可","ケーブル","ｹｰﾌﾞﾙ","PatchPnael","パッチ","引き出し","引出","ブランク","ﾌﾞﾗﾝｸ","マネージ","ﾏﾈｰｼﾞ","PDU","ONU"},$F277&amp;"")))&gt;0),NOT(SUMPRODUCT(--ISNUMBER(SEARCH({"電源オフ","未投入","停止","未使用","撤去"},$X277&amp;"")))&gt;0)),"／電力が未記入","")&amp;IF(AND(NOT(ISNUMBER(J277)),NOT(SUMPRODUCT(--ISNUMBER(SEARCH({"棚板","棚","アングル","ｱﾝｸﾞﾙ","使用不可","ケーブル","ｹｰﾌﾞﾙ","PatchPnael","パッチ","引き出し","引出","ブランク","ﾌﾞﾗﾝｸ","マネージ","ﾏﾈｰｼﾞ","PDU","ONU"},$F277&amp;"")))&gt;0)),"／重量が未記入","")&amp;IF(AND(K277&lt;&gt;"",NOT(ISNUMBER(K277))),"／電圧が数値でない","")&amp;IF(AND(N277&lt;&gt;"",NOT(ISNUMBER(N277))),"／電流が数値でない","")&amp;IF(AND(C277&lt;&gt;"",C277&lt;1),"／開始Uが1未満","")&amp;IF(AND(E277&lt;&gt;"",E277&gt;IFERROR(VLOOKUP(A277,ラック定義!$A:$B,2,FALSE),47)),"／総Uをはみ出す","")&amp;IF(AND(A277&lt;&gt;"",COUNTIF(ラック定義!$A:$A,A277)=0),"／ラックが定義にない","")&amp;IF(AND(SUMPRODUCT((機器台帳!$A$2:$A$400=$A277)*((機器台帳!$B$2:$B$400=$B277)+(機器台帳!$B$2:$B$400="両面")+($B277="両面")&gt;0)*(機器台帳!$C$2:$C$400&lt;=$C277+$D277-1)*(機器台帳!$C$2:$C$400+機器台帳!$D$2:$D$400-1&gt;=$C277)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277&amp;"")))&gt;0)),"／同じUに他の機器(横並びなら正常)","")&amp;IF(AND(M277&lt;&gt;"",COUNTIFS(回路定義!$A:$A,A277,回路定義!$B:$B,M277)=0),"／回路1が定義にない","")&amp;IF(AND(P277&lt;&gt;"",COUNTIFS(回路定義!$A:$A,A277,回路定義!$B:$B,P277)=0),"／回路2が定義にない","")&amp;IF(AND(S277&lt;&gt;"",COUNTIFS(回路定義!$A:$A,A277,回路定義!$B:$B,S277)=0),"／回路3が定義にない",""))="","",MID(IF(AND(Y277=0,NOT(SUMPRODUCT(--ISNUMBER(SEARCH({"棚板","棚","アングル","ｱﾝｸﾞﾙ","使用不可","ケーブル","ｹｰﾌﾞﾙ","PatchPnael","パッチ","引き出し","引出","ブランク","ﾌﾞﾗﾝｸ","マネージ","ﾏﾈｰｼﾞ","PDU","ONU"},$F277&amp;"")))&gt;0),NOT(SUMPRODUCT(--ISNUMBER(SEARCH({"電源オフ","未投入","停止","未使用","撤去"},$X277&amp;"")))&gt;0)),"／電力が未記入","")&amp;IF(AND(NOT(ISNUMBER(J277)),NOT(SUMPRODUCT(--ISNUMBER(SEARCH({"棚板","棚","アングル","ｱﾝｸﾞﾙ","使用不可","ケーブル","ｹｰﾌﾞﾙ","PatchPnael","パッチ","引き出し","引出","ブランク","ﾌﾞﾗﾝｸ","マネージ","ﾏﾈｰｼﾞ","PDU","ONU"},$F277&amp;"")))&gt;0)),"／重量が未記入","")&amp;IF(AND(K277&lt;&gt;"",NOT(ISNUMBER(K277))),"／電圧が数値でない","")&amp;IF(AND(N277&lt;&gt;"",NOT(ISNUMBER(N277))),"／電流が数値でない","")&amp;IF(AND(C277&lt;&gt;"",C277&lt;1),"／開始Uが1未満","")&amp;IF(AND(E277&lt;&gt;"",E277&gt;IFERROR(VLOOKUP(A277,ラック定義!$A:$B,2,FALSE),47)),"／総Uをはみ出す","")&amp;IF(AND(A277&lt;&gt;"",COUNTIF(ラック定義!$A:$A,A277)=0),"／ラックが定義にない","")&amp;IF(AND(SUMPRODUCT((機器台帳!$A$2:$A$400=$A277)*((機器台帳!$B$2:$B$400=$B277)+(機器台帳!$B$2:$B$400="両面")+($B277="両面")&gt;0)*(機器台帳!$C$2:$C$400&lt;=$C277+$D277-1)*(機器台帳!$C$2:$C$400+機器台帳!$D$2:$D$400-1&gt;=$C277)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277&amp;"")))&gt;0)),"／同じUに他の機器(横並びなら正常)","")&amp;IF(AND(M277&lt;&gt;"",COUNTIFS(回路定義!$A:$A,A277,回路定義!$B:$B,M277)=0),"／回路1が定義にない","")&amp;IF(AND(P277&lt;&gt;"",COUNTIFS(回路定義!$A:$A,A277,回路定義!$B:$B,P277)=0),"／回路2が定義にない","")&amp;IF(AND(S277&lt;&gt;"",COUNTIFS(回路定義!$A:$A,A277,回路定義!$B:$B,S277)=0),"／回路3が定義にない",""),2,300)))</f>
        <v/>
      </c>
    </row>
    <row r="278">
      <c r="A278" s="5" t="n"/>
      <c r="B278" s="5" t="n"/>
      <c r="C278" s="5" t="n"/>
      <c r="D278" s="5" t="n"/>
      <c r="E278" s="6">
        <f>IF(C278="","",C278+D278-1)</f>
        <v/>
      </c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6">
        <f>COUNT(N278,Q278,T278)</f>
        <v/>
      </c>
      <c r="Z278" s="6">
        <f>IF(OR(K278="",NOT(ISNUMBER(K278))),"",K278*SUM(N278,Q278,T278))</f>
        <v/>
      </c>
      <c r="AA278" s="6">
        <f>IF(OR(Y278=0,N278=""),"",N278/Y278)</f>
        <v/>
      </c>
      <c r="AB278" s="6">
        <f>IF(OR(Y278=0,Q278=""),"",Q278/Y278)</f>
        <v/>
      </c>
      <c r="AC278" s="6">
        <f>IF(OR(Y278=0,T278=""),"",T278/Y278)</f>
        <v/>
      </c>
      <c r="AD278" s="6">
        <f>IF(F278="","",IF((IF(AND(Y278=0,NOT(SUMPRODUCT(--ISNUMBER(SEARCH({"棚板","棚","アングル","ｱﾝｸﾞﾙ","使用不可","ケーブル","ｹｰﾌﾞﾙ","PatchPnael","パッチ","引き出し","引出","ブランク","ﾌﾞﾗﾝｸ","マネージ","ﾏﾈｰｼﾞ","PDU","ONU"},$F278&amp;"")))&gt;0),NOT(SUMPRODUCT(--ISNUMBER(SEARCH({"電源オフ","未投入","停止","未使用","撤去"},$X278&amp;"")))&gt;0)),"／電力が未記入","")&amp;IF(AND(NOT(ISNUMBER(J278)),NOT(SUMPRODUCT(--ISNUMBER(SEARCH({"棚板","棚","アングル","ｱﾝｸﾞﾙ","使用不可","ケーブル","ｹｰﾌﾞﾙ","PatchPnael","パッチ","引き出し","引出","ブランク","ﾌﾞﾗﾝｸ","マネージ","ﾏﾈｰｼﾞ","PDU","ONU"},$F278&amp;"")))&gt;0)),"／重量が未記入","")&amp;IF(AND(K278&lt;&gt;"",NOT(ISNUMBER(K278))),"／電圧が数値でない","")&amp;IF(AND(N278&lt;&gt;"",NOT(ISNUMBER(N278))),"／電流が数値でない","")&amp;IF(AND(C278&lt;&gt;"",C278&lt;1),"／開始Uが1未満","")&amp;IF(AND(E278&lt;&gt;"",E278&gt;IFERROR(VLOOKUP(A278,ラック定義!$A:$B,2,FALSE),47)),"／総Uをはみ出す","")&amp;IF(AND(A278&lt;&gt;"",COUNTIF(ラック定義!$A:$A,A278)=0),"／ラックが定義にない","")&amp;IF(AND(SUMPRODUCT((機器台帳!$A$2:$A$400=$A278)*((機器台帳!$B$2:$B$400=$B278)+(機器台帳!$B$2:$B$400="両面")+($B278="両面")&gt;0)*(機器台帳!$C$2:$C$400&lt;=$C278+$D278-1)*(機器台帳!$C$2:$C$400+機器台帳!$D$2:$D$400-1&gt;=$C278)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278&amp;"")))&gt;0)),"／同じUに他の機器(横並びなら正常)","")&amp;IF(AND(M278&lt;&gt;"",COUNTIFS(回路定義!$A:$A,A278,回路定義!$B:$B,M278)=0),"／回路1が定義にない","")&amp;IF(AND(P278&lt;&gt;"",COUNTIFS(回路定義!$A:$A,A278,回路定義!$B:$B,P278)=0),"／回路2が定義にない","")&amp;IF(AND(S278&lt;&gt;"",COUNTIFS(回路定義!$A:$A,A278,回路定義!$B:$B,S278)=0),"／回路3が定義にない",""))="","",MID(IF(AND(Y278=0,NOT(SUMPRODUCT(--ISNUMBER(SEARCH({"棚板","棚","アングル","ｱﾝｸﾞﾙ","使用不可","ケーブル","ｹｰﾌﾞﾙ","PatchPnael","パッチ","引き出し","引出","ブランク","ﾌﾞﾗﾝｸ","マネージ","ﾏﾈｰｼﾞ","PDU","ONU"},$F278&amp;"")))&gt;0),NOT(SUMPRODUCT(--ISNUMBER(SEARCH({"電源オフ","未投入","停止","未使用","撤去"},$X278&amp;"")))&gt;0)),"／電力が未記入","")&amp;IF(AND(NOT(ISNUMBER(J278)),NOT(SUMPRODUCT(--ISNUMBER(SEARCH({"棚板","棚","アングル","ｱﾝｸﾞﾙ","使用不可","ケーブル","ｹｰﾌﾞﾙ","PatchPnael","パッチ","引き出し","引出","ブランク","ﾌﾞﾗﾝｸ","マネージ","ﾏﾈｰｼﾞ","PDU","ONU"},$F278&amp;"")))&gt;0)),"／重量が未記入","")&amp;IF(AND(K278&lt;&gt;"",NOT(ISNUMBER(K278))),"／電圧が数値でない","")&amp;IF(AND(N278&lt;&gt;"",NOT(ISNUMBER(N278))),"／電流が数値でない","")&amp;IF(AND(C278&lt;&gt;"",C278&lt;1),"／開始Uが1未満","")&amp;IF(AND(E278&lt;&gt;"",E278&gt;IFERROR(VLOOKUP(A278,ラック定義!$A:$B,2,FALSE),47)),"／総Uをはみ出す","")&amp;IF(AND(A278&lt;&gt;"",COUNTIF(ラック定義!$A:$A,A278)=0),"／ラックが定義にない","")&amp;IF(AND(SUMPRODUCT((機器台帳!$A$2:$A$400=$A278)*((機器台帳!$B$2:$B$400=$B278)+(機器台帳!$B$2:$B$400="両面")+($B278="両面")&gt;0)*(機器台帳!$C$2:$C$400&lt;=$C278+$D278-1)*(機器台帳!$C$2:$C$400+機器台帳!$D$2:$D$400-1&gt;=$C278)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278&amp;"")))&gt;0)),"／同じUに他の機器(横並びなら正常)","")&amp;IF(AND(M278&lt;&gt;"",COUNTIFS(回路定義!$A:$A,A278,回路定義!$B:$B,M278)=0),"／回路1が定義にない","")&amp;IF(AND(P278&lt;&gt;"",COUNTIFS(回路定義!$A:$A,A278,回路定義!$B:$B,P278)=0),"／回路2が定義にない","")&amp;IF(AND(S278&lt;&gt;"",COUNTIFS(回路定義!$A:$A,A278,回路定義!$B:$B,S278)=0),"／回路3が定義にない",""),2,300)))</f>
        <v/>
      </c>
    </row>
    <row r="279">
      <c r="A279" s="5" t="n"/>
      <c r="B279" s="5" t="n"/>
      <c r="C279" s="5" t="n"/>
      <c r="D279" s="5" t="n"/>
      <c r="E279" s="6">
        <f>IF(C279="","",C279+D279-1)</f>
        <v/>
      </c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6">
        <f>COUNT(N279,Q279,T279)</f>
        <v/>
      </c>
      <c r="Z279" s="6">
        <f>IF(OR(K279="",NOT(ISNUMBER(K279))),"",K279*SUM(N279,Q279,T279))</f>
        <v/>
      </c>
      <c r="AA279" s="6">
        <f>IF(OR(Y279=0,N279=""),"",N279/Y279)</f>
        <v/>
      </c>
      <c r="AB279" s="6">
        <f>IF(OR(Y279=0,Q279=""),"",Q279/Y279)</f>
        <v/>
      </c>
      <c r="AC279" s="6">
        <f>IF(OR(Y279=0,T279=""),"",T279/Y279)</f>
        <v/>
      </c>
      <c r="AD279" s="6">
        <f>IF(F279="","",IF((IF(AND(Y279=0,NOT(SUMPRODUCT(--ISNUMBER(SEARCH({"棚板","棚","アングル","ｱﾝｸﾞﾙ","使用不可","ケーブル","ｹｰﾌﾞﾙ","PatchPnael","パッチ","引き出し","引出","ブランク","ﾌﾞﾗﾝｸ","マネージ","ﾏﾈｰｼﾞ","PDU","ONU"},$F279&amp;"")))&gt;0),NOT(SUMPRODUCT(--ISNUMBER(SEARCH({"電源オフ","未投入","停止","未使用","撤去"},$X279&amp;"")))&gt;0)),"／電力が未記入","")&amp;IF(AND(NOT(ISNUMBER(J279)),NOT(SUMPRODUCT(--ISNUMBER(SEARCH({"棚板","棚","アングル","ｱﾝｸﾞﾙ","使用不可","ケーブル","ｹｰﾌﾞﾙ","PatchPnael","パッチ","引き出し","引出","ブランク","ﾌﾞﾗﾝｸ","マネージ","ﾏﾈｰｼﾞ","PDU","ONU"},$F279&amp;"")))&gt;0)),"／重量が未記入","")&amp;IF(AND(K279&lt;&gt;"",NOT(ISNUMBER(K279))),"／電圧が数値でない","")&amp;IF(AND(N279&lt;&gt;"",NOT(ISNUMBER(N279))),"／電流が数値でない","")&amp;IF(AND(C279&lt;&gt;"",C279&lt;1),"／開始Uが1未満","")&amp;IF(AND(E279&lt;&gt;"",E279&gt;IFERROR(VLOOKUP(A279,ラック定義!$A:$B,2,FALSE),47)),"／総Uをはみ出す","")&amp;IF(AND(A279&lt;&gt;"",COUNTIF(ラック定義!$A:$A,A279)=0),"／ラックが定義にない","")&amp;IF(AND(SUMPRODUCT((機器台帳!$A$2:$A$400=$A279)*((機器台帳!$B$2:$B$400=$B279)+(機器台帳!$B$2:$B$400="両面")+($B279="両面")&gt;0)*(機器台帳!$C$2:$C$400&lt;=$C279+$D279-1)*(機器台帳!$C$2:$C$400+機器台帳!$D$2:$D$400-1&gt;=$C279)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279&amp;"")))&gt;0)),"／同じUに他の機器(横並びなら正常)","")&amp;IF(AND(M279&lt;&gt;"",COUNTIFS(回路定義!$A:$A,A279,回路定義!$B:$B,M279)=0),"／回路1が定義にない","")&amp;IF(AND(P279&lt;&gt;"",COUNTIFS(回路定義!$A:$A,A279,回路定義!$B:$B,P279)=0),"／回路2が定義にない","")&amp;IF(AND(S279&lt;&gt;"",COUNTIFS(回路定義!$A:$A,A279,回路定義!$B:$B,S279)=0),"／回路3が定義にない",""))="","",MID(IF(AND(Y279=0,NOT(SUMPRODUCT(--ISNUMBER(SEARCH({"棚板","棚","アングル","ｱﾝｸﾞﾙ","使用不可","ケーブル","ｹｰﾌﾞﾙ","PatchPnael","パッチ","引き出し","引出","ブランク","ﾌﾞﾗﾝｸ","マネージ","ﾏﾈｰｼﾞ","PDU","ONU"},$F279&amp;"")))&gt;0),NOT(SUMPRODUCT(--ISNUMBER(SEARCH({"電源オフ","未投入","停止","未使用","撤去"},$X279&amp;"")))&gt;0)),"／電力が未記入","")&amp;IF(AND(NOT(ISNUMBER(J279)),NOT(SUMPRODUCT(--ISNUMBER(SEARCH({"棚板","棚","アングル","ｱﾝｸﾞﾙ","使用不可","ケーブル","ｹｰﾌﾞﾙ","PatchPnael","パッチ","引き出し","引出","ブランク","ﾌﾞﾗﾝｸ","マネージ","ﾏﾈｰｼﾞ","PDU","ONU"},$F279&amp;"")))&gt;0)),"／重量が未記入","")&amp;IF(AND(K279&lt;&gt;"",NOT(ISNUMBER(K279))),"／電圧が数値でない","")&amp;IF(AND(N279&lt;&gt;"",NOT(ISNUMBER(N279))),"／電流が数値でない","")&amp;IF(AND(C279&lt;&gt;"",C279&lt;1),"／開始Uが1未満","")&amp;IF(AND(E279&lt;&gt;"",E279&gt;IFERROR(VLOOKUP(A279,ラック定義!$A:$B,2,FALSE),47)),"／総Uをはみ出す","")&amp;IF(AND(A279&lt;&gt;"",COUNTIF(ラック定義!$A:$A,A279)=0),"／ラックが定義にない","")&amp;IF(AND(SUMPRODUCT((機器台帳!$A$2:$A$400=$A279)*((機器台帳!$B$2:$B$400=$B279)+(機器台帳!$B$2:$B$400="両面")+($B279="両面")&gt;0)*(機器台帳!$C$2:$C$400&lt;=$C279+$D279-1)*(機器台帳!$C$2:$C$400+機器台帳!$D$2:$D$400-1&gt;=$C279)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279&amp;"")))&gt;0)),"／同じUに他の機器(横並びなら正常)","")&amp;IF(AND(M279&lt;&gt;"",COUNTIFS(回路定義!$A:$A,A279,回路定義!$B:$B,M279)=0),"／回路1が定義にない","")&amp;IF(AND(P279&lt;&gt;"",COUNTIFS(回路定義!$A:$A,A279,回路定義!$B:$B,P279)=0),"／回路2が定義にない","")&amp;IF(AND(S279&lt;&gt;"",COUNTIFS(回路定義!$A:$A,A279,回路定義!$B:$B,S279)=0),"／回路3が定義にない",""),2,300)))</f>
        <v/>
      </c>
    </row>
    <row r="280">
      <c r="A280" s="5" t="n"/>
      <c r="B280" s="5" t="n"/>
      <c r="C280" s="5" t="n"/>
      <c r="D280" s="5" t="n"/>
      <c r="E280" s="6">
        <f>IF(C280="","",C280+D280-1)</f>
        <v/>
      </c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6">
        <f>COUNT(N280,Q280,T280)</f>
        <v/>
      </c>
      <c r="Z280" s="6">
        <f>IF(OR(K280="",NOT(ISNUMBER(K280))),"",K280*SUM(N280,Q280,T280))</f>
        <v/>
      </c>
      <c r="AA280" s="6">
        <f>IF(OR(Y280=0,N280=""),"",N280/Y280)</f>
        <v/>
      </c>
      <c r="AB280" s="6">
        <f>IF(OR(Y280=0,Q280=""),"",Q280/Y280)</f>
        <v/>
      </c>
      <c r="AC280" s="6">
        <f>IF(OR(Y280=0,T280=""),"",T280/Y280)</f>
        <v/>
      </c>
      <c r="AD280" s="6">
        <f>IF(F280="","",IF((IF(AND(Y280=0,NOT(SUMPRODUCT(--ISNUMBER(SEARCH({"棚板","棚","アングル","ｱﾝｸﾞﾙ","使用不可","ケーブル","ｹｰﾌﾞﾙ","PatchPnael","パッチ","引き出し","引出","ブランク","ﾌﾞﾗﾝｸ","マネージ","ﾏﾈｰｼﾞ","PDU","ONU"},$F280&amp;"")))&gt;0),NOT(SUMPRODUCT(--ISNUMBER(SEARCH({"電源オフ","未投入","停止","未使用","撤去"},$X280&amp;"")))&gt;0)),"／電力が未記入","")&amp;IF(AND(NOT(ISNUMBER(J280)),NOT(SUMPRODUCT(--ISNUMBER(SEARCH({"棚板","棚","アングル","ｱﾝｸﾞﾙ","使用不可","ケーブル","ｹｰﾌﾞﾙ","PatchPnael","パッチ","引き出し","引出","ブランク","ﾌﾞﾗﾝｸ","マネージ","ﾏﾈｰｼﾞ","PDU","ONU"},$F280&amp;"")))&gt;0)),"／重量が未記入","")&amp;IF(AND(K280&lt;&gt;"",NOT(ISNUMBER(K280))),"／電圧が数値でない","")&amp;IF(AND(N280&lt;&gt;"",NOT(ISNUMBER(N280))),"／電流が数値でない","")&amp;IF(AND(C280&lt;&gt;"",C280&lt;1),"／開始Uが1未満","")&amp;IF(AND(E280&lt;&gt;"",E280&gt;IFERROR(VLOOKUP(A280,ラック定義!$A:$B,2,FALSE),47)),"／総Uをはみ出す","")&amp;IF(AND(A280&lt;&gt;"",COUNTIF(ラック定義!$A:$A,A280)=0),"／ラックが定義にない","")&amp;IF(AND(SUMPRODUCT((機器台帳!$A$2:$A$400=$A280)*((機器台帳!$B$2:$B$400=$B280)+(機器台帳!$B$2:$B$400="両面")+($B280="両面")&gt;0)*(機器台帳!$C$2:$C$400&lt;=$C280+$D280-1)*(機器台帳!$C$2:$C$400+機器台帳!$D$2:$D$400-1&gt;=$C280)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280&amp;"")))&gt;0)),"／同じUに他の機器(横並びなら正常)","")&amp;IF(AND(M280&lt;&gt;"",COUNTIFS(回路定義!$A:$A,A280,回路定義!$B:$B,M280)=0),"／回路1が定義にない","")&amp;IF(AND(P280&lt;&gt;"",COUNTIFS(回路定義!$A:$A,A280,回路定義!$B:$B,P280)=0),"／回路2が定義にない","")&amp;IF(AND(S280&lt;&gt;"",COUNTIFS(回路定義!$A:$A,A280,回路定義!$B:$B,S280)=0),"／回路3が定義にない",""))="","",MID(IF(AND(Y280=0,NOT(SUMPRODUCT(--ISNUMBER(SEARCH({"棚板","棚","アングル","ｱﾝｸﾞﾙ","使用不可","ケーブル","ｹｰﾌﾞﾙ","PatchPnael","パッチ","引き出し","引出","ブランク","ﾌﾞﾗﾝｸ","マネージ","ﾏﾈｰｼﾞ","PDU","ONU"},$F280&amp;"")))&gt;0),NOT(SUMPRODUCT(--ISNUMBER(SEARCH({"電源オフ","未投入","停止","未使用","撤去"},$X280&amp;"")))&gt;0)),"／電力が未記入","")&amp;IF(AND(NOT(ISNUMBER(J280)),NOT(SUMPRODUCT(--ISNUMBER(SEARCH({"棚板","棚","アングル","ｱﾝｸﾞﾙ","使用不可","ケーブル","ｹｰﾌﾞﾙ","PatchPnael","パッチ","引き出し","引出","ブランク","ﾌﾞﾗﾝｸ","マネージ","ﾏﾈｰｼﾞ","PDU","ONU"},$F280&amp;"")))&gt;0)),"／重量が未記入","")&amp;IF(AND(K280&lt;&gt;"",NOT(ISNUMBER(K280))),"／電圧が数値でない","")&amp;IF(AND(N280&lt;&gt;"",NOT(ISNUMBER(N280))),"／電流が数値でない","")&amp;IF(AND(C280&lt;&gt;"",C280&lt;1),"／開始Uが1未満","")&amp;IF(AND(E280&lt;&gt;"",E280&gt;IFERROR(VLOOKUP(A280,ラック定義!$A:$B,2,FALSE),47)),"／総Uをはみ出す","")&amp;IF(AND(A280&lt;&gt;"",COUNTIF(ラック定義!$A:$A,A280)=0),"／ラックが定義にない","")&amp;IF(AND(SUMPRODUCT((機器台帳!$A$2:$A$400=$A280)*((機器台帳!$B$2:$B$400=$B280)+(機器台帳!$B$2:$B$400="両面")+($B280="両面")&gt;0)*(機器台帳!$C$2:$C$400&lt;=$C280+$D280-1)*(機器台帳!$C$2:$C$400+機器台帳!$D$2:$D$400-1&gt;=$C280)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280&amp;"")))&gt;0)),"／同じUに他の機器(横並びなら正常)","")&amp;IF(AND(M280&lt;&gt;"",COUNTIFS(回路定義!$A:$A,A280,回路定義!$B:$B,M280)=0),"／回路1が定義にない","")&amp;IF(AND(P280&lt;&gt;"",COUNTIFS(回路定義!$A:$A,A280,回路定義!$B:$B,P280)=0),"／回路2が定義にない","")&amp;IF(AND(S280&lt;&gt;"",COUNTIFS(回路定義!$A:$A,A280,回路定義!$B:$B,S280)=0),"／回路3が定義にない",""),2,300)))</f>
        <v/>
      </c>
    </row>
    <row r="281">
      <c r="A281" s="5" t="n"/>
      <c r="B281" s="5" t="n"/>
      <c r="C281" s="5" t="n"/>
      <c r="D281" s="5" t="n"/>
      <c r="E281" s="6">
        <f>IF(C281="","",C281+D281-1)</f>
        <v/>
      </c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6">
        <f>COUNT(N281,Q281,T281)</f>
        <v/>
      </c>
      <c r="Z281" s="6">
        <f>IF(OR(K281="",NOT(ISNUMBER(K281))),"",K281*SUM(N281,Q281,T281))</f>
        <v/>
      </c>
      <c r="AA281" s="6">
        <f>IF(OR(Y281=0,N281=""),"",N281/Y281)</f>
        <v/>
      </c>
      <c r="AB281" s="6">
        <f>IF(OR(Y281=0,Q281=""),"",Q281/Y281)</f>
        <v/>
      </c>
      <c r="AC281" s="6">
        <f>IF(OR(Y281=0,T281=""),"",T281/Y281)</f>
        <v/>
      </c>
      <c r="AD281" s="6">
        <f>IF(F281="","",IF((IF(AND(Y281=0,NOT(SUMPRODUCT(--ISNUMBER(SEARCH({"棚板","棚","アングル","ｱﾝｸﾞﾙ","使用不可","ケーブル","ｹｰﾌﾞﾙ","PatchPnael","パッチ","引き出し","引出","ブランク","ﾌﾞﾗﾝｸ","マネージ","ﾏﾈｰｼﾞ","PDU","ONU"},$F281&amp;"")))&gt;0),NOT(SUMPRODUCT(--ISNUMBER(SEARCH({"電源オフ","未投入","停止","未使用","撤去"},$X281&amp;"")))&gt;0)),"／電力が未記入","")&amp;IF(AND(NOT(ISNUMBER(J281)),NOT(SUMPRODUCT(--ISNUMBER(SEARCH({"棚板","棚","アングル","ｱﾝｸﾞﾙ","使用不可","ケーブル","ｹｰﾌﾞﾙ","PatchPnael","パッチ","引き出し","引出","ブランク","ﾌﾞﾗﾝｸ","マネージ","ﾏﾈｰｼﾞ","PDU","ONU"},$F281&amp;"")))&gt;0)),"／重量が未記入","")&amp;IF(AND(K281&lt;&gt;"",NOT(ISNUMBER(K281))),"／電圧が数値でない","")&amp;IF(AND(N281&lt;&gt;"",NOT(ISNUMBER(N281))),"／電流が数値でない","")&amp;IF(AND(C281&lt;&gt;"",C281&lt;1),"／開始Uが1未満","")&amp;IF(AND(E281&lt;&gt;"",E281&gt;IFERROR(VLOOKUP(A281,ラック定義!$A:$B,2,FALSE),47)),"／総Uをはみ出す","")&amp;IF(AND(A281&lt;&gt;"",COUNTIF(ラック定義!$A:$A,A281)=0),"／ラックが定義にない","")&amp;IF(AND(SUMPRODUCT((機器台帳!$A$2:$A$400=$A281)*((機器台帳!$B$2:$B$400=$B281)+(機器台帳!$B$2:$B$400="両面")+($B281="両面")&gt;0)*(機器台帳!$C$2:$C$400&lt;=$C281+$D281-1)*(機器台帳!$C$2:$C$400+機器台帳!$D$2:$D$400-1&gt;=$C281)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281&amp;"")))&gt;0)),"／同じUに他の機器(横並びなら正常)","")&amp;IF(AND(M281&lt;&gt;"",COUNTIFS(回路定義!$A:$A,A281,回路定義!$B:$B,M281)=0),"／回路1が定義にない","")&amp;IF(AND(P281&lt;&gt;"",COUNTIFS(回路定義!$A:$A,A281,回路定義!$B:$B,P281)=0),"／回路2が定義にない","")&amp;IF(AND(S281&lt;&gt;"",COUNTIFS(回路定義!$A:$A,A281,回路定義!$B:$B,S281)=0),"／回路3が定義にない",""))="","",MID(IF(AND(Y281=0,NOT(SUMPRODUCT(--ISNUMBER(SEARCH({"棚板","棚","アングル","ｱﾝｸﾞﾙ","使用不可","ケーブル","ｹｰﾌﾞﾙ","PatchPnael","パッチ","引き出し","引出","ブランク","ﾌﾞﾗﾝｸ","マネージ","ﾏﾈｰｼﾞ","PDU","ONU"},$F281&amp;"")))&gt;0),NOT(SUMPRODUCT(--ISNUMBER(SEARCH({"電源オフ","未投入","停止","未使用","撤去"},$X281&amp;"")))&gt;0)),"／電力が未記入","")&amp;IF(AND(NOT(ISNUMBER(J281)),NOT(SUMPRODUCT(--ISNUMBER(SEARCH({"棚板","棚","アングル","ｱﾝｸﾞﾙ","使用不可","ケーブル","ｹｰﾌﾞﾙ","PatchPnael","パッチ","引き出し","引出","ブランク","ﾌﾞﾗﾝｸ","マネージ","ﾏﾈｰｼﾞ","PDU","ONU"},$F281&amp;"")))&gt;0)),"／重量が未記入","")&amp;IF(AND(K281&lt;&gt;"",NOT(ISNUMBER(K281))),"／電圧が数値でない","")&amp;IF(AND(N281&lt;&gt;"",NOT(ISNUMBER(N281))),"／電流が数値でない","")&amp;IF(AND(C281&lt;&gt;"",C281&lt;1),"／開始Uが1未満","")&amp;IF(AND(E281&lt;&gt;"",E281&gt;IFERROR(VLOOKUP(A281,ラック定義!$A:$B,2,FALSE),47)),"／総Uをはみ出す","")&amp;IF(AND(A281&lt;&gt;"",COUNTIF(ラック定義!$A:$A,A281)=0),"／ラックが定義にない","")&amp;IF(AND(SUMPRODUCT((機器台帳!$A$2:$A$400=$A281)*((機器台帳!$B$2:$B$400=$B281)+(機器台帳!$B$2:$B$400="両面")+($B281="両面")&gt;0)*(機器台帳!$C$2:$C$400&lt;=$C281+$D281-1)*(機器台帳!$C$2:$C$400+機器台帳!$D$2:$D$400-1&gt;=$C281)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281&amp;"")))&gt;0)),"／同じUに他の機器(横並びなら正常)","")&amp;IF(AND(M281&lt;&gt;"",COUNTIFS(回路定義!$A:$A,A281,回路定義!$B:$B,M281)=0),"／回路1が定義にない","")&amp;IF(AND(P281&lt;&gt;"",COUNTIFS(回路定義!$A:$A,A281,回路定義!$B:$B,P281)=0),"／回路2が定義にない","")&amp;IF(AND(S281&lt;&gt;"",COUNTIFS(回路定義!$A:$A,A281,回路定義!$B:$B,S281)=0),"／回路3が定義にない",""),2,300)))</f>
        <v/>
      </c>
    </row>
    <row r="282">
      <c r="A282" s="5" t="n"/>
      <c r="B282" s="5" t="n"/>
      <c r="C282" s="5" t="n"/>
      <c r="D282" s="5" t="n"/>
      <c r="E282" s="6">
        <f>IF(C282="","",C282+D282-1)</f>
        <v/>
      </c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6">
        <f>COUNT(N282,Q282,T282)</f>
        <v/>
      </c>
      <c r="Z282" s="6">
        <f>IF(OR(K282="",NOT(ISNUMBER(K282))),"",K282*SUM(N282,Q282,T282))</f>
        <v/>
      </c>
      <c r="AA282" s="6">
        <f>IF(OR(Y282=0,N282=""),"",N282/Y282)</f>
        <v/>
      </c>
      <c r="AB282" s="6">
        <f>IF(OR(Y282=0,Q282=""),"",Q282/Y282)</f>
        <v/>
      </c>
      <c r="AC282" s="6">
        <f>IF(OR(Y282=0,T282=""),"",T282/Y282)</f>
        <v/>
      </c>
      <c r="AD282" s="6">
        <f>IF(F282="","",IF((IF(AND(Y282=0,NOT(SUMPRODUCT(--ISNUMBER(SEARCH({"棚板","棚","アングル","ｱﾝｸﾞﾙ","使用不可","ケーブル","ｹｰﾌﾞﾙ","PatchPnael","パッチ","引き出し","引出","ブランク","ﾌﾞﾗﾝｸ","マネージ","ﾏﾈｰｼﾞ","PDU","ONU"},$F282&amp;"")))&gt;0),NOT(SUMPRODUCT(--ISNUMBER(SEARCH({"電源オフ","未投入","停止","未使用","撤去"},$X282&amp;"")))&gt;0)),"／電力が未記入","")&amp;IF(AND(NOT(ISNUMBER(J282)),NOT(SUMPRODUCT(--ISNUMBER(SEARCH({"棚板","棚","アングル","ｱﾝｸﾞﾙ","使用不可","ケーブル","ｹｰﾌﾞﾙ","PatchPnael","パッチ","引き出し","引出","ブランク","ﾌﾞﾗﾝｸ","マネージ","ﾏﾈｰｼﾞ","PDU","ONU"},$F282&amp;"")))&gt;0)),"／重量が未記入","")&amp;IF(AND(K282&lt;&gt;"",NOT(ISNUMBER(K282))),"／電圧が数値でない","")&amp;IF(AND(N282&lt;&gt;"",NOT(ISNUMBER(N282))),"／電流が数値でない","")&amp;IF(AND(C282&lt;&gt;"",C282&lt;1),"／開始Uが1未満","")&amp;IF(AND(E282&lt;&gt;"",E282&gt;IFERROR(VLOOKUP(A282,ラック定義!$A:$B,2,FALSE),47)),"／総Uをはみ出す","")&amp;IF(AND(A282&lt;&gt;"",COUNTIF(ラック定義!$A:$A,A282)=0),"／ラックが定義にない","")&amp;IF(AND(SUMPRODUCT((機器台帳!$A$2:$A$400=$A282)*((機器台帳!$B$2:$B$400=$B282)+(機器台帳!$B$2:$B$400="両面")+($B282="両面")&gt;0)*(機器台帳!$C$2:$C$400&lt;=$C282+$D282-1)*(機器台帳!$C$2:$C$400+機器台帳!$D$2:$D$400-1&gt;=$C282)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282&amp;"")))&gt;0)),"／同じUに他の機器(横並びなら正常)","")&amp;IF(AND(M282&lt;&gt;"",COUNTIFS(回路定義!$A:$A,A282,回路定義!$B:$B,M282)=0),"／回路1が定義にない","")&amp;IF(AND(P282&lt;&gt;"",COUNTIFS(回路定義!$A:$A,A282,回路定義!$B:$B,P282)=0),"／回路2が定義にない","")&amp;IF(AND(S282&lt;&gt;"",COUNTIFS(回路定義!$A:$A,A282,回路定義!$B:$B,S282)=0),"／回路3が定義にない",""))="","",MID(IF(AND(Y282=0,NOT(SUMPRODUCT(--ISNUMBER(SEARCH({"棚板","棚","アングル","ｱﾝｸﾞﾙ","使用不可","ケーブル","ｹｰﾌﾞﾙ","PatchPnael","パッチ","引き出し","引出","ブランク","ﾌﾞﾗﾝｸ","マネージ","ﾏﾈｰｼﾞ","PDU","ONU"},$F282&amp;"")))&gt;0),NOT(SUMPRODUCT(--ISNUMBER(SEARCH({"電源オフ","未投入","停止","未使用","撤去"},$X282&amp;"")))&gt;0)),"／電力が未記入","")&amp;IF(AND(NOT(ISNUMBER(J282)),NOT(SUMPRODUCT(--ISNUMBER(SEARCH({"棚板","棚","アングル","ｱﾝｸﾞﾙ","使用不可","ケーブル","ｹｰﾌﾞﾙ","PatchPnael","パッチ","引き出し","引出","ブランク","ﾌﾞﾗﾝｸ","マネージ","ﾏﾈｰｼﾞ","PDU","ONU"},$F282&amp;"")))&gt;0)),"／重量が未記入","")&amp;IF(AND(K282&lt;&gt;"",NOT(ISNUMBER(K282))),"／電圧が数値でない","")&amp;IF(AND(N282&lt;&gt;"",NOT(ISNUMBER(N282))),"／電流が数値でない","")&amp;IF(AND(C282&lt;&gt;"",C282&lt;1),"／開始Uが1未満","")&amp;IF(AND(E282&lt;&gt;"",E282&gt;IFERROR(VLOOKUP(A282,ラック定義!$A:$B,2,FALSE),47)),"／総Uをはみ出す","")&amp;IF(AND(A282&lt;&gt;"",COUNTIF(ラック定義!$A:$A,A282)=0),"／ラックが定義にない","")&amp;IF(AND(SUMPRODUCT((機器台帳!$A$2:$A$400=$A282)*((機器台帳!$B$2:$B$400=$B282)+(機器台帳!$B$2:$B$400="両面")+($B282="両面")&gt;0)*(機器台帳!$C$2:$C$400&lt;=$C282+$D282-1)*(機器台帳!$C$2:$C$400+機器台帳!$D$2:$D$400-1&gt;=$C282)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282&amp;"")))&gt;0)),"／同じUに他の機器(横並びなら正常)","")&amp;IF(AND(M282&lt;&gt;"",COUNTIFS(回路定義!$A:$A,A282,回路定義!$B:$B,M282)=0),"／回路1が定義にない","")&amp;IF(AND(P282&lt;&gt;"",COUNTIFS(回路定義!$A:$A,A282,回路定義!$B:$B,P282)=0),"／回路2が定義にない","")&amp;IF(AND(S282&lt;&gt;"",COUNTIFS(回路定義!$A:$A,A282,回路定義!$B:$B,S282)=0),"／回路3が定義にない",""),2,300)))</f>
        <v/>
      </c>
    </row>
    <row r="283">
      <c r="A283" s="5" t="n"/>
      <c r="B283" s="5" t="n"/>
      <c r="C283" s="5" t="n"/>
      <c r="D283" s="5" t="n"/>
      <c r="E283" s="6">
        <f>IF(C283="","",C283+D283-1)</f>
        <v/>
      </c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6">
        <f>COUNT(N283,Q283,T283)</f>
        <v/>
      </c>
      <c r="Z283" s="6">
        <f>IF(OR(K283="",NOT(ISNUMBER(K283))),"",K283*SUM(N283,Q283,T283))</f>
        <v/>
      </c>
      <c r="AA283" s="6">
        <f>IF(OR(Y283=0,N283=""),"",N283/Y283)</f>
        <v/>
      </c>
      <c r="AB283" s="6">
        <f>IF(OR(Y283=0,Q283=""),"",Q283/Y283)</f>
        <v/>
      </c>
      <c r="AC283" s="6">
        <f>IF(OR(Y283=0,T283=""),"",T283/Y283)</f>
        <v/>
      </c>
      <c r="AD283" s="6">
        <f>IF(F283="","",IF((IF(AND(Y283=0,NOT(SUMPRODUCT(--ISNUMBER(SEARCH({"棚板","棚","アングル","ｱﾝｸﾞﾙ","使用不可","ケーブル","ｹｰﾌﾞﾙ","PatchPnael","パッチ","引き出し","引出","ブランク","ﾌﾞﾗﾝｸ","マネージ","ﾏﾈｰｼﾞ","PDU","ONU"},$F283&amp;"")))&gt;0),NOT(SUMPRODUCT(--ISNUMBER(SEARCH({"電源オフ","未投入","停止","未使用","撤去"},$X283&amp;"")))&gt;0)),"／電力が未記入","")&amp;IF(AND(NOT(ISNUMBER(J283)),NOT(SUMPRODUCT(--ISNUMBER(SEARCH({"棚板","棚","アングル","ｱﾝｸﾞﾙ","使用不可","ケーブル","ｹｰﾌﾞﾙ","PatchPnael","パッチ","引き出し","引出","ブランク","ﾌﾞﾗﾝｸ","マネージ","ﾏﾈｰｼﾞ","PDU","ONU"},$F283&amp;"")))&gt;0)),"／重量が未記入","")&amp;IF(AND(K283&lt;&gt;"",NOT(ISNUMBER(K283))),"／電圧が数値でない","")&amp;IF(AND(N283&lt;&gt;"",NOT(ISNUMBER(N283))),"／電流が数値でない","")&amp;IF(AND(C283&lt;&gt;"",C283&lt;1),"／開始Uが1未満","")&amp;IF(AND(E283&lt;&gt;"",E283&gt;IFERROR(VLOOKUP(A283,ラック定義!$A:$B,2,FALSE),47)),"／総Uをはみ出す","")&amp;IF(AND(A283&lt;&gt;"",COUNTIF(ラック定義!$A:$A,A283)=0),"／ラックが定義にない","")&amp;IF(AND(SUMPRODUCT((機器台帳!$A$2:$A$400=$A283)*((機器台帳!$B$2:$B$400=$B283)+(機器台帳!$B$2:$B$400="両面")+($B283="両面")&gt;0)*(機器台帳!$C$2:$C$400&lt;=$C283+$D283-1)*(機器台帳!$C$2:$C$400+機器台帳!$D$2:$D$400-1&gt;=$C283)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283&amp;"")))&gt;0)),"／同じUに他の機器(横並びなら正常)","")&amp;IF(AND(M283&lt;&gt;"",COUNTIFS(回路定義!$A:$A,A283,回路定義!$B:$B,M283)=0),"／回路1が定義にない","")&amp;IF(AND(P283&lt;&gt;"",COUNTIFS(回路定義!$A:$A,A283,回路定義!$B:$B,P283)=0),"／回路2が定義にない","")&amp;IF(AND(S283&lt;&gt;"",COUNTIFS(回路定義!$A:$A,A283,回路定義!$B:$B,S283)=0),"／回路3が定義にない",""))="","",MID(IF(AND(Y283=0,NOT(SUMPRODUCT(--ISNUMBER(SEARCH({"棚板","棚","アングル","ｱﾝｸﾞﾙ","使用不可","ケーブル","ｹｰﾌﾞﾙ","PatchPnael","パッチ","引き出し","引出","ブランク","ﾌﾞﾗﾝｸ","マネージ","ﾏﾈｰｼﾞ","PDU","ONU"},$F283&amp;"")))&gt;0),NOT(SUMPRODUCT(--ISNUMBER(SEARCH({"電源オフ","未投入","停止","未使用","撤去"},$X283&amp;"")))&gt;0)),"／電力が未記入","")&amp;IF(AND(NOT(ISNUMBER(J283)),NOT(SUMPRODUCT(--ISNUMBER(SEARCH({"棚板","棚","アングル","ｱﾝｸﾞﾙ","使用不可","ケーブル","ｹｰﾌﾞﾙ","PatchPnael","パッチ","引き出し","引出","ブランク","ﾌﾞﾗﾝｸ","マネージ","ﾏﾈｰｼﾞ","PDU","ONU"},$F283&amp;"")))&gt;0)),"／重量が未記入","")&amp;IF(AND(K283&lt;&gt;"",NOT(ISNUMBER(K283))),"／電圧が数値でない","")&amp;IF(AND(N283&lt;&gt;"",NOT(ISNUMBER(N283))),"／電流が数値でない","")&amp;IF(AND(C283&lt;&gt;"",C283&lt;1),"／開始Uが1未満","")&amp;IF(AND(E283&lt;&gt;"",E283&gt;IFERROR(VLOOKUP(A283,ラック定義!$A:$B,2,FALSE),47)),"／総Uをはみ出す","")&amp;IF(AND(A283&lt;&gt;"",COUNTIF(ラック定義!$A:$A,A283)=0),"／ラックが定義にない","")&amp;IF(AND(SUMPRODUCT((機器台帳!$A$2:$A$400=$A283)*((機器台帳!$B$2:$B$400=$B283)+(機器台帳!$B$2:$B$400="両面")+($B283="両面")&gt;0)*(機器台帳!$C$2:$C$400&lt;=$C283+$D283-1)*(機器台帳!$C$2:$C$400+機器台帳!$D$2:$D$400-1&gt;=$C283)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283&amp;"")))&gt;0)),"／同じUに他の機器(横並びなら正常)","")&amp;IF(AND(M283&lt;&gt;"",COUNTIFS(回路定義!$A:$A,A283,回路定義!$B:$B,M283)=0),"／回路1が定義にない","")&amp;IF(AND(P283&lt;&gt;"",COUNTIFS(回路定義!$A:$A,A283,回路定義!$B:$B,P283)=0),"／回路2が定義にない","")&amp;IF(AND(S283&lt;&gt;"",COUNTIFS(回路定義!$A:$A,A283,回路定義!$B:$B,S283)=0),"／回路3が定義にない",""),2,300)))</f>
        <v/>
      </c>
    </row>
    <row r="284">
      <c r="A284" s="5" t="n"/>
      <c r="B284" s="5" t="n"/>
      <c r="C284" s="5" t="n"/>
      <c r="D284" s="5" t="n"/>
      <c r="E284" s="6">
        <f>IF(C284="","",C284+D284-1)</f>
        <v/>
      </c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6">
        <f>COUNT(N284,Q284,T284)</f>
        <v/>
      </c>
      <c r="Z284" s="6">
        <f>IF(OR(K284="",NOT(ISNUMBER(K284))),"",K284*SUM(N284,Q284,T284))</f>
        <v/>
      </c>
      <c r="AA284" s="6">
        <f>IF(OR(Y284=0,N284=""),"",N284/Y284)</f>
        <v/>
      </c>
      <c r="AB284" s="6">
        <f>IF(OR(Y284=0,Q284=""),"",Q284/Y284)</f>
        <v/>
      </c>
      <c r="AC284" s="6">
        <f>IF(OR(Y284=0,T284=""),"",T284/Y284)</f>
        <v/>
      </c>
      <c r="AD284" s="6">
        <f>IF(F284="","",IF((IF(AND(Y284=0,NOT(SUMPRODUCT(--ISNUMBER(SEARCH({"棚板","棚","アングル","ｱﾝｸﾞﾙ","使用不可","ケーブル","ｹｰﾌﾞﾙ","PatchPnael","パッチ","引き出し","引出","ブランク","ﾌﾞﾗﾝｸ","マネージ","ﾏﾈｰｼﾞ","PDU","ONU"},$F284&amp;"")))&gt;0),NOT(SUMPRODUCT(--ISNUMBER(SEARCH({"電源オフ","未投入","停止","未使用","撤去"},$X284&amp;"")))&gt;0)),"／電力が未記入","")&amp;IF(AND(NOT(ISNUMBER(J284)),NOT(SUMPRODUCT(--ISNUMBER(SEARCH({"棚板","棚","アングル","ｱﾝｸﾞﾙ","使用不可","ケーブル","ｹｰﾌﾞﾙ","PatchPnael","パッチ","引き出し","引出","ブランク","ﾌﾞﾗﾝｸ","マネージ","ﾏﾈｰｼﾞ","PDU","ONU"},$F284&amp;"")))&gt;0)),"／重量が未記入","")&amp;IF(AND(K284&lt;&gt;"",NOT(ISNUMBER(K284))),"／電圧が数値でない","")&amp;IF(AND(N284&lt;&gt;"",NOT(ISNUMBER(N284))),"／電流が数値でない","")&amp;IF(AND(C284&lt;&gt;"",C284&lt;1),"／開始Uが1未満","")&amp;IF(AND(E284&lt;&gt;"",E284&gt;IFERROR(VLOOKUP(A284,ラック定義!$A:$B,2,FALSE),47)),"／総Uをはみ出す","")&amp;IF(AND(A284&lt;&gt;"",COUNTIF(ラック定義!$A:$A,A284)=0),"／ラックが定義にない","")&amp;IF(AND(SUMPRODUCT((機器台帳!$A$2:$A$400=$A284)*((機器台帳!$B$2:$B$400=$B284)+(機器台帳!$B$2:$B$400="両面")+($B284="両面")&gt;0)*(機器台帳!$C$2:$C$400&lt;=$C284+$D284-1)*(機器台帳!$C$2:$C$400+機器台帳!$D$2:$D$400-1&gt;=$C284)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284&amp;"")))&gt;0)),"／同じUに他の機器(横並びなら正常)","")&amp;IF(AND(M284&lt;&gt;"",COUNTIFS(回路定義!$A:$A,A284,回路定義!$B:$B,M284)=0),"／回路1が定義にない","")&amp;IF(AND(P284&lt;&gt;"",COUNTIFS(回路定義!$A:$A,A284,回路定義!$B:$B,P284)=0),"／回路2が定義にない","")&amp;IF(AND(S284&lt;&gt;"",COUNTIFS(回路定義!$A:$A,A284,回路定義!$B:$B,S284)=0),"／回路3が定義にない",""))="","",MID(IF(AND(Y284=0,NOT(SUMPRODUCT(--ISNUMBER(SEARCH({"棚板","棚","アングル","ｱﾝｸﾞﾙ","使用不可","ケーブル","ｹｰﾌﾞﾙ","PatchPnael","パッチ","引き出し","引出","ブランク","ﾌﾞﾗﾝｸ","マネージ","ﾏﾈｰｼﾞ","PDU","ONU"},$F284&amp;"")))&gt;0),NOT(SUMPRODUCT(--ISNUMBER(SEARCH({"電源オフ","未投入","停止","未使用","撤去"},$X284&amp;"")))&gt;0)),"／電力が未記入","")&amp;IF(AND(NOT(ISNUMBER(J284)),NOT(SUMPRODUCT(--ISNUMBER(SEARCH({"棚板","棚","アングル","ｱﾝｸﾞﾙ","使用不可","ケーブル","ｹｰﾌﾞﾙ","PatchPnael","パッチ","引き出し","引出","ブランク","ﾌﾞﾗﾝｸ","マネージ","ﾏﾈｰｼﾞ","PDU","ONU"},$F284&amp;"")))&gt;0)),"／重量が未記入","")&amp;IF(AND(K284&lt;&gt;"",NOT(ISNUMBER(K284))),"／電圧が数値でない","")&amp;IF(AND(N284&lt;&gt;"",NOT(ISNUMBER(N284))),"／電流が数値でない","")&amp;IF(AND(C284&lt;&gt;"",C284&lt;1),"／開始Uが1未満","")&amp;IF(AND(E284&lt;&gt;"",E284&gt;IFERROR(VLOOKUP(A284,ラック定義!$A:$B,2,FALSE),47)),"／総Uをはみ出す","")&amp;IF(AND(A284&lt;&gt;"",COUNTIF(ラック定義!$A:$A,A284)=0),"／ラックが定義にない","")&amp;IF(AND(SUMPRODUCT((機器台帳!$A$2:$A$400=$A284)*((機器台帳!$B$2:$B$400=$B284)+(機器台帳!$B$2:$B$400="両面")+($B284="両面")&gt;0)*(機器台帳!$C$2:$C$400&lt;=$C284+$D284-1)*(機器台帳!$C$2:$C$400+機器台帳!$D$2:$D$400-1&gt;=$C284)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284&amp;"")))&gt;0)),"／同じUに他の機器(横並びなら正常)","")&amp;IF(AND(M284&lt;&gt;"",COUNTIFS(回路定義!$A:$A,A284,回路定義!$B:$B,M284)=0),"／回路1が定義にない","")&amp;IF(AND(P284&lt;&gt;"",COUNTIFS(回路定義!$A:$A,A284,回路定義!$B:$B,P284)=0),"／回路2が定義にない","")&amp;IF(AND(S284&lt;&gt;"",COUNTIFS(回路定義!$A:$A,A284,回路定義!$B:$B,S284)=0),"／回路3が定義にない",""),2,300)))</f>
        <v/>
      </c>
    </row>
    <row r="285">
      <c r="A285" s="5" t="n"/>
      <c r="B285" s="5" t="n"/>
      <c r="C285" s="5" t="n"/>
      <c r="D285" s="5" t="n"/>
      <c r="E285" s="6">
        <f>IF(C285="","",C285+D285-1)</f>
        <v/>
      </c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6">
        <f>COUNT(N285,Q285,T285)</f>
        <v/>
      </c>
      <c r="Z285" s="6">
        <f>IF(OR(K285="",NOT(ISNUMBER(K285))),"",K285*SUM(N285,Q285,T285))</f>
        <v/>
      </c>
      <c r="AA285" s="6">
        <f>IF(OR(Y285=0,N285=""),"",N285/Y285)</f>
        <v/>
      </c>
      <c r="AB285" s="6">
        <f>IF(OR(Y285=0,Q285=""),"",Q285/Y285)</f>
        <v/>
      </c>
      <c r="AC285" s="6">
        <f>IF(OR(Y285=0,T285=""),"",T285/Y285)</f>
        <v/>
      </c>
      <c r="AD285" s="6">
        <f>IF(F285="","",IF((IF(AND(Y285=0,NOT(SUMPRODUCT(--ISNUMBER(SEARCH({"棚板","棚","アングル","ｱﾝｸﾞﾙ","使用不可","ケーブル","ｹｰﾌﾞﾙ","PatchPnael","パッチ","引き出し","引出","ブランク","ﾌﾞﾗﾝｸ","マネージ","ﾏﾈｰｼﾞ","PDU","ONU"},$F285&amp;"")))&gt;0),NOT(SUMPRODUCT(--ISNUMBER(SEARCH({"電源オフ","未投入","停止","未使用","撤去"},$X285&amp;"")))&gt;0)),"／電力が未記入","")&amp;IF(AND(NOT(ISNUMBER(J285)),NOT(SUMPRODUCT(--ISNUMBER(SEARCH({"棚板","棚","アングル","ｱﾝｸﾞﾙ","使用不可","ケーブル","ｹｰﾌﾞﾙ","PatchPnael","パッチ","引き出し","引出","ブランク","ﾌﾞﾗﾝｸ","マネージ","ﾏﾈｰｼﾞ","PDU","ONU"},$F285&amp;"")))&gt;0)),"／重量が未記入","")&amp;IF(AND(K285&lt;&gt;"",NOT(ISNUMBER(K285))),"／電圧が数値でない","")&amp;IF(AND(N285&lt;&gt;"",NOT(ISNUMBER(N285))),"／電流が数値でない","")&amp;IF(AND(C285&lt;&gt;"",C285&lt;1),"／開始Uが1未満","")&amp;IF(AND(E285&lt;&gt;"",E285&gt;IFERROR(VLOOKUP(A285,ラック定義!$A:$B,2,FALSE),47)),"／総Uをはみ出す","")&amp;IF(AND(A285&lt;&gt;"",COUNTIF(ラック定義!$A:$A,A285)=0),"／ラックが定義にない","")&amp;IF(AND(SUMPRODUCT((機器台帳!$A$2:$A$400=$A285)*((機器台帳!$B$2:$B$400=$B285)+(機器台帳!$B$2:$B$400="両面")+($B285="両面")&gt;0)*(機器台帳!$C$2:$C$400&lt;=$C285+$D285-1)*(機器台帳!$C$2:$C$400+機器台帳!$D$2:$D$400-1&gt;=$C285)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285&amp;"")))&gt;0)),"／同じUに他の機器(横並びなら正常)","")&amp;IF(AND(M285&lt;&gt;"",COUNTIFS(回路定義!$A:$A,A285,回路定義!$B:$B,M285)=0),"／回路1が定義にない","")&amp;IF(AND(P285&lt;&gt;"",COUNTIFS(回路定義!$A:$A,A285,回路定義!$B:$B,P285)=0),"／回路2が定義にない","")&amp;IF(AND(S285&lt;&gt;"",COUNTIFS(回路定義!$A:$A,A285,回路定義!$B:$B,S285)=0),"／回路3が定義にない",""))="","",MID(IF(AND(Y285=0,NOT(SUMPRODUCT(--ISNUMBER(SEARCH({"棚板","棚","アングル","ｱﾝｸﾞﾙ","使用不可","ケーブル","ｹｰﾌﾞﾙ","PatchPnael","パッチ","引き出し","引出","ブランク","ﾌﾞﾗﾝｸ","マネージ","ﾏﾈｰｼﾞ","PDU","ONU"},$F285&amp;"")))&gt;0),NOT(SUMPRODUCT(--ISNUMBER(SEARCH({"電源オフ","未投入","停止","未使用","撤去"},$X285&amp;"")))&gt;0)),"／電力が未記入","")&amp;IF(AND(NOT(ISNUMBER(J285)),NOT(SUMPRODUCT(--ISNUMBER(SEARCH({"棚板","棚","アングル","ｱﾝｸﾞﾙ","使用不可","ケーブル","ｹｰﾌﾞﾙ","PatchPnael","パッチ","引き出し","引出","ブランク","ﾌﾞﾗﾝｸ","マネージ","ﾏﾈｰｼﾞ","PDU","ONU"},$F285&amp;"")))&gt;0)),"／重量が未記入","")&amp;IF(AND(K285&lt;&gt;"",NOT(ISNUMBER(K285))),"／電圧が数値でない","")&amp;IF(AND(N285&lt;&gt;"",NOT(ISNUMBER(N285))),"／電流が数値でない","")&amp;IF(AND(C285&lt;&gt;"",C285&lt;1),"／開始Uが1未満","")&amp;IF(AND(E285&lt;&gt;"",E285&gt;IFERROR(VLOOKUP(A285,ラック定義!$A:$B,2,FALSE),47)),"／総Uをはみ出す","")&amp;IF(AND(A285&lt;&gt;"",COUNTIF(ラック定義!$A:$A,A285)=0),"／ラックが定義にない","")&amp;IF(AND(SUMPRODUCT((機器台帳!$A$2:$A$400=$A285)*((機器台帳!$B$2:$B$400=$B285)+(機器台帳!$B$2:$B$400="両面")+($B285="両面")&gt;0)*(機器台帳!$C$2:$C$400&lt;=$C285+$D285-1)*(機器台帳!$C$2:$C$400+機器台帳!$D$2:$D$400-1&gt;=$C285)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285&amp;"")))&gt;0)),"／同じUに他の機器(横並びなら正常)","")&amp;IF(AND(M285&lt;&gt;"",COUNTIFS(回路定義!$A:$A,A285,回路定義!$B:$B,M285)=0),"／回路1が定義にない","")&amp;IF(AND(P285&lt;&gt;"",COUNTIFS(回路定義!$A:$A,A285,回路定義!$B:$B,P285)=0),"／回路2が定義にない","")&amp;IF(AND(S285&lt;&gt;"",COUNTIFS(回路定義!$A:$A,A285,回路定義!$B:$B,S285)=0),"／回路3が定義にない",""),2,300)))</f>
        <v/>
      </c>
    </row>
    <row r="286">
      <c r="A286" s="5" t="n"/>
      <c r="B286" s="5" t="n"/>
      <c r="C286" s="5" t="n"/>
      <c r="D286" s="5" t="n"/>
      <c r="E286" s="6">
        <f>IF(C286="","",C286+D286-1)</f>
        <v/>
      </c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6">
        <f>COUNT(N286,Q286,T286)</f>
        <v/>
      </c>
      <c r="Z286" s="6">
        <f>IF(OR(K286="",NOT(ISNUMBER(K286))),"",K286*SUM(N286,Q286,T286))</f>
        <v/>
      </c>
      <c r="AA286" s="6">
        <f>IF(OR(Y286=0,N286=""),"",N286/Y286)</f>
        <v/>
      </c>
      <c r="AB286" s="6">
        <f>IF(OR(Y286=0,Q286=""),"",Q286/Y286)</f>
        <v/>
      </c>
      <c r="AC286" s="6">
        <f>IF(OR(Y286=0,T286=""),"",T286/Y286)</f>
        <v/>
      </c>
      <c r="AD286" s="6">
        <f>IF(F286="","",IF((IF(AND(Y286=0,NOT(SUMPRODUCT(--ISNUMBER(SEARCH({"棚板","棚","アングル","ｱﾝｸﾞﾙ","使用不可","ケーブル","ｹｰﾌﾞﾙ","PatchPnael","パッチ","引き出し","引出","ブランク","ﾌﾞﾗﾝｸ","マネージ","ﾏﾈｰｼﾞ","PDU","ONU"},$F286&amp;"")))&gt;0),NOT(SUMPRODUCT(--ISNUMBER(SEARCH({"電源オフ","未投入","停止","未使用","撤去"},$X286&amp;"")))&gt;0)),"／電力が未記入","")&amp;IF(AND(NOT(ISNUMBER(J286)),NOT(SUMPRODUCT(--ISNUMBER(SEARCH({"棚板","棚","アングル","ｱﾝｸﾞﾙ","使用不可","ケーブル","ｹｰﾌﾞﾙ","PatchPnael","パッチ","引き出し","引出","ブランク","ﾌﾞﾗﾝｸ","マネージ","ﾏﾈｰｼﾞ","PDU","ONU"},$F286&amp;"")))&gt;0)),"／重量が未記入","")&amp;IF(AND(K286&lt;&gt;"",NOT(ISNUMBER(K286))),"／電圧が数値でない","")&amp;IF(AND(N286&lt;&gt;"",NOT(ISNUMBER(N286))),"／電流が数値でない","")&amp;IF(AND(C286&lt;&gt;"",C286&lt;1),"／開始Uが1未満","")&amp;IF(AND(E286&lt;&gt;"",E286&gt;IFERROR(VLOOKUP(A286,ラック定義!$A:$B,2,FALSE),47)),"／総Uをはみ出す","")&amp;IF(AND(A286&lt;&gt;"",COUNTIF(ラック定義!$A:$A,A286)=0),"／ラックが定義にない","")&amp;IF(AND(SUMPRODUCT((機器台帳!$A$2:$A$400=$A286)*((機器台帳!$B$2:$B$400=$B286)+(機器台帳!$B$2:$B$400="両面")+($B286="両面")&gt;0)*(機器台帳!$C$2:$C$400&lt;=$C286+$D286-1)*(機器台帳!$C$2:$C$400+機器台帳!$D$2:$D$400-1&gt;=$C286)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286&amp;"")))&gt;0)),"／同じUに他の機器(横並びなら正常)","")&amp;IF(AND(M286&lt;&gt;"",COUNTIFS(回路定義!$A:$A,A286,回路定義!$B:$B,M286)=0),"／回路1が定義にない","")&amp;IF(AND(P286&lt;&gt;"",COUNTIFS(回路定義!$A:$A,A286,回路定義!$B:$B,P286)=0),"／回路2が定義にない","")&amp;IF(AND(S286&lt;&gt;"",COUNTIFS(回路定義!$A:$A,A286,回路定義!$B:$B,S286)=0),"／回路3が定義にない",""))="","",MID(IF(AND(Y286=0,NOT(SUMPRODUCT(--ISNUMBER(SEARCH({"棚板","棚","アングル","ｱﾝｸﾞﾙ","使用不可","ケーブル","ｹｰﾌﾞﾙ","PatchPnael","パッチ","引き出し","引出","ブランク","ﾌﾞﾗﾝｸ","マネージ","ﾏﾈｰｼﾞ","PDU","ONU"},$F286&amp;"")))&gt;0),NOT(SUMPRODUCT(--ISNUMBER(SEARCH({"電源オフ","未投入","停止","未使用","撤去"},$X286&amp;"")))&gt;0)),"／電力が未記入","")&amp;IF(AND(NOT(ISNUMBER(J286)),NOT(SUMPRODUCT(--ISNUMBER(SEARCH({"棚板","棚","アングル","ｱﾝｸﾞﾙ","使用不可","ケーブル","ｹｰﾌﾞﾙ","PatchPnael","パッチ","引き出し","引出","ブランク","ﾌﾞﾗﾝｸ","マネージ","ﾏﾈｰｼﾞ","PDU","ONU"},$F286&amp;"")))&gt;0)),"／重量が未記入","")&amp;IF(AND(K286&lt;&gt;"",NOT(ISNUMBER(K286))),"／電圧が数値でない","")&amp;IF(AND(N286&lt;&gt;"",NOT(ISNUMBER(N286))),"／電流が数値でない","")&amp;IF(AND(C286&lt;&gt;"",C286&lt;1),"／開始Uが1未満","")&amp;IF(AND(E286&lt;&gt;"",E286&gt;IFERROR(VLOOKUP(A286,ラック定義!$A:$B,2,FALSE),47)),"／総Uをはみ出す","")&amp;IF(AND(A286&lt;&gt;"",COUNTIF(ラック定義!$A:$A,A286)=0),"／ラックが定義にない","")&amp;IF(AND(SUMPRODUCT((機器台帳!$A$2:$A$400=$A286)*((機器台帳!$B$2:$B$400=$B286)+(機器台帳!$B$2:$B$400="両面")+($B286="両面")&gt;0)*(機器台帳!$C$2:$C$400&lt;=$C286+$D286-1)*(機器台帳!$C$2:$C$400+機器台帳!$D$2:$D$400-1&gt;=$C286)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286&amp;"")))&gt;0)),"／同じUに他の機器(横並びなら正常)","")&amp;IF(AND(M286&lt;&gt;"",COUNTIFS(回路定義!$A:$A,A286,回路定義!$B:$B,M286)=0),"／回路1が定義にない","")&amp;IF(AND(P286&lt;&gt;"",COUNTIFS(回路定義!$A:$A,A286,回路定義!$B:$B,P286)=0),"／回路2が定義にない","")&amp;IF(AND(S286&lt;&gt;"",COUNTIFS(回路定義!$A:$A,A286,回路定義!$B:$B,S286)=0),"／回路3が定義にない",""),2,300)))</f>
        <v/>
      </c>
    </row>
    <row r="287">
      <c r="A287" s="5" t="n"/>
      <c r="B287" s="5" t="n"/>
      <c r="C287" s="5" t="n"/>
      <c r="D287" s="5" t="n"/>
      <c r="E287" s="6">
        <f>IF(C287="","",C287+D287-1)</f>
        <v/>
      </c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6">
        <f>COUNT(N287,Q287,T287)</f>
        <v/>
      </c>
      <c r="Z287" s="6">
        <f>IF(OR(K287="",NOT(ISNUMBER(K287))),"",K287*SUM(N287,Q287,T287))</f>
        <v/>
      </c>
      <c r="AA287" s="6">
        <f>IF(OR(Y287=0,N287=""),"",N287/Y287)</f>
        <v/>
      </c>
      <c r="AB287" s="6">
        <f>IF(OR(Y287=0,Q287=""),"",Q287/Y287)</f>
        <v/>
      </c>
      <c r="AC287" s="6">
        <f>IF(OR(Y287=0,T287=""),"",T287/Y287)</f>
        <v/>
      </c>
      <c r="AD287" s="6">
        <f>IF(F287="","",IF((IF(AND(Y287=0,NOT(SUMPRODUCT(--ISNUMBER(SEARCH({"棚板","棚","アングル","ｱﾝｸﾞﾙ","使用不可","ケーブル","ｹｰﾌﾞﾙ","PatchPnael","パッチ","引き出し","引出","ブランク","ﾌﾞﾗﾝｸ","マネージ","ﾏﾈｰｼﾞ","PDU","ONU"},$F287&amp;"")))&gt;0),NOT(SUMPRODUCT(--ISNUMBER(SEARCH({"電源オフ","未投入","停止","未使用","撤去"},$X287&amp;"")))&gt;0)),"／電力が未記入","")&amp;IF(AND(NOT(ISNUMBER(J287)),NOT(SUMPRODUCT(--ISNUMBER(SEARCH({"棚板","棚","アングル","ｱﾝｸﾞﾙ","使用不可","ケーブル","ｹｰﾌﾞﾙ","PatchPnael","パッチ","引き出し","引出","ブランク","ﾌﾞﾗﾝｸ","マネージ","ﾏﾈｰｼﾞ","PDU","ONU"},$F287&amp;"")))&gt;0)),"／重量が未記入","")&amp;IF(AND(K287&lt;&gt;"",NOT(ISNUMBER(K287))),"／電圧が数値でない","")&amp;IF(AND(N287&lt;&gt;"",NOT(ISNUMBER(N287))),"／電流が数値でない","")&amp;IF(AND(C287&lt;&gt;"",C287&lt;1),"／開始Uが1未満","")&amp;IF(AND(E287&lt;&gt;"",E287&gt;IFERROR(VLOOKUP(A287,ラック定義!$A:$B,2,FALSE),47)),"／総Uをはみ出す","")&amp;IF(AND(A287&lt;&gt;"",COUNTIF(ラック定義!$A:$A,A287)=0),"／ラックが定義にない","")&amp;IF(AND(SUMPRODUCT((機器台帳!$A$2:$A$400=$A287)*((機器台帳!$B$2:$B$400=$B287)+(機器台帳!$B$2:$B$400="両面")+($B287="両面")&gt;0)*(機器台帳!$C$2:$C$400&lt;=$C287+$D287-1)*(機器台帳!$C$2:$C$400+機器台帳!$D$2:$D$400-1&gt;=$C287)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287&amp;"")))&gt;0)),"／同じUに他の機器(横並びなら正常)","")&amp;IF(AND(M287&lt;&gt;"",COUNTIFS(回路定義!$A:$A,A287,回路定義!$B:$B,M287)=0),"／回路1が定義にない","")&amp;IF(AND(P287&lt;&gt;"",COUNTIFS(回路定義!$A:$A,A287,回路定義!$B:$B,P287)=0),"／回路2が定義にない","")&amp;IF(AND(S287&lt;&gt;"",COUNTIFS(回路定義!$A:$A,A287,回路定義!$B:$B,S287)=0),"／回路3が定義にない",""))="","",MID(IF(AND(Y287=0,NOT(SUMPRODUCT(--ISNUMBER(SEARCH({"棚板","棚","アングル","ｱﾝｸﾞﾙ","使用不可","ケーブル","ｹｰﾌﾞﾙ","PatchPnael","パッチ","引き出し","引出","ブランク","ﾌﾞﾗﾝｸ","マネージ","ﾏﾈｰｼﾞ","PDU","ONU"},$F287&amp;"")))&gt;0),NOT(SUMPRODUCT(--ISNUMBER(SEARCH({"電源オフ","未投入","停止","未使用","撤去"},$X287&amp;"")))&gt;0)),"／電力が未記入","")&amp;IF(AND(NOT(ISNUMBER(J287)),NOT(SUMPRODUCT(--ISNUMBER(SEARCH({"棚板","棚","アングル","ｱﾝｸﾞﾙ","使用不可","ケーブル","ｹｰﾌﾞﾙ","PatchPnael","パッチ","引き出し","引出","ブランク","ﾌﾞﾗﾝｸ","マネージ","ﾏﾈｰｼﾞ","PDU","ONU"},$F287&amp;"")))&gt;0)),"／重量が未記入","")&amp;IF(AND(K287&lt;&gt;"",NOT(ISNUMBER(K287))),"／電圧が数値でない","")&amp;IF(AND(N287&lt;&gt;"",NOT(ISNUMBER(N287))),"／電流が数値でない","")&amp;IF(AND(C287&lt;&gt;"",C287&lt;1),"／開始Uが1未満","")&amp;IF(AND(E287&lt;&gt;"",E287&gt;IFERROR(VLOOKUP(A287,ラック定義!$A:$B,2,FALSE),47)),"／総Uをはみ出す","")&amp;IF(AND(A287&lt;&gt;"",COUNTIF(ラック定義!$A:$A,A287)=0),"／ラックが定義にない","")&amp;IF(AND(SUMPRODUCT((機器台帳!$A$2:$A$400=$A287)*((機器台帳!$B$2:$B$400=$B287)+(機器台帳!$B$2:$B$400="両面")+($B287="両面")&gt;0)*(機器台帳!$C$2:$C$400&lt;=$C287+$D287-1)*(機器台帳!$C$2:$C$400+機器台帳!$D$2:$D$400-1&gt;=$C287)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287&amp;"")))&gt;0)),"／同じUに他の機器(横並びなら正常)","")&amp;IF(AND(M287&lt;&gt;"",COUNTIFS(回路定義!$A:$A,A287,回路定義!$B:$B,M287)=0),"／回路1が定義にない","")&amp;IF(AND(P287&lt;&gt;"",COUNTIFS(回路定義!$A:$A,A287,回路定義!$B:$B,P287)=0),"／回路2が定義にない","")&amp;IF(AND(S287&lt;&gt;"",COUNTIFS(回路定義!$A:$A,A287,回路定義!$B:$B,S287)=0),"／回路3が定義にない",""),2,300)))</f>
        <v/>
      </c>
    </row>
    <row r="288">
      <c r="A288" s="5" t="n"/>
      <c r="B288" s="5" t="n"/>
      <c r="C288" s="5" t="n"/>
      <c r="D288" s="5" t="n"/>
      <c r="E288" s="6">
        <f>IF(C288="","",C288+D288-1)</f>
        <v/>
      </c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6">
        <f>COUNT(N288,Q288,T288)</f>
        <v/>
      </c>
      <c r="Z288" s="6">
        <f>IF(OR(K288="",NOT(ISNUMBER(K288))),"",K288*SUM(N288,Q288,T288))</f>
        <v/>
      </c>
      <c r="AA288" s="6">
        <f>IF(OR(Y288=0,N288=""),"",N288/Y288)</f>
        <v/>
      </c>
      <c r="AB288" s="6">
        <f>IF(OR(Y288=0,Q288=""),"",Q288/Y288)</f>
        <v/>
      </c>
      <c r="AC288" s="6">
        <f>IF(OR(Y288=0,T288=""),"",T288/Y288)</f>
        <v/>
      </c>
      <c r="AD288" s="6">
        <f>IF(F288="","",IF((IF(AND(Y288=0,NOT(SUMPRODUCT(--ISNUMBER(SEARCH({"棚板","棚","アングル","ｱﾝｸﾞﾙ","使用不可","ケーブル","ｹｰﾌﾞﾙ","PatchPnael","パッチ","引き出し","引出","ブランク","ﾌﾞﾗﾝｸ","マネージ","ﾏﾈｰｼﾞ","PDU","ONU"},$F288&amp;"")))&gt;0),NOT(SUMPRODUCT(--ISNUMBER(SEARCH({"電源オフ","未投入","停止","未使用","撤去"},$X288&amp;"")))&gt;0)),"／電力が未記入","")&amp;IF(AND(NOT(ISNUMBER(J288)),NOT(SUMPRODUCT(--ISNUMBER(SEARCH({"棚板","棚","アングル","ｱﾝｸﾞﾙ","使用不可","ケーブル","ｹｰﾌﾞﾙ","PatchPnael","パッチ","引き出し","引出","ブランク","ﾌﾞﾗﾝｸ","マネージ","ﾏﾈｰｼﾞ","PDU","ONU"},$F288&amp;"")))&gt;0)),"／重量が未記入","")&amp;IF(AND(K288&lt;&gt;"",NOT(ISNUMBER(K288))),"／電圧が数値でない","")&amp;IF(AND(N288&lt;&gt;"",NOT(ISNUMBER(N288))),"／電流が数値でない","")&amp;IF(AND(C288&lt;&gt;"",C288&lt;1),"／開始Uが1未満","")&amp;IF(AND(E288&lt;&gt;"",E288&gt;IFERROR(VLOOKUP(A288,ラック定義!$A:$B,2,FALSE),47)),"／総Uをはみ出す","")&amp;IF(AND(A288&lt;&gt;"",COUNTIF(ラック定義!$A:$A,A288)=0),"／ラックが定義にない","")&amp;IF(AND(SUMPRODUCT((機器台帳!$A$2:$A$400=$A288)*((機器台帳!$B$2:$B$400=$B288)+(機器台帳!$B$2:$B$400="両面")+($B288="両面")&gt;0)*(機器台帳!$C$2:$C$400&lt;=$C288+$D288-1)*(機器台帳!$C$2:$C$400+機器台帳!$D$2:$D$400-1&gt;=$C288)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288&amp;"")))&gt;0)),"／同じUに他の機器(横並びなら正常)","")&amp;IF(AND(M288&lt;&gt;"",COUNTIFS(回路定義!$A:$A,A288,回路定義!$B:$B,M288)=0),"／回路1が定義にない","")&amp;IF(AND(P288&lt;&gt;"",COUNTIFS(回路定義!$A:$A,A288,回路定義!$B:$B,P288)=0),"／回路2が定義にない","")&amp;IF(AND(S288&lt;&gt;"",COUNTIFS(回路定義!$A:$A,A288,回路定義!$B:$B,S288)=0),"／回路3が定義にない",""))="","",MID(IF(AND(Y288=0,NOT(SUMPRODUCT(--ISNUMBER(SEARCH({"棚板","棚","アングル","ｱﾝｸﾞﾙ","使用不可","ケーブル","ｹｰﾌﾞﾙ","PatchPnael","パッチ","引き出し","引出","ブランク","ﾌﾞﾗﾝｸ","マネージ","ﾏﾈｰｼﾞ","PDU","ONU"},$F288&amp;"")))&gt;0),NOT(SUMPRODUCT(--ISNUMBER(SEARCH({"電源オフ","未投入","停止","未使用","撤去"},$X288&amp;"")))&gt;0)),"／電力が未記入","")&amp;IF(AND(NOT(ISNUMBER(J288)),NOT(SUMPRODUCT(--ISNUMBER(SEARCH({"棚板","棚","アングル","ｱﾝｸﾞﾙ","使用不可","ケーブル","ｹｰﾌﾞﾙ","PatchPnael","パッチ","引き出し","引出","ブランク","ﾌﾞﾗﾝｸ","マネージ","ﾏﾈｰｼﾞ","PDU","ONU"},$F288&amp;"")))&gt;0)),"／重量が未記入","")&amp;IF(AND(K288&lt;&gt;"",NOT(ISNUMBER(K288))),"／電圧が数値でない","")&amp;IF(AND(N288&lt;&gt;"",NOT(ISNUMBER(N288))),"／電流が数値でない","")&amp;IF(AND(C288&lt;&gt;"",C288&lt;1),"／開始Uが1未満","")&amp;IF(AND(E288&lt;&gt;"",E288&gt;IFERROR(VLOOKUP(A288,ラック定義!$A:$B,2,FALSE),47)),"／総Uをはみ出す","")&amp;IF(AND(A288&lt;&gt;"",COUNTIF(ラック定義!$A:$A,A288)=0),"／ラックが定義にない","")&amp;IF(AND(SUMPRODUCT((機器台帳!$A$2:$A$400=$A288)*((機器台帳!$B$2:$B$400=$B288)+(機器台帳!$B$2:$B$400="両面")+($B288="両面")&gt;0)*(機器台帳!$C$2:$C$400&lt;=$C288+$D288-1)*(機器台帳!$C$2:$C$400+機器台帳!$D$2:$D$400-1&gt;=$C288)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288&amp;"")))&gt;0)),"／同じUに他の機器(横並びなら正常)","")&amp;IF(AND(M288&lt;&gt;"",COUNTIFS(回路定義!$A:$A,A288,回路定義!$B:$B,M288)=0),"／回路1が定義にない","")&amp;IF(AND(P288&lt;&gt;"",COUNTIFS(回路定義!$A:$A,A288,回路定義!$B:$B,P288)=0),"／回路2が定義にない","")&amp;IF(AND(S288&lt;&gt;"",COUNTIFS(回路定義!$A:$A,A288,回路定義!$B:$B,S288)=0),"／回路3が定義にない",""),2,300)))</f>
        <v/>
      </c>
    </row>
    <row r="289">
      <c r="A289" s="5" t="n"/>
      <c r="B289" s="5" t="n"/>
      <c r="C289" s="5" t="n"/>
      <c r="D289" s="5" t="n"/>
      <c r="E289" s="6">
        <f>IF(C289="","",C289+D289-1)</f>
        <v/>
      </c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6">
        <f>COUNT(N289,Q289,T289)</f>
        <v/>
      </c>
      <c r="Z289" s="6">
        <f>IF(OR(K289="",NOT(ISNUMBER(K289))),"",K289*SUM(N289,Q289,T289))</f>
        <v/>
      </c>
      <c r="AA289" s="6">
        <f>IF(OR(Y289=0,N289=""),"",N289/Y289)</f>
        <v/>
      </c>
      <c r="AB289" s="6">
        <f>IF(OR(Y289=0,Q289=""),"",Q289/Y289)</f>
        <v/>
      </c>
      <c r="AC289" s="6">
        <f>IF(OR(Y289=0,T289=""),"",T289/Y289)</f>
        <v/>
      </c>
      <c r="AD289" s="6">
        <f>IF(F289="","",IF((IF(AND(Y289=0,NOT(SUMPRODUCT(--ISNUMBER(SEARCH({"棚板","棚","アングル","ｱﾝｸﾞﾙ","使用不可","ケーブル","ｹｰﾌﾞﾙ","PatchPnael","パッチ","引き出し","引出","ブランク","ﾌﾞﾗﾝｸ","マネージ","ﾏﾈｰｼﾞ","PDU","ONU"},$F289&amp;"")))&gt;0),NOT(SUMPRODUCT(--ISNUMBER(SEARCH({"電源オフ","未投入","停止","未使用","撤去"},$X289&amp;"")))&gt;0)),"／電力が未記入","")&amp;IF(AND(NOT(ISNUMBER(J289)),NOT(SUMPRODUCT(--ISNUMBER(SEARCH({"棚板","棚","アングル","ｱﾝｸﾞﾙ","使用不可","ケーブル","ｹｰﾌﾞﾙ","PatchPnael","パッチ","引き出し","引出","ブランク","ﾌﾞﾗﾝｸ","マネージ","ﾏﾈｰｼﾞ","PDU","ONU"},$F289&amp;"")))&gt;0)),"／重量が未記入","")&amp;IF(AND(K289&lt;&gt;"",NOT(ISNUMBER(K289))),"／電圧が数値でない","")&amp;IF(AND(N289&lt;&gt;"",NOT(ISNUMBER(N289))),"／電流が数値でない","")&amp;IF(AND(C289&lt;&gt;"",C289&lt;1),"／開始Uが1未満","")&amp;IF(AND(E289&lt;&gt;"",E289&gt;IFERROR(VLOOKUP(A289,ラック定義!$A:$B,2,FALSE),47)),"／総Uをはみ出す","")&amp;IF(AND(A289&lt;&gt;"",COUNTIF(ラック定義!$A:$A,A289)=0),"／ラックが定義にない","")&amp;IF(AND(SUMPRODUCT((機器台帳!$A$2:$A$400=$A289)*((機器台帳!$B$2:$B$400=$B289)+(機器台帳!$B$2:$B$400="両面")+($B289="両面")&gt;0)*(機器台帳!$C$2:$C$400&lt;=$C289+$D289-1)*(機器台帳!$C$2:$C$400+機器台帳!$D$2:$D$400-1&gt;=$C289)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289&amp;"")))&gt;0)),"／同じUに他の機器(横並びなら正常)","")&amp;IF(AND(M289&lt;&gt;"",COUNTIFS(回路定義!$A:$A,A289,回路定義!$B:$B,M289)=0),"／回路1が定義にない","")&amp;IF(AND(P289&lt;&gt;"",COUNTIFS(回路定義!$A:$A,A289,回路定義!$B:$B,P289)=0),"／回路2が定義にない","")&amp;IF(AND(S289&lt;&gt;"",COUNTIFS(回路定義!$A:$A,A289,回路定義!$B:$B,S289)=0),"／回路3が定義にない",""))="","",MID(IF(AND(Y289=0,NOT(SUMPRODUCT(--ISNUMBER(SEARCH({"棚板","棚","アングル","ｱﾝｸﾞﾙ","使用不可","ケーブル","ｹｰﾌﾞﾙ","PatchPnael","パッチ","引き出し","引出","ブランク","ﾌﾞﾗﾝｸ","マネージ","ﾏﾈｰｼﾞ","PDU","ONU"},$F289&amp;"")))&gt;0),NOT(SUMPRODUCT(--ISNUMBER(SEARCH({"電源オフ","未投入","停止","未使用","撤去"},$X289&amp;"")))&gt;0)),"／電力が未記入","")&amp;IF(AND(NOT(ISNUMBER(J289)),NOT(SUMPRODUCT(--ISNUMBER(SEARCH({"棚板","棚","アングル","ｱﾝｸﾞﾙ","使用不可","ケーブル","ｹｰﾌﾞﾙ","PatchPnael","パッチ","引き出し","引出","ブランク","ﾌﾞﾗﾝｸ","マネージ","ﾏﾈｰｼﾞ","PDU","ONU"},$F289&amp;"")))&gt;0)),"／重量が未記入","")&amp;IF(AND(K289&lt;&gt;"",NOT(ISNUMBER(K289))),"／電圧が数値でない","")&amp;IF(AND(N289&lt;&gt;"",NOT(ISNUMBER(N289))),"／電流が数値でない","")&amp;IF(AND(C289&lt;&gt;"",C289&lt;1),"／開始Uが1未満","")&amp;IF(AND(E289&lt;&gt;"",E289&gt;IFERROR(VLOOKUP(A289,ラック定義!$A:$B,2,FALSE),47)),"／総Uをはみ出す","")&amp;IF(AND(A289&lt;&gt;"",COUNTIF(ラック定義!$A:$A,A289)=0),"／ラックが定義にない","")&amp;IF(AND(SUMPRODUCT((機器台帳!$A$2:$A$400=$A289)*((機器台帳!$B$2:$B$400=$B289)+(機器台帳!$B$2:$B$400="両面")+($B289="両面")&gt;0)*(機器台帳!$C$2:$C$400&lt;=$C289+$D289-1)*(機器台帳!$C$2:$C$400+機器台帳!$D$2:$D$400-1&gt;=$C289)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289&amp;"")))&gt;0)),"／同じUに他の機器(横並びなら正常)","")&amp;IF(AND(M289&lt;&gt;"",COUNTIFS(回路定義!$A:$A,A289,回路定義!$B:$B,M289)=0),"／回路1が定義にない","")&amp;IF(AND(P289&lt;&gt;"",COUNTIFS(回路定義!$A:$A,A289,回路定義!$B:$B,P289)=0),"／回路2が定義にない","")&amp;IF(AND(S289&lt;&gt;"",COUNTIFS(回路定義!$A:$A,A289,回路定義!$B:$B,S289)=0),"／回路3が定義にない",""),2,300)))</f>
        <v/>
      </c>
    </row>
    <row r="290">
      <c r="A290" s="5" t="n"/>
      <c r="B290" s="5" t="n"/>
      <c r="C290" s="5" t="n"/>
      <c r="D290" s="5" t="n"/>
      <c r="E290" s="6">
        <f>IF(C290="","",C290+D290-1)</f>
        <v/>
      </c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6">
        <f>COUNT(N290,Q290,T290)</f>
        <v/>
      </c>
      <c r="Z290" s="6">
        <f>IF(OR(K290="",NOT(ISNUMBER(K290))),"",K290*SUM(N290,Q290,T290))</f>
        <v/>
      </c>
      <c r="AA290" s="6">
        <f>IF(OR(Y290=0,N290=""),"",N290/Y290)</f>
        <v/>
      </c>
      <c r="AB290" s="6">
        <f>IF(OR(Y290=0,Q290=""),"",Q290/Y290)</f>
        <v/>
      </c>
      <c r="AC290" s="6">
        <f>IF(OR(Y290=0,T290=""),"",T290/Y290)</f>
        <v/>
      </c>
      <c r="AD290" s="6">
        <f>IF(F290="","",IF((IF(AND(Y290=0,NOT(SUMPRODUCT(--ISNUMBER(SEARCH({"棚板","棚","アングル","ｱﾝｸﾞﾙ","使用不可","ケーブル","ｹｰﾌﾞﾙ","PatchPnael","パッチ","引き出し","引出","ブランク","ﾌﾞﾗﾝｸ","マネージ","ﾏﾈｰｼﾞ","PDU","ONU"},$F290&amp;"")))&gt;0),NOT(SUMPRODUCT(--ISNUMBER(SEARCH({"電源オフ","未投入","停止","未使用","撤去"},$X290&amp;"")))&gt;0)),"／電力が未記入","")&amp;IF(AND(NOT(ISNUMBER(J290)),NOT(SUMPRODUCT(--ISNUMBER(SEARCH({"棚板","棚","アングル","ｱﾝｸﾞﾙ","使用不可","ケーブル","ｹｰﾌﾞﾙ","PatchPnael","パッチ","引き出し","引出","ブランク","ﾌﾞﾗﾝｸ","マネージ","ﾏﾈｰｼﾞ","PDU","ONU"},$F290&amp;"")))&gt;0)),"／重量が未記入","")&amp;IF(AND(K290&lt;&gt;"",NOT(ISNUMBER(K290))),"／電圧が数値でない","")&amp;IF(AND(N290&lt;&gt;"",NOT(ISNUMBER(N290))),"／電流が数値でない","")&amp;IF(AND(C290&lt;&gt;"",C290&lt;1),"／開始Uが1未満","")&amp;IF(AND(E290&lt;&gt;"",E290&gt;IFERROR(VLOOKUP(A290,ラック定義!$A:$B,2,FALSE),47)),"／総Uをはみ出す","")&amp;IF(AND(A290&lt;&gt;"",COUNTIF(ラック定義!$A:$A,A290)=0),"／ラックが定義にない","")&amp;IF(AND(SUMPRODUCT((機器台帳!$A$2:$A$400=$A290)*((機器台帳!$B$2:$B$400=$B290)+(機器台帳!$B$2:$B$400="両面")+($B290="両面")&gt;0)*(機器台帳!$C$2:$C$400&lt;=$C290+$D290-1)*(機器台帳!$C$2:$C$400+機器台帳!$D$2:$D$400-1&gt;=$C290)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290&amp;"")))&gt;0)),"／同じUに他の機器(横並びなら正常)","")&amp;IF(AND(M290&lt;&gt;"",COUNTIFS(回路定義!$A:$A,A290,回路定義!$B:$B,M290)=0),"／回路1が定義にない","")&amp;IF(AND(P290&lt;&gt;"",COUNTIFS(回路定義!$A:$A,A290,回路定義!$B:$B,P290)=0),"／回路2が定義にない","")&amp;IF(AND(S290&lt;&gt;"",COUNTIFS(回路定義!$A:$A,A290,回路定義!$B:$B,S290)=0),"／回路3が定義にない",""))="","",MID(IF(AND(Y290=0,NOT(SUMPRODUCT(--ISNUMBER(SEARCH({"棚板","棚","アングル","ｱﾝｸﾞﾙ","使用不可","ケーブル","ｹｰﾌﾞﾙ","PatchPnael","パッチ","引き出し","引出","ブランク","ﾌﾞﾗﾝｸ","マネージ","ﾏﾈｰｼﾞ","PDU","ONU"},$F290&amp;"")))&gt;0),NOT(SUMPRODUCT(--ISNUMBER(SEARCH({"電源オフ","未投入","停止","未使用","撤去"},$X290&amp;"")))&gt;0)),"／電力が未記入","")&amp;IF(AND(NOT(ISNUMBER(J290)),NOT(SUMPRODUCT(--ISNUMBER(SEARCH({"棚板","棚","アングル","ｱﾝｸﾞﾙ","使用不可","ケーブル","ｹｰﾌﾞﾙ","PatchPnael","パッチ","引き出し","引出","ブランク","ﾌﾞﾗﾝｸ","マネージ","ﾏﾈｰｼﾞ","PDU","ONU"},$F290&amp;"")))&gt;0)),"／重量が未記入","")&amp;IF(AND(K290&lt;&gt;"",NOT(ISNUMBER(K290))),"／電圧が数値でない","")&amp;IF(AND(N290&lt;&gt;"",NOT(ISNUMBER(N290))),"／電流が数値でない","")&amp;IF(AND(C290&lt;&gt;"",C290&lt;1),"／開始Uが1未満","")&amp;IF(AND(E290&lt;&gt;"",E290&gt;IFERROR(VLOOKUP(A290,ラック定義!$A:$B,2,FALSE),47)),"／総Uをはみ出す","")&amp;IF(AND(A290&lt;&gt;"",COUNTIF(ラック定義!$A:$A,A290)=0),"／ラックが定義にない","")&amp;IF(AND(SUMPRODUCT((機器台帳!$A$2:$A$400=$A290)*((機器台帳!$B$2:$B$400=$B290)+(機器台帳!$B$2:$B$400="両面")+($B290="両面")&gt;0)*(機器台帳!$C$2:$C$400&lt;=$C290+$D290-1)*(機器台帳!$C$2:$C$400+機器台帳!$D$2:$D$400-1&gt;=$C290)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290&amp;"")))&gt;0)),"／同じUに他の機器(横並びなら正常)","")&amp;IF(AND(M290&lt;&gt;"",COUNTIFS(回路定義!$A:$A,A290,回路定義!$B:$B,M290)=0),"／回路1が定義にない","")&amp;IF(AND(P290&lt;&gt;"",COUNTIFS(回路定義!$A:$A,A290,回路定義!$B:$B,P290)=0),"／回路2が定義にない","")&amp;IF(AND(S290&lt;&gt;"",COUNTIFS(回路定義!$A:$A,A290,回路定義!$B:$B,S290)=0),"／回路3が定義にない",""),2,300)))</f>
        <v/>
      </c>
    </row>
    <row r="291">
      <c r="A291" s="5" t="n"/>
      <c r="B291" s="5" t="n"/>
      <c r="C291" s="5" t="n"/>
      <c r="D291" s="5" t="n"/>
      <c r="E291" s="6">
        <f>IF(C291="","",C291+D291-1)</f>
        <v/>
      </c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6">
        <f>COUNT(N291,Q291,T291)</f>
        <v/>
      </c>
      <c r="Z291" s="6">
        <f>IF(OR(K291="",NOT(ISNUMBER(K291))),"",K291*SUM(N291,Q291,T291))</f>
        <v/>
      </c>
      <c r="AA291" s="6">
        <f>IF(OR(Y291=0,N291=""),"",N291/Y291)</f>
        <v/>
      </c>
      <c r="AB291" s="6">
        <f>IF(OR(Y291=0,Q291=""),"",Q291/Y291)</f>
        <v/>
      </c>
      <c r="AC291" s="6">
        <f>IF(OR(Y291=0,T291=""),"",T291/Y291)</f>
        <v/>
      </c>
      <c r="AD291" s="6">
        <f>IF(F291="","",IF((IF(AND(Y291=0,NOT(SUMPRODUCT(--ISNUMBER(SEARCH({"棚板","棚","アングル","ｱﾝｸﾞﾙ","使用不可","ケーブル","ｹｰﾌﾞﾙ","PatchPnael","パッチ","引き出し","引出","ブランク","ﾌﾞﾗﾝｸ","マネージ","ﾏﾈｰｼﾞ","PDU","ONU"},$F291&amp;"")))&gt;0),NOT(SUMPRODUCT(--ISNUMBER(SEARCH({"電源オフ","未投入","停止","未使用","撤去"},$X291&amp;"")))&gt;0)),"／電力が未記入","")&amp;IF(AND(NOT(ISNUMBER(J291)),NOT(SUMPRODUCT(--ISNUMBER(SEARCH({"棚板","棚","アングル","ｱﾝｸﾞﾙ","使用不可","ケーブル","ｹｰﾌﾞﾙ","PatchPnael","パッチ","引き出し","引出","ブランク","ﾌﾞﾗﾝｸ","マネージ","ﾏﾈｰｼﾞ","PDU","ONU"},$F291&amp;"")))&gt;0)),"／重量が未記入","")&amp;IF(AND(K291&lt;&gt;"",NOT(ISNUMBER(K291))),"／電圧が数値でない","")&amp;IF(AND(N291&lt;&gt;"",NOT(ISNUMBER(N291))),"／電流が数値でない","")&amp;IF(AND(C291&lt;&gt;"",C291&lt;1),"／開始Uが1未満","")&amp;IF(AND(E291&lt;&gt;"",E291&gt;IFERROR(VLOOKUP(A291,ラック定義!$A:$B,2,FALSE),47)),"／総Uをはみ出す","")&amp;IF(AND(A291&lt;&gt;"",COUNTIF(ラック定義!$A:$A,A291)=0),"／ラックが定義にない","")&amp;IF(AND(SUMPRODUCT((機器台帳!$A$2:$A$400=$A291)*((機器台帳!$B$2:$B$400=$B291)+(機器台帳!$B$2:$B$400="両面")+($B291="両面")&gt;0)*(機器台帳!$C$2:$C$400&lt;=$C291+$D291-1)*(機器台帳!$C$2:$C$400+機器台帳!$D$2:$D$400-1&gt;=$C291)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291&amp;"")))&gt;0)),"／同じUに他の機器(横並びなら正常)","")&amp;IF(AND(M291&lt;&gt;"",COUNTIFS(回路定義!$A:$A,A291,回路定義!$B:$B,M291)=0),"／回路1が定義にない","")&amp;IF(AND(P291&lt;&gt;"",COUNTIFS(回路定義!$A:$A,A291,回路定義!$B:$B,P291)=0),"／回路2が定義にない","")&amp;IF(AND(S291&lt;&gt;"",COUNTIFS(回路定義!$A:$A,A291,回路定義!$B:$B,S291)=0),"／回路3が定義にない",""))="","",MID(IF(AND(Y291=0,NOT(SUMPRODUCT(--ISNUMBER(SEARCH({"棚板","棚","アングル","ｱﾝｸﾞﾙ","使用不可","ケーブル","ｹｰﾌﾞﾙ","PatchPnael","パッチ","引き出し","引出","ブランク","ﾌﾞﾗﾝｸ","マネージ","ﾏﾈｰｼﾞ","PDU","ONU"},$F291&amp;"")))&gt;0),NOT(SUMPRODUCT(--ISNUMBER(SEARCH({"電源オフ","未投入","停止","未使用","撤去"},$X291&amp;"")))&gt;0)),"／電力が未記入","")&amp;IF(AND(NOT(ISNUMBER(J291)),NOT(SUMPRODUCT(--ISNUMBER(SEARCH({"棚板","棚","アングル","ｱﾝｸﾞﾙ","使用不可","ケーブル","ｹｰﾌﾞﾙ","PatchPnael","パッチ","引き出し","引出","ブランク","ﾌﾞﾗﾝｸ","マネージ","ﾏﾈｰｼﾞ","PDU","ONU"},$F291&amp;"")))&gt;0)),"／重量が未記入","")&amp;IF(AND(K291&lt;&gt;"",NOT(ISNUMBER(K291))),"／電圧が数値でない","")&amp;IF(AND(N291&lt;&gt;"",NOT(ISNUMBER(N291))),"／電流が数値でない","")&amp;IF(AND(C291&lt;&gt;"",C291&lt;1),"／開始Uが1未満","")&amp;IF(AND(E291&lt;&gt;"",E291&gt;IFERROR(VLOOKUP(A291,ラック定義!$A:$B,2,FALSE),47)),"／総Uをはみ出す","")&amp;IF(AND(A291&lt;&gt;"",COUNTIF(ラック定義!$A:$A,A291)=0),"／ラックが定義にない","")&amp;IF(AND(SUMPRODUCT((機器台帳!$A$2:$A$400=$A291)*((機器台帳!$B$2:$B$400=$B291)+(機器台帳!$B$2:$B$400="両面")+($B291="両面")&gt;0)*(機器台帳!$C$2:$C$400&lt;=$C291+$D291-1)*(機器台帳!$C$2:$C$400+機器台帳!$D$2:$D$400-1&gt;=$C291)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291&amp;"")))&gt;0)),"／同じUに他の機器(横並びなら正常)","")&amp;IF(AND(M291&lt;&gt;"",COUNTIFS(回路定義!$A:$A,A291,回路定義!$B:$B,M291)=0),"／回路1が定義にない","")&amp;IF(AND(P291&lt;&gt;"",COUNTIFS(回路定義!$A:$A,A291,回路定義!$B:$B,P291)=0),"／回路2が定義にない","")&amp;IF(AND(S291&lt;&gt;"",COUNTIFS(回路定義!$A:$A,A291,回路定義!$B:$B,S291)=0),"／回路3が定義にない",""),2,300)))</f>
        <v/>
      </c>
    </row>
    <row r="292">
      <c r="A292" s="5" t="n"/>
      <c r="B292" s="5" t="n"/>
      <c r="C292" s="5" t="n"/>
      <c r="D292" s="5" t="n"/>
      <c r="E292" s="6">
        <f>IF(C292="","",C292+D292-1)</f>
        <v/>
      </c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6">
        <f>COUNT(N292,Q292,T292)</f>
        <v/>
      </c>
      <c r="Z292" s="6">
        <f>IF(OR(K292="",NOT(ISNUMBER(K292))),"",K292*SUM(N292,Q292,T292))</f>
        <v/>
      </c>
      <c r="AA292" s="6">
        <f>IF(OR(Y292=0,N292=""),"",N292/Y292)</f>
        <v/>
      </c>
      <c r="AB292" s="6">
        <f>IF(OR(Y292=0,Q292=""),"",Q292/Y292)</f>
        <v/>
      </c>
      <c r="AC292" s="6">
        <f>IF(OR(Y292=0,T292=""),"",T292/Y292)</f>
        <v/>
      </c>
      <c r="AD292" s="6">
        <f>IF(F292="","",IF((IF(AND(Y292=0,NOT(SUMPRODUCT(--ISNUMBER(SEARCH({"棚板","棚","アングル","ｱﾝｸﾞﾙ","使用不可","ケーブル","ｹｰﾌﾞﾙ","PatchPnael","パッチ","引き出し","引出","ブランク","ﾌﾞﾗﾝｸ","マネージ","ﾏﾈｰｼﾞ","PDU","ONU"},$F292&amp;"")))&gt;0),NOT(SUMPRODUCT(--ISNUMBER(SEARCH({"電源オフ","未投入","停止","未使用","撤去"},$X292&amp;"")))&gt;0)),"／電力が未記入","")&amp;IF(AND(NOT(ISNUMBER(J292)),NOT(SUMPRODUCT(--ISNUMBER(SEARCH({"棚板","棚","アングル","ｱﾝｸﾞﾙ","使用不可","ケーブル","ｹｰﾌﾞﾙ","PatchPnael","パッチ","引き出し","引出","ブランク","ﾌﾞﾗﾝｸ","マネージ","ﾏﾈｰｼﾞ","PDU","ONU"},$F292&amp;"")))&gt;0)),"／重量が未記入","")&amp;IF(AND(K292&lt;&gt;"",NOT(ISNUMBER(K292))),"／電圧が数値でない","")&amp;IF(AND(N292&lt;&gt;"",NOT(ISNUMBER(N292))),"／電流が数値でない","")&amp;IF(AND(C292&lt;&gt;"",C292&lt;1),"／開始Uが1未満","")&amp;IF(AND(E292&lt;&gt;"",E292&gt;IFERROR(VLOOKUP(A292,ラック定義!$A:$B,2,FALSE),47)),"／総Uをはみ出す","")&amp;IF(AND(A292&lt;&gt;"",COUNTIF(ラック定義!$A:$A,A292)=0),"／ラックが定義にない","")&amp;IF(AND(SUMPRODUCT((機器台帳!$A$2:$A$400=$A292)*((機器台帳!$B$2:$B$400=$B292)+(機器台帳!$B$2:$B$400="両面")+($B292="両面")&gt;0)*(機器台帳!$C$2:$C$400&lt;=$C292+$D292-1)*(機器台帳!$C$2:$C$400+機器台帳!$D$2:$D$400-1&gt;=$C292)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292&amp;"")))&gt;0)),"／同じUに他の機器(横並びなら正常)","")&amp;IF(AND(M292&lt;&gt;"",COUNTIFS(回路定義!$A:$A,A292,回路定義!$B:$B,M292)=0),"／回路1が定義にない","")&amp;IF(AND(P292&lt;&gt;"",COUNTIFS(回路定義!$A:$A,A292,回路定義!$B:$B,P292)=0),"／回路2が定義にない","")&amp;IF(AND(S292&lt;&gt;"",COUNTIFS(回路定義!$A:$A,A292,回路定義!$B:$B,S292)=0),"／回路3が定義にない",""))="","",MID(IF(AND(Y292=0,NOT(SUMPRODUCT(--ISNUMBER(SEARCH({"棚板","棚","アングル","ｱﾝｸﾞﾙ","使用不可","ケーブル","ｹｰﾌﾞﾙ","PatchPnael","パッチ","引き出し","引出","ブランク","ﾌﾞﾗﾝｸ","マネージ","ﾏﾈｰｼﾞ","PDU","ONU"},$F292&amp;"")))&gt;0),NOT(SUMPRODUCT(--ISNUMBER(SEARCH({"電源オフ","未投入","停止","未使用","撤去"},$X292&amp;"")))&gt;0)),"／電力が未記入","")&amp;IF(AND(NOT(ISNUMBER(J292)),NOT(SUMPRODUCT(--ISNUMBER(SEARCH({"棚板","棚","アングル","ｱﾝｸﾞﾙ","使用不可","ケーブル","ｹｰﾌﾞﾙ","PatchPnael","パッチ","引き出し","引出","ブランク","ﾌﾞﾗﾝｸ","マネージ","ﾏﾈｰｼﾞ","PDU","ONU"},$F292&amp;"")))&gt;0)),"／重量が未記入","")&amp;IF(AND(K292&lt;&gt;"",NOT(ISNUMBER(K292))),"／電圧が数値でない","")&amp;IF(AND(N292&lt;&gt;"",NOT(ISNUMBER(N292))),"／電流が数値でない","")&amp;IF(AND(C292&lt;&gt;"",C292&lt;1),"／開始Uが1未満","")&amp;IF(AND(E292&lt;&gt;"",E292&gt;IFERROR(VLOOKUP(A292,ラック定義!$A:$B,2,FALSE),47)),"／総Uをはみ出す","")&amp;IF(AND(A292&lt;&gt;"",COUNTIF(ラック定義!$A:$A,A292)=0),"／ラックが定義にない","")&amp;IF(AND(SUMPRODUCT((機器台帳!$A$2:$A$400=$A292)*((機器台帳!$B$2:$B$400=$B292)+(機器台帳!$B$2:$B$400="両面")+($B292="両面")&gt;0)*(機器台帳!$C$2:$C$400&lt;=$C292+$D292-1)*(機器台帳!$C$2:$C$400+機器台帳!$D$2:$D$400-1&gt;=$C292)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292&amp;"")))&gt;0)),"／同じUに他の機器(横並びなら正常)","")&amp;IF(AND(M292&lt;&gt;"",COUNTIFS(回路定義!$A:$A,A292,回路定義!$B:$B,M292)=0),"／回路1が定義にない","")&amp;IF(AND(P292&lt;&gt;"",COUNTIFS(回路定義!$A:$A,A292,回路定義!$B:$B,P292)=0),"／回路2が定義にない","")&amp;IF(AND(S292&lt;&gt;"",COUNTIFS(回路定義!$A:$A,A292,回路定義!$B:$B,S292)=0),"／回路3が定義にない",""),2,300)))</f>
        <v/>
      </c>
    </row>
    <row r="293">
      <c r="A293" s="5" t="n"/>
      <c r="B293" s="5" t="n"/>
      <c r="C293" s="5" t="n"/>
      <c r="D293" s="5" t="n"/>
      <c r="E293" s="6">
        <f>IF(C293="","",C293+D293-1)</f>
        <v/>
      </c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6">
        <f>COUNT(N293,Q293,T293)</f>
        <v/>
      </c>
      <c r="Z293" s="6">
        <f>IF(OR(K293="",NOT(ISNUMBER(K293))),"",K293*SUM(N293,Q293,T293))</f>
        <v/>
      </c>
      <c r="AA293" s="6">
        <f>IF(OR(Y293=0,N293=""),"",N293/Y293)</f>
        <v/>
      </c>
      <c r="AB293" s="6">
        <f>IF(OR(Y293=0,Q293=""),"",Q293/Y293)</f>
        <v/>
      </c>
      <c r="AC293" s="6">
        <f>IF(OR(Y293=0,T293=""),"",T293/Y293)</f>
        <v/>
      </c>
      <c r="AD293" s="6">
        <f>IF(F293="","",IF((IF(AND(Y293=0,NOT(SUMPRODUCT(--ISNUMBER(SEARCH({"棚板","棚","アングル","ｱﾝｸﾞﾙ","使用不可","ケーブル","ｹｰﾌﾞﾙ","PatchPnael","パッチ","引き出し","引出","ブランク","ﾌﾞﾗﾝｸ","マネージ","ﾏﾈｰｼﾞ","PDU","ONU"},$F293&amp;"")))&gt;0),NOT(SUMPRODUCT(--ISNUMBER(SEARCH({"電源オフ","未投入","停止","未使用","撤去"},$X293&amp;"")))&gt;0)),"／電力が未記入","")&amp;IF(AND(NOT(ISNUMBER(J293)),NOT(SUMPRODUCT(--ISNUMBER(SEARCH({"棚板","棚","アングル","ｱﾝｸﾞﾙ","使用不可","ケーブル","ｹｰﾌﾞﾙ","PatchPnael","パッチ","引き出し","引出","ブランク","ﾌﾞﾗﾝｸ","マネージ","ﾏﾈｰｼﾞ","PDU","ONU"},$F293&amp;"")))&gt;0)),"／重量が未記入","")&amp;IF(AND(K293&lt;&gt;"",NOT(ISNUMBER(K293))),"／電圧が数値でない","")&amp;IF(AND(N293&lt;&gt;"",NOT(ISNUMBER(N293))),"／電流が数値でない","")&amp;IF(AND(C293&lt;&gt;"",C293&lt;1),"／開始Uが1未満","")&amp;IF(AND(E293&lt;&gt;"",E293&gt;IFERROR(VLOOKUP(A293,ラック定義!$A:$B,2,FALSE),47)),"／総Uをはみ出す","")&amp;IF(AND(A293&lt;&gt;"",COUNTIF(ラック定義!$A:$A,A293)=0),"／ラックが定義にない","")&amp;IF(AND(SUMPRODUCT((機器台帳!$A$2:$A$400=$A293)*((機器台帳!$B$2:$B$400=$B293)+(機器台帳!$B$2:$B$400="両面")+($B293="両面")&gt;0)*(機器台帳!$C$2:$C$400&lt;=$C293+$D293-1)*(機器台帳!$C$2:$C$400+機器台帳!$D$2:$D$400-1&gt;=$C293)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293&amp;"")))&gt;0)),"／同じUに他の機器(横並びなら正常)","")&amp;IF(AND(M293&lt;&gt;"",COUNTIFS(回路定義!$A:$A,A293,回路定義!$B:$B,M293)=0),"／回路1が定義にない","")&amp;IF(AND(P293&lt;&gt;"",COUNTIFS(回路定義!$A:$A,A293,回路定義!$B:$B,P293)=0),"／回路2が定義にない","")&amp;IF(AND(S293&lt;&gt;"",COUNTIFS(回路定義!$A:$A,A293,回路定義!$B:$B,S293)=0),"／回路3が定義にない",""))="","",MID(IF(AND(Y293=0,NOT(SUMPRODUCT(--ISNUMBER(SEARCH({"棚板","棚","アングル","ｱﾝｸﾞﾙ","使用不可","ケーブル","ｹｰﾌﾞﾙ","PatchPnael","パッチ","引き出し","引出","ブランク","ﾌﾞﾗﾝｸ","マネージ","ﾏﾈｰｼﾞ","PDU","ONU"},$F293&amp;"")))&gt;0),NOT(SUMPRODUCT(--ISNUMBER(SEARCH({"電源オフ","未投入","停止","未使用","撤去"},$X293&amp;"")))&gt;0)),"／電力が未記入","")&amp;IF(AND(NOT(ISNUMBER(J293)),NOT(SUMPRODUCT(--ISNUMBER(SEARCH({"棚板","棚","アングル","ｱﾝｸﾞﾙ","使用不可","ケーブル","ｹｰﾌﾞﾙ","PatchPnael","パッチ","引き出し","引出","ブランク","ﾌﾞﾗﾝｸ","マネージ","ﾏﾈｰｼﾞ","PDU","ONU"},$F293&amp;"")))&gt;0)),"／重量が未記入","")&amp;IF(AND(K293&lt;&gt;"",NOT(ISNUMBER(K293))),"／電圧が数値でない","")&amp;IF(AND(N293&lt;&gt;"",NOT(ISNUMBER(N293))),"／電流が数値でない","")&amp;IF(AND(C293&lt;&gt;"",C293&lt;1),"／開始Uが1未満","")&amp;IF(AND(E293&lt;&gt;"",E293&gt;IFERROR(VLOOKUP(A293,ラック定義!$A:$B,2,FALSE),47)),"／総Uをはみ出す","")&amp;IF(AND(A293&lt;&gt;"",COUNTIF(ラック定義!$A:$A,A293)=0),"／ラックが定義にない","")&amp;IF(AND(SUMPRODUCT((機器台帳!$A$2:$A$400=$A293)*((機器台帳!$B$2:$B$400=$B293)+(機器台帳!$B$2:$B$400="両面")+($B293="両面")&gt;0)*(機器台帳!$C$2:$C$400&lt;=$C293+$D293-1)*(機器台帳!$C$2:$C$400+機器台帳!$D$2:$D$400-1&gt;=$C293)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293&amp;"")))&gt;0)),"／同じUに他の機器(横並びなら正常)","")&amp;IF(AND(M293&lt;&gt;"",COUNTIFS(回路定義!$A:$A,A293,回路定義!$B:$B,M293)=0),"／回路1が定義にない","")&amp;IF(AND(P293&lt;&gt;"",COUNTIFS(回路定義!$A:$A,A293,回路定義!$B:$B,P293)=0),"／回路2が定義にない","")&amp;IF(AND(S293&lt;&gt;"",COUNTIFS(回路定義!$A:$A,A293,回路定義!$B:$B,S293)=0),"／回路3が定義にない",""),2,300)))</f>
        <v/>
      </c>
    </row>
    <row r="294">
      <c r="A294" s="5" t="n"/>
      <c r="B294" s="5" t="n"/>
      <c r="C294" s="5" t="n"/>
      <c r="D294" s="5" t="n"/>
      <c r="E294" s="6">
        <f>IF(C294="","",C294+D294-1)</f>
        <v/>
      </c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6">
        <f>COUNT(N294,Q294,T294)</f>
        <v/>
      </c>
      <c r="Z294" s="6">
        <f>IF(OR(K294="",NOT(ISNUMBER(K294))),"",K294*SUM(N294,Q294,T294))</f>
        <v/>
      </c>
      <c r="AA294" s="6">
        <f>IF(OR(Y294=0,N294=""),"",N294/Y294)</f>
        <v/>
      </c>
      <c r="AB294" s="6">
        <f>IF(OR(Y294=0,Q294=""),"",Q294/Y294)</f>
        <v/>
      </c>
      <c r="AC294" s="6">
        <f>IF(OR(Y294=0,T294=""),"",T294/Y294)</f>
        <v/>
      </c>
      <c r="AD294" s="6">
        <f>IF(F294="","",IF((IF(AND(Y294=0,NOT(SUMPRODUCT(--ISNUMBER(SEARCH({"棚板","棚","アングル","ｱﾝｸﾞﾙ","使用不可","ケーブル","ｹｰﾌﾞﾙ","PatchPnael","パッチ","引き出し","引出","ブランク","ﾌﾞﾗﾝｸ","マネージ","ﾏﾈｰｼﾞ","PDU","ONU"},$F294&amp;"")))&gt;0),NOT(SUMPRODUCT(--ISNUMBER(SEARCH({"電源オフ","未投入","停止","未使用","撤去"},$X294&amp;"")))&gt;0)),"／電力が未記入","")&amp;IF(AND(NOT(ISNUMBER(J294)),NOT(SUMPRODUCT(--ISNUMBER(SEARCH({"棚板","棚","アングル","ｱﾝｸﾞﾙ","使用不可","ケーブル","ｹｰﾌﾞﾙ","PatchPnael","パッチ","引き出し","引出","ブランク","ﾌﾞﾗﾝｸ","マネージ","ﾏﾈｰｼﾞ","PDU","ONU"},$F294&amp;"")))&gt;0)),"／重量が未記入","")&amp;IF(AND(K294&lt;&gt;"",NOT(ISNUMBER(K294))),"／電圧が数値でない","")&amp;IF(AND(N294&lt;&gt;"",NOT(ISNUMBER(N294))),"／電流が数値でない","")&amp;IF(AND(C294&lt;&gt;"",C294&lt;1),"／開始Uが1未満","")&amp;IF(AND(E294&lt;&gt;"",E294&gt;IFERROR(VLOOKUP(A294,ラック定義!$A:$B,2,FALSE),47)),"／総Uをはみ出す","")&amp;IF(AND(A294&lt;&gt;"",COUNTIF(ラック定義!$A:$A,A294)=0),"／ラックが定義にない","")&amp;IF(AND(SUMPRODUCT((機器台帳!$A$2:$A$400=$A294)*((機器台帳!$B$2:$B$400=$B294)+(機器台帳!$B$2:$B$400="両面")+($B294="両面")&gt;0)*(機器台帳!$C$2:$C$400&lt;=$C294+$D294-1)*(機器台帳!$C$2:$C$400+機器台帳!$D$2:$D$400-1&gt;=$C294)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294&amp;"")))&gt;0)),"／同じUに他の機器(横並びなら正常)","")&amp;IF(AND(M294&lt;&gt;"",COUNTIFS(回路定義!$A:$A,A294,回路定義!$B:$B,M294)=0),"／回路1が定義にない","")&amp;IF(AND(P294&lt;&gt;"",COUNTIFS(回路定義!$A:$A,A294,回路定義!$B:$B,P294)=0),"／回路2が定義にない","")&amp;IF(AND(S294&lt;&gt;"",COUNTIFS(回路定義!$A:$A,A294,回路定義!$B:$B,S294)=0),"／回路3が定義にない",""))="","",MID(IF(AND(Y294=0,NOT(SUMPRODUCT(--ISNUMBER(SEARCH({"棚板","棚","アングル","ｱﾝｸﾞﾙ","使用不可","ケーブル","ｹｰﾌﾞﾙ","PatchPnael","パッチ","引き出し","引出","ブランク","ﾌﾞﾗﾝｸ","マネージ","ﾏﾈｰｼﾞ","PDU","ONU"},$F294&amp;"")))&gt;0),NOT(SUMPRODUCT(--ISNUMBER(SEARCH({"電源オフ","未投入","停止","未使用","撤去"},$X294&amp;"")))&gt;0)),"／電力が未記入","")&amp;IF(AND(NOT(ISNUMBER(J294)),NOT(SUMPRODUCT(--ISNUMBER(SEARCH({"棚板","棚","アングル","ｱﾝｸﾞﾙ","使用不可","ケーブル","ｹｰﾌﾞﾙ","PatchPnael","パッチ","引き出し","引出","ブランク","ﾌﾞﾗﾝｸ","マネージ","ﾏﾈｰｼﾞ","PDU","ONU"},$F294&amp;"")))&gt;0)),"／重量が未記入","")&amp;IF(AND(K294&lt;&gt;"",NOT(ISNUMBER(K294))),"／電圧が数値でない","")&amp;IF(AND(N294&lt;&gt;"",NOT(ISNUMBER(N294))),"／電流が数値でない","")&amp;IF(AND(C294&lt;&gt;"",C294&lt;1),"／開始Uが1未満","")&amp;IF(AND(E294&lt;&gt;"",E294&gt;IFERROR(VLOOKUP(A294,ラック定義!$A:$B,2,FALSE),47)),"／総Uをはみ出す","")&amp;IF(AND(A294&lt;&gt;"",COUNTIF(ラック定義!$A:$A,A294)=0),"／ラックが定義にない","")&amp;IF(AND(SUMPRODUCT((機器台帳!$A$2:$A$400=$A294)*((機器台帳!$B$2:$B$400=$B294)+(機器台帳!$B$2:$B$400="両面")+($B294="両面")&gt;0)*(機器台帳!$C$2:$C$400&lt;=$C294+$D294-1)*(機器台帳!$C$2:$C$400+機器台帳!$D$2:$D$400-1&gt;=$C294)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294&amp;"")))&gt;0)),"／同じUに他の機器(横並びなら正常)","")&amp;IF(AND(M294&lt;&gt;"",COUNTIFS(回路定義!$A:$A,A294,回路定義!$B:$B,M294)=0),"／回路1が定義にない","")&amp;IF(AND(P294&lt;&gt;"",COUNTIFS(回路定義!$A:$A,A294,回路定義!$B:$B,P294)=0),"／回路2が定義にない","")&amp;IF(AND(S294&lt;&gt;"",COUNTIFS(回路定義!$A:$A,A294,回路定義!$B:$B,S294)=0),"／回路3が定義にない",""),2,300)))</f>
        <v/>
      </c>
    </row>
    <row r="295">
      <c r="A295" s="5" t="n"/>
      <c r="B295" s="5" t="n"/>
      <c r="C295" s="5" t="n"/>
      <c r="D295" s="5" t="n"/>
      <c r="E295" s="6">
        <f>IF(C295="","",C295+D295-1)</f>
        <v/>
      </c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6">
        <f>COUNT(N295,Q295,T295)</f>
        <v/>
      </c>
      <c r="Z295" s="6">
        <f>IF(OR(K295="",NOT(ISNUMBER(K295))),"",K295*SUM(N295,Q295,T295))</f>
        <v/>
      </c>
      <c r="AA295" s="6">
        <f>IF(OR(Y295=0,N295=""),"",N295/Y295)</f>
        <v/>
      </c>
      <c r="AB295" s="6">
        <f>IF(OR(Y295=0,Q295=""),"",Q295/Y295)</f>
        <v/>
      </c>
      <c r="AC295" s="6">
        <f>IF(OR(Y295=0,T295=""),"",T295/Y295)</f>
        <v/>
      </c>
      <c r="AD295" s="6">
        <f>IF(F295="","",IF((IF(AND(Y295=0,NOT(SUMPRODUCT(--ISNUMBER(SEARCH({"棚板","棚","アングル","ｱﾝｸﾞﾙ","使用不可","ケーブル","ｹｰﾌﾞﾙ","PatchPnael","パッチ","引き出し","引出","ブランク","ﾌﾞﾗﾝｸ","マネージ","ﾏﾈｰｼﾞ","PDU","ONU"},$F295&amp;"")))&gt;0),NOT(SUMPRODUCT(--ISNUMBER(SEARCH({"電源オフ","未投入","停止","未使用","撤去"},$X295&amp;"")))&gt;0)),"／電力が未記入","")&amp;IF(AND(NOT(ISNUMBER(J295)),NOT(SUMPRODUCT(--ISNUMBER(SEARCH({"棚板","棚","アングル","ｱﾝｸﾞﾙ","使用不可","ケーブル","ｹｰﾌﾞﾙ","PatchPnael","パッチ","引き出し","引出","ブランク","ﾌﾞﾗﾝｸ","マネージ","ﾏﾈｰｼﾞ","PDU","ONU"},$F295&amp;"")))&gt;0)),"／重量が未記入","")&amp;IF(AND(K295&lt;&gt;"",NOT(ISNUMBER(K295))),"／電圧が数値でない","")&amp;IF(AND(N295&lt;&gt;"",NOT(ISNUMBER(N295))),"／電流が数値でない","")&amp;IF(AND(C295&lt;&gt;"",C295&lt;1),"／開始Uが1未満","")&amp;IF(AND(E295&lt;&gt;"",E295&gt;IFERROR(VLOOKUP(A295,ラック定義!$A:$B,2,FALSE),47)),"／総Uをはみ出す","")&amp;IF(AND(A295&lt;&gt;"",COUNTIF(ラック定義!$A:$A,A295)=0),"／ラックが定義にない","")&amp;IF(AND(SUMPRODUCT((機器台帳!$A$2:$A$400=$A295)*((機器台帳!$B$2:$B$400=$B295)+(機器台帳!$B$2:$B$400="両面")+($B295="両面")&gt;0)*(機器台帳!$C$2:$C$400&lt;=$C295+$D295-1)*(機器台帳!$C$2:$C$400+機器台帳!$D$2:$D$400-1&gt;=$C295)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295&amp;"")))&gt;0)),"／同じUに他の機器(横並びなら正常)","")&amp;IF(AND(M295&lt;&gt;"",COUNTIFS(回路定義!$A:$A,A295,回路定義!$B:$B,M295)=0),"／回路1が定義にない","")&amp;IF(AND(P295&lt;&gt;"",COUNTIFS(回路定義!$A:$A,A295,回路定義!$B:$B,P295)=0),"／回路2が定義にない","")&amp;IF(AND(S295&lt;&gt;"",COUNTIFS(回路定義!$A:$A,A295,回路定義!$B:$B,S295)=0),"／回路3が定義にない",""))="","",MID(IF(AND(Y295=0,NOT(SUMPRODUCT(--ISNUMBER(SEARCH({"棚板","棚","アングル","ｱﾝｸﾞﾙ","使用不可","ケーブル","ｹｰﾌﾞﾙ","PatchPnael","パッチ","引き出し","引出","ブランク","ﾌﾞﾗﾝｸ","マネージ","ﾏﾈｰｼﾞ","PDU","ONU"},$F295&amp;"")))&gt;0),NOT(SUMPRODUCT(--ISNUMBER(SEARCH({"電源オフ","未投入","停止","未使用","撤去"},$X295&amp;"")))&gt;0)),"／電力が未記入","")&amp;IF(AND(NOT(ISNUMBER(J295)),NOT(SUMPRODUCT(--ISNUMBER(SEARCH({"棚板","棚","アングル","ｱﾝｸﾞﾙ","使用不可","ケーブル","ｹｰﾌﾞﾙ","PatchPnael","パッチ","引き出し","引出","ブランク","ﾌﾞﾗﾝｸ","マネージ","ﾏﾈｰｼﾞ","PDU","ONU"},$F295&amp;"")))&gt;0)),"／重量が未記入","")&amp;IF(AND(K295&lt;&gt;"",NOT(ISNUMBER(K295))),"／電圧が数値でない","")&amp;IF(AND(N295&lt;&gt;"",NOT(ISNUMBER(N295))),"／電流が数値でない","")&amp;IF(AND(C295&lt;&gt;"",C295&lt;1),"／開始Uが1未満","")&amp;IF(AND(E295&lt;&gt;"",E295&gt;IFERROR(VLOOKUP(A295,ラック定義!$A:$B,2,FALSE),47)),"／総Uをはみ出す","")&amp;IF(AND(A295&lt;&gt;"",COUNTIF(ラック定義!$A:$A,A295)=0),"／ラックが定義にない","")&amp;IF(AND(SUMPRODUCT((機器台帳!$A$2:$A$400=$A295)*((機器台帳!$B$2:$B$400=$B295)+(機器台帳!$B$2:$B$400="両面")+($B295="両面")&gt;0)*(機器台帳!$C$2:$C$400&lt;=$C295+$D295-1)*(機器台帳!$C$2:$C$400+機器台帳!$D$2:$D$400-1&gt;=$C295)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295&amp;"")))&gt;0)),"／同じUに他の機器(横並びなら正常)","")&amp;IF(AND(M295&lt;&gt;"",COUNTIFS(回路定義!$A:$A,A295,回路定義!$B:$B,M295)=0),"／回路1が定義にない","")&amp;IF(AND(P295&lt;&gt;"",COUNTIFS(回路定義!$A:$A,A295,回路定義!$B:$B,P295)=0),"／回路2が定義にない","")&amp;IF(AND(S295&lt;&gt;"",COUNTIFS(回路定義!$A:$A,A295,回路定義!$B:$B,S295)=0),"／回路3が定義にない",""),2,300)))</f>
        <v/>
      </c>
    </row>
    <row r="296">
      <c r="A296" s="5" t="n"/>
      <c r="B296" s="5" t="n"/>
      <c r="C296" s="5" t="n"/>
      <c r="D296" s="5" t="n"/>
      <c r="E296" s="6">
        <f>IF(C296="","",C296+D296-1)</f>
        <v/>
      </c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6">
        <f>COUNT(N296,Q296,T296)</f>
        <v/>
      </c>
      <c r="Z296" s="6">
        <f>IF(OR(K296="",NOT(ISNUMBER(K296))),"",K296*SUM(N296,Q296,T296))</f>
        <v/>
      </c>
      <c r="AA296" s="6">
        <f>IF(OR(Y296=0,N296=""),"",N296/Y296)</f>
        <v/>
      </c>
      <c r="AB296" s="6">
        <f>IF(OR(Y296=0,Q296=""),"",Q296/Y296)</f>
        <v/>
      </c>
      <c r="AC296" s="6">
        <f>IF(OR(Y296=0,T296=""),"",T296/Y296)</f>
        <v/>
      </c>
      <c r="AD296" s="6">
        <f>IF(F296="","",IF((IF(AND(Y296=0,NOT(SUMPRODUCT(--ISNUMBER(SEARCH({"棚板","棚","アングル","ｱﾝｸﾞﾙ","使用不可","ケーブル","ｹｰﾌﾞﾙ","PatchPnael","パッチ","引き出し","引出","ブランク","ﾌﾞﾗﾝｸ","マネージ","ﾏﾈｰｼﾞ","PDU","ONU"},$F296&amp;"")))&gt;0),NOT(SUMPRODUCT(--ISNUMBER(SEARCH({"電源オフ","未投入","停止","未使用","撤去"},$X296&amp;"")))&gt;0)),"／電力が未記入","")&amp;IF(AND(NOT(ISNUMBER(J296)),NOT(SUMPRODUCT(--ISNUMBER(SEARCH({"棚板","棚","アングル","ｱﾝｸﾞﾙ","使用不可","ケーブル","ｹｰﾌﾞﾙ","PatchPnael","パッチ","引き出し","引出","ブランク","ﾌﾞﾗﾝｸ","マネージ","ﾏﾈｰｼﾞ","PDU","ONU"},$F296&amp;"")))&gt;0)),"／重量が未記入","")&amp;IF(AND(K296&lt;&gt;"",NOT(ISNUMBER(K296))),"／電圧が数値でない","")&amp;IF(AND(N296&lt;&gt;"",NOT(ISNUMBER(N296))),"／電流が数値でない","")&amp;IF(AND(C296&lt;&gt;"",C296&lt;1),"／開始Uが1未満","")&amp;IF(AND(E296&lt;&gt;"",E296&gt;IFERROR(VLOOKUP(A296,ラック定義!$A:$B,2,FALSE),47)),"／総Uをはみ出す","")&amp;IF(AND(A296&lt;&gt;"",COUNTIF(ラック定義!$A:$A,A296)=0),"／ラックが定義にない","")&amp;IF(AND(SUMPRODUCT((機器台帳!$A$2:$A$400=$A296)*((機器台帳!$B$2:$B$400=$B296)+(機器台帳!$B$2:$B$400="両面")+($B296="両面")&gt;0)*(機器台帳!$C$2:$C$400&lt;=$C296+$D296-1)*(機器台帳!$C$2:$C$400+機器台帳!$D$2:$D$400-1&gt;=$C296)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296&amp;"")))&gt;0)),"／同じUに他の機器(横並びなら正常)","")&amp;IF(AND(M296&lt;&gt;"",COUNTIFS(回路定義!$A:$A,A296,回路定義!$B:$B,M296)=0),"／回路1が定義にない","")&amp;IF(AND(P296&lt;&gt;"",COUNTIFS(回路定義!$A:$A,A296,回路定義!$B:$B,P296)=0),"／回路2が定義にない","")&amp;IF(AND(S296&lt;&gt;"",COUNTIFS(回路定義!$A:$A,A296,回路定義!$B:$B,S296)=0),"／回路3が定義にない",""))="","",MID(IF(AND(Y296=0,NOT(SUMPRODUCT(--ISNUMBER(SEARCH({"棚板","棚","アングル","ｱﾝｸﾞﾙ","使用不可","ケーブル","ｹｰﾌﾞﾙ","PatchPnael","パッチ","引き出し","引出","ブランク","ﾌﾞﾗﾝｸ","マネージ","ﾏﾈｰｼﾞ","PDU","ONU"},$F296&amp;"")))&gt;0),NOT(SUMPRODUCT(--ISNUMBER(SEARCH({"電源オフ","未投入","停止","未使用","撤去"},$X296&amp;"")))&gt;0)),"／電力が未記入","")&amp;IF(AND(NOT(ISNUMBER(J296)),NOT(SUMPRODUCT(--ISNUMBER(SEARCH({"棚板","棚","アングル","ｱﾝｸﾞﾙ","使用不可","ケーブル","ｹｰﾌﾞﾙ","PatchPnael","パッチ","引き出し","引出","ブランク","ﾌﾞﾗﾝｸ","マネージ","ﾏﾈｰｼﾞ","PDU","ONU"},$F296&amp;"")))&gt;0)),"／重量が未記入","")&amp;IF(AND(K296&lt;&gt;"",NOT(ISNUMBER(K296))),"／電圧が数値でない","")&amp;IF(AND(N296&lt;&gt;"",NOT(ISNUMBER(N296))),"／電流が数値でない","")&amp;IF(AND(C296&lt;&gt;"",C296&lt;1),"／開始Uが1未満","")&amp;IF(AND(E296&lt;&gt;"",E296&gt;IFERROR(VLOOKUP(A296,ラック定義!$A:$B,2,FALSE),47)),"／総Uをはみ出す","")&amp;IF(AND(A296&lt;&gt;"",COUNTIF(ラック定義!$A:$A,A296)=0),"／ラックが定義にない","")&amp;IF(AND(SUMPRODUCT((機器台帳!$A$2:$A$400=$A296)*((機器台帳!$B$2:$B$400=$B296)+(機器台帳!$B$2:$B$400="両面")+($B296="両面")&gt;0)*(機器台帳!$C$2:$C$400&lt;=$C296+$D296-1)*(機器台帳!$C$2:$C$400+機器台帳!$D$2:$D$400-1&gt;=$C296)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296&amp;"")))&gt;0)),"／同じUに他の機器(横並びなら正常)","")&amp;IF(AND(M296&lt;&gt;"",COUNTIFS(回路定義!$A:$A,A296,回路定義!$B:$B,M296)=0),"／回路1が定義にない","")&amp;IF(AND(P296&lt;&gt;"",COUNTIFS(回路定義!$A:$A,A296,回路定義!$B:$B,P296)=0),"／回路2が定義にない","")&amp;IF(AND(S296&lt;&gt;"",COUNTIFS(回路定義!$A:$A,A296,回路定義!$B:$B,S296)=0),"／回路3が定義にない",""),2,300)))</f>
        <v/>
      </c>
    </row>
    <row r="297">
      <c r="A297" s="5" t="n"/>
      <c r="B297" s="5" t="n"/>
      <c r="C297" s="5" t="n"/>
      <c r="D297" s="5" t="n"/>
      <c r="E297" s="6">
        <f>IF(C297="","",C297+D297-1)</f>
        <v/>
      </c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6">
        <f>COUNT(N297,Q297,T297)</f>
        <v/>
      </c>
      <c r="Z297" s="6">
        <f>IF(OR(K297="",NOT(ISNUMBER(K297))),"",K297*SUM(N297,Q297,T297))</f>
        <v/>
      </c>
      <c r="AA297" s="6">
        <f>IF(OR(Y297=0,N297=""),"",N297/Y297)</f>
        <v/>
      </c>
      <c r="AB297" s="6">
        <f>IF(OR(Y297=0,Q297=""),"",Q297/Y297)</f>
        <v/>
      </c>
      <c r="AC297" s="6">
        <f>IF(OR(Y297=0,T297=""),"",T297/Y297)</f>
        <v/>
      </c>
      <c r="AD297" s="6">
        <f>IF(F297="","",IF((IF(AND(Y297=0,NOT(SUMPRODUCT(--ISNUMBER(SEARCH({"棚板","棚","アングル","ｱﾝｸﾞﾙ","使用不可","ケーブル","ｹｰﾌﾞﾙ","PatchPnael","パッチ","引き出し","引出","ブランク","ﾌﾞﾗﾝｸ","マネージ","ﾏﾈｰｼﾞ","PDU","ONU"},$F297&amp;"")))&gt;0),NOT(SUMPRODUCT(--ISNUMBER(SEARCH({"電源オフ","未投入","停止","未使用","撤去"},$X297&amp;"")))&gt;0)),"／電力が未記入","")&amp;IF(AND(NOT(ISNUMBER(J297)),NOT(SUMPRODUCT(--ISNUMBER(SEARCH({"棚板","棚","アングル","ｱﾝｸﾞﾙ","使用不可","ケーブル","ｹｰﾌﾞﾙ","PatchPnael","パッチ","引き出し","引出","ブランク","ﾌﾞﾗﾝｸ","マネージ","ﾏﾈｰｼﾞ","PDU","ONU"},$F297&amp;"")))&gt;0)),"／重量が未記入","")&amp;IF(AND(K297&lt;&gt;"",NOT(ISNUMBER(K297))),"／電圧が数値でない","")&amp;IF(AND(N297&lt;&gt;"",NOT(ISNUMBER(N297))),"／電流が数値でない","")&amp;IF(AND(C297&lt;&gt;"",C297&lt;1),"／開始Uが1未満","")&amp;IF(AND(E297&lt;&gt;"",E297&gt;IFERROR(VLOOKUP(A297,ラック定義!$A:$B,2,FALSE),47)),"／総Uをはみ出す","")&amp;IF(AND(A297&lt;&gt;"",COUNTIF(ラック定義!$A:$A,A297)=0),"／ラックが定義にない","")&amp;IF(AND(SUMPRODUCT((機器台帳!$A$2:$A$400=$A297)*((機器台帳!$B$2:$B$400=$B297)+(機器台帳!$B$2:$B$400="両面")+($B297="両面")&gt;0)*(機器台帳!$C$2:$C$400&lt;=$C297+$D297-1)*(機器台帳!$C$2:$C$400+機器台帳!$D$2:$D$400-1&gt;=$C297)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297&amp;"")))&gt;0)),"／同じUに他の機器(横並びなら正常)","")&amp;IF(AND(M297&lt;&gt;"",COUNTIFS(回路定義!$A:$A,A297,回路定義!$B:$B,M297)=0),"／回路1が定義にない","")&amp;IF(AND(P297&lt;&gt;"",COUNTIFS(回路定義!$A:$A,A297,回路定義!$B:$B,P297)=0),"／回路2が定義にない","")&amp;IF(AND(S297&lt;&gt;"",COUNTIFS(回路定義!$A:$A,A297,回路定義!$B:$B,S297)=0),"／回路3が定義にない",""))="","",MID(IF(AND(Y297=0,NOT(SUMPRODUCT(--ISNUMBER(SEARCH({"棚板","棚","アングル","ｱﾝｸﾞﾙ","使用不可","ケーブル","ｹｰﾌﾞﾙ","PatchPnael","パッチ","引き出し","引出","ブランク","ﾌﾞﾗﾝｸ","マネージ","ﾏﾈｰｼﾞ","PDU","ONU"},$F297&amp;"")))&gt;0),NOT(SUMPRODUCT(--ISNUMBER(SEARCH({"電源オフ","未投入","停止","未使用","撤去"},$X297&amp;"")))&gt;0)),"／電力が未記入","")&amp;IF(AND(NOT(ISNUMBER(J297)),NOT(SUMPRODUCT(--ISNUMBER(SEARCH({"棚板","棚","アングル","ｱﾝｸﾞﾙ","使用不可","ケーブル","ｹｰﾌﾞﾙ","PatchPnael","パッチ","引き出し","引出","ブランク","ﾌﾞﾗﾝｸ","マネージ","ﾏﾈｰｼﾞ","PDU","ONU"},$F297&amp;"")))&gt;0)),"／重量が未記入","")&amp;IF(AND(K297&lt;&gt;"",NOT(ISNUMBER(K297))),"／電圧が数値でない","")&amp;IF(AND(N297&lt;&gt;"",NOT(ISNUMBER(N297))),"／電流が数値でない","")&amp;IF(AND(C297&lt;&gt;"",C297&lt;1),"／開始Uが1未満","")&amp;IF(AND(E297&lt;&gt;"",E297&gt;IFERROR(VLOOKUP(A297,ラック定義!$A:$B,2,FALSE),47)),"／総Uをはみ出す","")&amp;IF(AND(A297&lt;&gt;"",COUNTIF(ラック定義!$A:$A,A297)=0),"／ラックが定義にない","")&amp;IF(AND(SUMPRODUCT((機器台帳!$A$2:$A$400=$A297)*((機器台帳!$B$2:$B$400=$B297)+(機器台帳!$B$2:$B$400="両面")+($B297="両面")&gt;0)*(機器台帳!$C$2:$C$400&lt;=$C297+$D297-1)*(機器台帳!$C$2:$C$400+機器台帳!$D$2:$D$400-1&gt;=$C297)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297&amp;"")))&gt;0)),"／同じUに他の機器(横並びなら正常)","")&amp;IF(AND(M297&lt;&gt;"",COUNTIFS(回路定義!$A:$A,A297,回路定義!$B:$B,M297)=0),"／回路1が定義にない","")&amp;IF(AND(P297&lt;&gt;"",COUNTIFS(回路定義!$A:$A,A297,回路定義!$B:$B,P297)=0),"／回路2が定義にない","")&amp;IF(AND(S297&lt;&gt;"",COUNTIFS(回路定義!$A:$A,A297,回路定義!$B:$B,S297)=0),"／回路3が定義にない",""),2,300)))</f>
        <v/>
      </c>
    </row>
    <row r="298">
      <c r="A298" s="5" t="n"/>
      <c r="B298" s="5" t="n"/>
      <c r="C298" s="5" t="n"/>
      <c r="D298" s="5" t="n"/>
      <c r="E298" s="6">
        <f>IF(C298="","",C298+D298-1)</f>
        <v/>
      </c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6">
        <f>COUNT(N298,Q298,T298)</f>
        <v/>
      </c>
      <c r="Z298" s="6">
        <f>IF(OR(K298="",NOT(ISNUMBER(K298))),"",K298*SUM(N298,Q298,T298))</f>
        <v/>
      </c>
      <c r="AA298" s="6">
        <f>IF(OR(Y298=0,N298=""),"",N298/Y298)</f>
        <v/>
      </c>
      <c r="AB298" s="6">
        <f>IF(OR(Y298=0,Q298=""),"",Q298/Y298)</f>
        <v/>
      </c>
      <c r="AC298" s="6">
        <f>IF(OR(Y298=0,T298=""),"",T298/Y298)</f>
        <v/>
      </c>
      <c r="AD298" s="6">
        <f>IF(F298="","",IF((IF(AND(Y298=0,NOT(SUMPRODUCT(--ISNUMBER(SEARCH({"棚板","棚","アングル","ｱﾝｸﾞﾙ","使用不可","ケーブル","ｹｰﾌﾞﾙ","PatchPnael","パッチ","引き出し","引出","ブランク","ﾌﾞﾗﾝｸ","マネージ","ﾏﾈｰｼﾞ","PDU","ONU"},$F298&amp;"")))&gt;0),NOT(SUMPRODUCT(--ISNUMBER(SEARCH({"電源オフ","未投入","停止","未使用","撤去"},$X298&amp;"")))&gt;0)),"／電力が未記入","")&amp;IF(AND(NOT(ISNUMBER(J298)),NOT(SUMPRODUCT(--ISNUMBER(SEARCH({"棚板","棚","アングル","ｱﾝｸﾞﾙ","使用不可","ケーブル","ｹｰﾌﾞﾙ","PatchPnael","パッチ","引き出し","引出","ブランク","ﾌﾞﾗﾝｸ","マネージ","ﾏﾈｰｼﾞ","PDU","ONU"},$F298&amp;"")))&gt;0)),"／重量が未記入","")&amp;IF(AND(K298&lt;&gt;"",NOT(ISNUMBER(K298))),"／電圧が数値でない","")&amp;IF(AND(N298&lt;&gt;"",NOT(ISNUMBER(N298))),"／電流が数値でない","")&amp;IF(AND(C298&lt;&gt;"",C298&lt;1),"／開始Uが1未満","")&amp;IF(AND(E298&lt;&gt;"",E298&gt;IFERROR(VLOOKUP(A298,ラック定義!$A:$B,2,FALSE),47)),"／総Uをはみ出す","")&amp;IF(AND(A298&lt;&gt;"",COUNTIF(ラック定義!$A:$A,A298)=0),"／ラックが定義にない","")&amp;IF(AND(SUMPRODUCT((機器台帳!$A$2:$A$400=$A298)*((機器台帳!$B$2:$B$400=$B298)+(機器台帳!$B$2:$B$400="両面")+($B298="両面")&gt;0)*(機器台帳!$C$2:$C$400&lt;=$C298+$D298-1)*(機器台帳!$C$2:$C$400+機器台帳!$D$2:$D$400-1&gt;=$C298)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298&amp;"")))&gt;0)),"／同じUに他の機器(横並びなら正常)","")&amp;IF(AND(M298&lt;&gt;"",COUNTIFS(回路定義!$A:$A,A298,回路定義!$B:$B,M298)=0),"／回路1が定義にない","")&amp;IF(AND(P298&lt;&gt;"",COUNTIFS(回路定義!$A:$A,A298,回路定義!$B:$B,P298)=0),"／回路2が定義にない","")&amp;IF(AND(S298&lt;&gt;"",COUNTIFS(回路定義!$A:$A,A298,回路定義!$B:$B,S298)=0),"／回路3が定義にない",""))="","",MID(IF(AND(Y298=0,NOT(SUMPRODUCT(--ISNUMBER(SEARCH({"棚板","棚","アングル","ｱﾝｸﾞﾙ","使用不可","ケーブル","ｹｰﾌﾞﾙ","PatchPnael","パッチ","引き出し","引出","ブランク","ﾌﾞﾗﾝｸ","マネージ","ﾏﾈｰｼﾞ","PDU","ONU"},$F298&amp;"")))&gt;0),NOT(SUMPRODUCT(--ISNUMBER(SEARCH({"電源オフ","未投入","停止","未使用","撤去"},$X298&amp;"")))&gt;0)),"／電力が未記入","")&amp;IF(AND(NOT(ISNUMBER(J298)),NOT(SUMPRODUCT(--ISNUMBER(SEARCH({"棚板","棚","アングル","ｱﾝｸﾞﾙ","使用不可","ケーブル","ｹｰﾌﾞﾙ","PatchPnael","パッチ","引き出し","引出","ブランク","ﾌﾞﾗﾝｸ","マネージ","ﾏﾈｰｼﾞ","PDU","ONU"},$F298&amp;"")))&gt;0)),"／重量が未記入","")&amp;IF(AND(K298&lt;&gt;"",NOT(ISNUMBER(K298))),"／電圧が数値でない","")&amp;IF(AND(N298&lt;&gt;"",NOT(ISNUMBER(N298))),"／電流が数値でない","")&amp;IF(AND(C298&lt;&gt;"",C298&lt;1),"／開始Uが1未満","")&amp;IF(AND(E298&lt;&gt;"",E298&gt;IFERROR(VLOOKUP(A298,ラック定義!$A:$B,2,FALSE),47)),"／総Uをはみ出す","")&amp;IF(AND(A298&lt;&gt;"",COUNTIF(ラック定義!$A:$A,A298)=0),"／ラックが定義にない","")&amp;IF(AND(SUMPRODUCT((機器台帳!$A$2:$A$400=$A298)*((機器台帳!$B$2:$B$400=$B298)+(機器台帳!$B$2:$B$400="両面")+($B298="両面")&gt;0)*(機器台帳!$C$2:$C$400&lt;=$C298+$D298-1)*(機器台帳!$C$2:$C$400+機器台帳!$D$2:$D$400-1&gt;=$C298)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298&amp;"")))&gt;0)),"／同じUに他の機器(横並びなら正常)","")&amp;IF(AND(M298&lt;&gt;"",COUNTIFS(回路定義!$A:$A,A298,回路定義!$B:$B,M298)=0),"／回路1が定義にない","")&amp;IF(AND(P298&lt;&gt;"",COUNTIFS(回路定義!$A:$A,A298,回路定義!$B:$B,P298)=0),"／回路2が定義にない","")&amp;IF(AND(S298&lt;&gt;"",COUNTIFS(回路定義!$A:$A,A298,回路定義!$B:$B,S298)=0),"／回路3が定義にない",""),2,300)))</f>
        <v/>
      </c>
    </row>
    <row r="299">
      <c r="A299" s="5" t="n"/>
      <c r="B299" s="5" t="n"/>
      <c r="C299" s="5" t="n"/>
      <c r="D299" s="5" t="n"/>
      <c r="E299" s="6">
        <f>IF(C299="","",C299+D299-1)</f>
        <v/>
      </c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6">
        <f>COUNT(N299,Q299,T299)</f>
        <v/>
      </c>
      <c r="Z299" s="6">
        <f>IF(OR(K299="",NOT(ISNUMBER(K299))),"",K299*SUM(N299,Q299,T299))</f>
        <v/>
      </c>
      <c r="AA299" s="6">
        <f>IF(OR(Y299=0,N299=""),"",N299/Y299)</f>
        <v/>
      </c>
      <c r="AB299" s="6">
        <f>IF(OR(Y299=0,Q299=""),"",Q299/Y299)</f>
        <v/>
      </c>
      <c r="AC299" s="6">
        <f>IF(OR(Y299=0,T299=""),"",T299/Y299)</f>
        <v/>
      </c>
      <c r="AD299" s="6">
        <f>IF(F299="","",IF((IF(AND(Y299=0,NOT(SUMPRODUCT(--ISNUMBER(SEARCH({"棚板","棚","アングル","ｱﾝｸﾞﾙ","使用不可","ケーブル","ｹｰﾌﾞﾙ","PatchPnael","パッチ","引き出し","引出","ブランク","ﾌﾞﾗﾝｸ","マネージ","ﾏﾈｰｼﾞ","PDU","ONU"},$F299&amp;"")))&gt;0),NOT(SUMPRODUCT(--ISNUMBER(SEARCH({"電源オフ","未投入","停止","未使用","撤去"},$X299&amp;"")))&gt;0)),"／電力が未記入","")&amp;IF(AND(NOT(ISNUMBER(J299)),NOT(SUMPRODUCT(--ISNUMBER(SEARCH({"棚板","棚","アングル","ｱﾝｸﾞﾙ","使用不可","ケーブル","ｹｰﾌﾞﾙ","PatchPnael","パッチ","引き出し","引出","ブランク","ﾌﾞﾗﾝｸ","マネージ","ﾏﾈｰｼﾞ","PDU","ONU"},$F299&amp;"")))&gt;0)),"／重量が未記入","")&amp;IF(AND(K299&lt;&gt;"",NOT(ISNUMBER(K299))),"／電圧が数値でない","")&amp;IF(AND(N299&lt;&gt;"",NOT(ISNUMBER(N299))),"／電流が数値でない","")&amp;IF(AND(C299&lt;&gt;"",C299&lt;1),"／開始Uが1未満","")&amp;IF(AND(E299&lt;&gt;"",E299&gt;IFERROR(VLOOKUP(A299,ラック定義!$A:$B,2,FALSE),47)),"／総Uをはみ出す","")&amp;IF(AND(A299&lt;&gt;"",COUNTIF(ラック定義!$A:$A,A299)=0),"／ラックが定義にない","")&amp;IF(AND(SUMPRODUCT((機器台帳!$A$2:$A$400=$A299)*((機器台帳!$B$2:$B$400=$B299)+(機器台帳!$B$2:$B$400="両面")+($B299="両面")&gt;0)*(機器台帳!$C$2:$C$400&lt;=$C299+$D299-1)*(機器台帳!$C$2:$C$400+機器台帳!$D$2:$D$400-1&gt;=$C299)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299&amp;"")))&gt;0)),"／同じUに他の機器(横並びなら正常)","")&amp;IF(AND(M299&lt;&gt;"",COUNTIFS(回路定義!$A:$A,A299,回路定義!$B:$B,M299)=0),"／回路1が定義にない","")&amp;IF(AND(P299&lt;&gt;"",COUNTIFS(回路定義!$A:$A,A299,回路定義!$B:$B,P299)=0),"／回路2が定義にない","")&amp;IF(AND(S299&lt;&gt;"",COUNTIFS(回路定義!$A:$A,A299,回路定義!$B:$B,S299)=0),"／回路3が定義にない",""))="","",MID(IF(AND(Y299=0,NOT(SUMPRODUCT(--ISNUMBER(SEARCH({"棚板","棚","アングル","ｱﾝｸﾞﾙ","使用不可","ケーブル","ｹｰﾌﾞﾙ","PatchPnael","パッチ","引き出し","引出","ブランク","ﾌﾞﾗﾝｸ","マネージ","ﾏﾈｰｼﾞ","PDU","ONU"},$F299&amp;"")))&gt;0),NOT(SUMPRODUCT(--ISNUMBER(SEARCH({"電源オフ","未投入","停止","未使用","撤去"},$X299&amp;"")))&gt;0)),"／電力が未記入","")&amp;IF(AND(NOT(ISNUMBER(J299)),NOT(SUMPRODUCT(--ISNUMBER(SEARCH({"棚板","棚","アングル","ｱﾝｸﾞﾙ","使用不可","ケーブル","ｹｰﾌﾞﾙ","PatchPnael","パッチ","引き出し","引出","ブランク","ﾌﾞﾗﾝｸ","マネージ","ﾏﾈｰｼﾞ","PDU","ONU"},$F299&amp;"")))&gt;0)),"／重量が未記入","")&amp;IF(AND(K299&lt;&gt;"",NOT(ISNUMBER(K299))),"／電圧が数値でない","")&amp;IF(AND(N299&lt;&gt;"",NOT(ISNUMBER(N299))),"／電流が数値でない","")&amp;IF(AND(C299&lt;&gt;"",C299&lt;1),"／開始Uが1未満","")&amp;IF(AND(E299&lt;&gt;"",E299&gt;IFERROR(VLOOKUP(A299,ラック定義!$A:$B,2,FALSE),47)),"／総Uをはみ出す","")&amp;IF(AND(A299&lt;&gt;"",COUNTIF(ラック定義!$A:$A,A299)=0),"／ラックが定義にない","")&amp;IF(AND(SUMPRODUCT((機器台帳!$A$2:$A$400=$A299)*((機器台帳!$B$2:$B$400=$B299)+(機器台帳!$B$2:$B$400="両面")+($B299="両面")&gt;0)*(機器台帳!$C$2:$C$400&lt;=$C299+$D299-1)*(機器台帳!$C$2:$C$400+機器台帳!$D$2:$D$400-1&gt;=$C299)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299&amp;"")))&gt;0)),"／同じUに他の機器(横並びなら正常)","")&amp;IF(AND(M299&lt;&gt;"",COUNTIFS(回路定義!$A:$A,A299,回路定義!$B:$B,M299)=0),"／回路1が定義にない","")&amp;IF(AND(P299&lt;&gt;"",COUNTIFS(回路定義!$A:$A,A299,回路定義!$B:$B,P299)=0),"／回路2が定義にない","")&amp;IF(AND(S299&lt;&gt;"",COUNTIFS(回路定義!$A:$A,A299,回路定義!$B:$B,S299)=0),"／回路3が定義にない",""),2,300)))</f>
        <v/>
      </c>
    </row>
    <row r="300">
      <c r="A300" s="5" t="n"/>
      <c r="B300" s="5" t="n"/>
      <c r="C300" s="5" t="n"/>
      <c r="D300" s="5" t="n"/>
      <c r="E300" s="6">
        <f>IF(C300="","",C300+D300-1)</f>
        <v/>
      </c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6">
        <f>COUNT(N300,Q300,T300)</f>
        <v/>
      </c>
      <c r="Z300" s="6">
        <f>IF(OR(K300="",NOT(ISNUMBER(K300))),"",K300*SUM(N300,Q300,T300))</f>
        <v/>
      </c>
      <c r="AA300" s="6">
        <f>IF(OR(Y300=0,N300=""),"",N300/Y300)</f>
        <v/>
      </c>
      <c r="AB300" s="6">
        <f>IF(OR(Y300=0,Q300=""),"",Q300/Y300)</f>
        <v/>
      </c>
      <c r="AC300" s="6">
        <f>IF(OR(Y300=0,T300=""),"",T300/Y300)</f>
        <v/>
      </c>
      <c r="AD300" s="6">
        <f>IF(F300="","",IF((IF(AND(Y300=0,NOT(SUMPRODUCT(--ISNUMBER(SEARCH({"棚板","棚","アングル","ｱﾝｸﾞﾙ","使用不可","ケーブル","ｹｰﾌﾞﾙ","PatchPnael","パッチ","引き出し","引出","ブランク","ﾌﾞﾗﾝｸ","マネージ","ﾏﾈｰｼﾞ","PDU","ONU"},$F300&amp;"")))&gt;0),NOT(SUMPRODUCT(--ISNUMBER(SEARCH({"電源オフ","未投入","停止","未使用","撤去"},$X300&amp;"")))&gt;0)),"／電力が未記入","")&amp;IF(AND(NOT(ISNUMBER(J300)),NOT(SUMPRODUCT(--ISNUMBER(SEARCH({"棚板","棚","アングル","ｱﾝｸﾞﾙ","使用不可","ケーブル","ｹｰﾌﾞﾙ","PatchPnael","パッチ","引き出し","引出","ブランク","ﾌﾞﾗﾝｸ","マネージ","ﾏﾈｰｼﾞ","PDU","ONU"},$F300&amp;"")))&gt;0)),"／重量が未記入","")&amp;IF(AND(K300&lt;&gt;"",NOT(ISNUMBER(K300))),"／電圧が数値でない","")&amp;IF(AND(N300&lt;&gt;"",NOT(ISNUMBER(N300))),"／電流が数値でない","")&amp;IF(AND(C300&lt;&gt;"",C300&lt;1),"／開始Uが1未満","")&amp;IF(AND(E300&lt;&gt;"",E300&gt;IFERROR(VLOOKUP(A300,ラック定義!$A:$B,2,FALSE),47)),"／総Uをはみ出す","")&amp;IF(AND(A300&lt;&gt;"",COUNTIF(ラック定義!$A:$A,A300)=0),"／ラックが定義にない","")&amp;IF(AND(SUMPRODUCT((機器台帳!$A$2:$A$400=$A300)*((機器台帳!$B$2:$B$400=$B300)+(機器台帳!$B$2:$B$400="両面")+($B300="両面")&gt;0)*(機器台帳!$C$2:$C$400&lt;=$C300+$D300-1)*(機器台帳!$C$2:$C$400+機器台帳!$D$2:$D$400-1&gt;=$C300)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300&amp;"")))&gt;0)),"／同じUに他の機器(横並びなら正常)","")&amp;IF(AND(M300&lt;&gt;"",COUNTIFS(回路定義!$A:$A,A300,回路定義!$B:$B,M300)=0),"／回路1が定義にない","")&amp;IF(AND(P300&lt;&gt;"",COUNTIFS(回路定義!$A:$A,A300,回路定義!$B:$B,P300)=0),"／回路2が定義にない","")&amp;IF(AND(S300&lt;&gt;"",COUNTIFS(回路定義!$A:$A,A300,回路定義!$B:$B,S300)=0),"／回路3が定義にない",""))="","",MID(IF(AND(Y300=0,NOT(SUMPRODUCT(--ISNUMBER(SEARCH({"棚板","棚","アングル","ｱﾝｸﾞﾙ","使用不可","ケーブル","ｹｰﾌﾞﾙ","PatchPnael","パッチ","引き出し","引出","ブランク","ﾌﾞﾗﾝｸ","マネージ","ﾏﾈｰｼﾞ","PDU","ONU"},$F300&amp;"")))&gt;0),NOT(SUMPRODUCT(--ISNUMBER(SEARCH({"電源オフ","未投入","停止","未使用","撤去"},$X300&amp;"")))&gt;0)),"／電力が未記入","")&amp;IF(AND(NOT(ISNUMBER(J300)),NOT(SUMPRODUCT(--ISNUMBER(SEARCH({"棚板","棚","アングル","ｱﾝｸﾞﾙ","使用不可","ケーブル","ｹｰﾌﾞﾙ","PatchPnael","パッチ","引き出し","引出","ブランク","ﾌﾞﾗﾝｸ","マネージ","ﾏﾈｰｼﾞ","PDU","ONU"},$F300&amp;"")))&gt;0)),"／重量が未記入","")&amp;IF(AND(K300&lt;&gt;"",NOT(ISNUMBER(K300))),"／電圧が数値でない","")&amp;IF(AND(N300&lt;&gt;"",NOT(ISNUMBER(N300))),"／電流が数値でない","")&amp;IF(AND(C300&lt;&gt;"",C300&lt;1),"／開始Uが1未満","")&amp;IF(AND(E300&lt;&gt;"",E300&gt;IFERROR(VLOOKUP(A300,ラック定義!$A:$B,2,FALSE),47)),"／総Uをはみ出す","")&amp;IF(AND(A300&lt;&gt;"",COUNTIF(ラック定義!$A:$A,A300)=0),"／ラックが定義にない","")&amp;IF(AND(SUMPRODUCT((機器台帳!$A$2:$A$400=$A300)*((機器台帳!$B$2:$B$400=$B300)+(機器台帳!$B$2:$B$400="両面")+($B300="両面")&gt;0)*(機器台帳!$C$2:$C$400&lt;=$C300+$D300-1)*(機器台帳!$C$2:$C$400+機器台帳!$D$2:$D$400-1&gt;=$C300)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300&amp;"")))&gt;0)),"／同じUに他の機器(横並びなら正常)","")&amp;IF(AND(M300&lt;&gt;"",COUNTIFS(回路定義!$A:$A,A300,回路定義!$B:$B,M300)=0),"／回路1が定義にない","")&amp;IF(AND(P300&lt;&gt;"",COUNTIFS(回路定義!$A:$A,A300,回路定義!$B:$B,P300)=0),"／回路2が定義にない","")&amp;IF(AND(S300&lt;&gt;"",COUNTIFS(回路定義!$A:$A,A300,回路定義!$B:$B,S300)=0),"／回路3が定義にない",""),2,300)))</f>
        <v/>
      </c>
    </row>
    <row r="301">
      <c r="A301" s="5" t="n"/>
      <c r="B301" s="5" t="n"/>
      <c r="C301" s="5" t="n"/>
      <c r="D301" s="5" t="n"/>
      <c r="E301" s="6">
        <f>IF(C301="","",C301+D301-1)</f>
        <v/>
      </c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6">
        <f>COUNT(N301,Q301,T301)</f>
        <v/>
      </c>
      <c r="Z301" s="6">
        <f>IF(OR(K301="",NOT(ISNUMBER(K301))),"",K301*SUM(N301,Q301,T301))</f>
        <v/>
      </c>
      <c r="AA301" s="6">
        <f>IF(OR(Y301=0,N301=""),"",N301/Y301)</f>
        <v/>
      </c>
      <c r="AB301" s="6">
        <f>IF(OR(Y301=0,Q301=""),"",Q301/Y301)</f>
        <v/>
      </c>
      <c r="AC301" s="6">
        <f>IF(OR(Y301=0,T301=""),"",T301/Y301)</f>
        <v/>
      </c>
      <c r="AD301" s="6">
        <f>IF(F301="","",IF((IF(AND(Y301=0,NOT(SUMPRODUCT(--ISNUMBER(SEARCH({"棚板","棚","アングル","ｱﾝｸﾞﾙ","使用不可","ケーブル","ｹｰﾌﾞﾙ","PatchPnael","パッチ","引き出し","引出","ブランク","ﾌﾞﾗﾝｸ","マネージ","ﾏﾈｰｼﾞ","PDU","ONU"},$F301&amp;"")))&gt;0),NOT(SUMPRODUCT(--ISNUMBER(SEARCH({"電源オフ","未投入","停止","未使用","撤去"},$X301&amp;"")))&gt;0)),"／電力が未記入","")&amp;IF(AND(NOT(ISNUMBER(J301)),NOT(SUMPRODUCT(--ISNUMBER(SEARCH({"棚板","棚","アングル","ｱﾝｸﾞﾙ","使用不可","ケーブル","ｹｰﾌﾞﾙ","PatchPnael","パッチ","引き出し","引出","ブランク","ﾌﾞﾗﾝｸ","マネージ","ﾏﾈｰｼﾞ","PDU","ONU"},$F301&amp;"")))&gt;0)),"／重量が未記入","")&amp;IF(AND(K301&lt;&gt;"",NOT(ISNUMBER(K301))),"／電圧が数値でない","")&amp;IF(AND(N301&lt;&gt;"",NOT(ISNUMBER(N301))),"／電流が数値でない","")&amp;IF(AND(C301&lt;&gt;"",C301&lt;1),"／開始Uが1未満","")&amp;IF(AND(E301&lt;&gt;"",E301&gt;IFERROR(VLOOKUP(A301,ラック定義!$A:$B,2,FALSE),47)),"／総Uをはみ出す","")&amp;IF(AND(A301&lt;&gt;"",COUNTIF(ラック定義!$A:$A,A301)=0),"／ラックが定義にない","")&amp;IF(AND(SUMPRODUCT((機器台帳!$A$2:$A$400=$A301)*((機器台帳!$B$2:$B$400=$B301)+(機器台帳!$B$2:$B$400="両面")+($B301="両面")&gt;0)*(機器台帳!$C$2:$C$400&lt;=$C301+$D301-1)*(機器台帳!$C$2:$C$400+機器台帳!$D$2:$D$400-1&gt;=$C301)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301&amp;"")))&gt;0)),"／同じUに他の機器(横並びなら正常)","")&amp;IF(AND(M301&lt;&gt;"",COUNTIFS(回路定義!$A:$A,A301,回路定義!$B:$B,M301)=0),"／回路1が定義にない","")&amp;IF(AND(P301&lt;&gt;"",COUNTIFS(回路定義!$A:$A,A301,回路定義!$B:$B,P301)=0),"／回路2が定義にない","")&amp;IF(AND(S301&lt;&gt;"",COUNTIFS(回路定義!$A:$A,A301,回路定義!$B:$B,S301)=0),"／回路3が定義にない",""))="","",MID(IF(AND(Y301=0,NOT(SUMPRODUCT(--ISNUMBER(SEARCH({"棚板","棚","アングル","ｱﾝｸﾞﾙ","使用不可","ケーブル","ｹｰﾌﾞﾙ","PatchPnael","パッチ","引き出し","引出","ブランク","ﾌﾞﾗﾝｸ","マネージ","ﾏﾈｰｼﾞ","PDU","ONU"},$F301&amp;"")))&gt;0),NOT(SUMPRODUCT(--ISNUMBER(SEARCH({"電源オフ","未投入","停止","未使用","撤去"},$X301&amp;"")))&gt;0)),"／電力が未記入","")&amp;IF(AND(NOT(ISNUMBER(J301)),NOT(SUMPRODUCT(--ISNUMBER(SEARCH({"棚板","棚","アングル","ｱﾝｸﾞﾙ","使用不可","ケーブル","ｹｰﾌﾞﾙ","PatchPnael","パッチ","引き出し","引出","ブランク","ﾌﾞﾗﾝｸ","マネージ","ﾏﾈｰｼﾞ","PDU","ONU"},$F301&amp;"")))&gt;0)),"／重量が未記入","")&amp;IF(AND(K301&lt;&gt;"",NOT(ISNUMBER(K301))),"／電圧が数値でない","")&amp;IF(AND(N301&lt;&gt;"",NOT(ISNUMBER(N301))),"／電流が数値でない","")&amp;IF(AND(C301&lt;&gt;"",C301&lt;1),"／開始Uが1未満","")&amp;IF(AND(E301&lt;&gt;"",E301&gt;IFERROR(VLOOKUP(A301,ラック定義!$A:$B,2,FALSE),47)),"／総Uをはみ出す","")&amp;IF(AND(A301&lt;&gt;"",COUNTIF(ラック定義!$A:$A,A301)=0),"／ラックが定義にない","")&amp;IF(AND(SUMPRODUCT((機器台帳!$A$2:$A$400=$A301)*((機器台帳!$B$2:$B$400=$B301)+(機器台帳!$B$2:$B$400="両面")+($B301="両面")&gt;0)*(機器台帳!$C$2:$C$400&lt;=$C301+$D301-1)*(機器台帳!$C$2:$C$400+機器台帳!$D$2:$D$400-1&gt;=$C301)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301&amp;"")))&gt;0)),"／同じUに他の機器(横並びなら正常)","")&amp;IF(AND(M301&lt;&gt;"",COUNTIFS(回路定義!$A:$A,A301,回路定義!$B:$B,M301)=0),"／回路1が定義にない","")&amp;IF(AND(P301&lt;&gt;"",COUNTIFS(回路定義!$A:$A,A301,回路定義!$B:$B,P301)=0),"／回路2が定義にない","")&amp;IF(AND(S301&lt;&gt;"",COUNTIFS(回路定義!$A:$A,A301,回路定義!$B:$B,S301)=0),"／回路3が定義にない",""),2,300)))</f>
        <v/>
      </c>
    </row>
    <row r="302">
      <c r="A302" s="5" t="n"/>
      <c r="B302" s="5" t="n"/>
      <c r="C302" s="5" t="n"/>
      <c r="D302" s="5" t="n"/>
      <c r="E302" s="6">
        <f>IF(C302="","",C302+D302-1)</f>
        <v/>
      </c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6">
        <f>COUNT(N302,Q302,T302)</f>
        <v/>
      </c>
      <c r="Z302" s="6">
        <f>IF(OR(K302="",NOT(ISNUMBER(K302))),"",K302*SUM(N302,Q302,T302))</f>
        <v/>
      </c>
      <c r="AA302" s="6">
        <f>IF(OR(Y302=0,N302=""),"",N302/Y302)</f>
        <v/>
      </c>
      <c r="AB302" s="6">
        <f>IF(OR(Y302=0,Q302=""),"",Q302/Y302)</f>
        <v/>
      </c>
      <c r="AC302" s="6">
        <f>IF(OR(Y302=0,T302=""),"",T302/Y302)</f>
        <v/>
      </c>
      <c r="AD302" s="6">
        <f>IF(F302="","",IF((IF(AND(Y302=0,NOT(SUMPRODUCT(--ISNUMBER(SEARCH({"棚板","棚","アングル","ｱﾝｸﾞﾙ","使用不可","ケーブル","ｹｰﾌﾞﾙ","PatchPnael","パッチ","引き出し","引出","ブランク","ﾌﾞﾗﾝｸ","マネージ","ﾏﾈｰｼﾞ","PDU","ONU"},$F302&amp;"")))&gt;0),NOT(SUMPRODUCT(--ISNUMBER(SEARCH({"電源オフ","未投入","停止","未使用","撤去"},$X302&amp;"")))&gt;0)),"／電力が未記入","")&amp;IF(AND(NOT(ISNUMBER(J302)),NOT(SUMPRODUCT(--ISNUMBER(SEARCH({"棚板","棚","アングル","ｱﾝｸﾞﾙ","使用不可","ケーブル","ｹｰﾌﾞﾙ","PatchPnael","パッチ","引き出し","引出","ブランク","ﾌﾞﾗﾝｸ","マネージ","ﾏﾈｰｼﾞ","PDU","ONU"},$F302&amp;"")))&gt;0)),"／重量が未記入","")&amp;IF(AND(K302&lt;&gt;"",NOT(ISNUMBER(K302))),"／電圧が数値でない","")&amp;IF(AND(N302&lt;&gt;"",NOT(ISNUMBER(N302))),"／電流が数値でない","")&amp;IF(AND(C302&lt;&gt;"",C302&lt;1),"／開始Uが1未満","")&amp;IF(AND(E302&lt;&gt;"",E302&gt;IFERROR(VLOOKUP(A302,ラック定義!$A:$B,2,FALSE),47)),"／総Uをはみ出す","")&amp;IF(AND(A302&lt;&gt;"",COUNTIF(ラック定義!$A:$A,A302)=0),"／ラックが定義にない","")&amp;IF(AND(SUMPRODUCT((機器台帳!$A$2:$A$400=$A302)*((機器台帳!$B$2:$B$400=$B302)+(機器台帳!$B$2:$B$400="両面")+($B302="両面")&gt;0)*(機器台帳!$C$2:$C$400&lt;=$C302+$D302-1)*(機器台帳!$C$2:$C$400+機器台帳!$D$2:$D$400-1&gt;=$C302)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302&amp;"")))&gt;0)),"／同じUに他の機器(横並びなら正常)","")&amp;IF(AND(M302&lt;&gt;"",COUNTIFS(回路定義!$A:$A,A302,回路定義!$B:$B,M302)=0),"／回路1が定義にない","")&amp;IF(AND(P302&lt;&gt;"",COUNTIFS(回路定義!$A:$A,A302,回路定義!$B:$B,P302)=0),"／回路2が定義にない","")&amp;IF(AND(S302&lt;&gt;"",COUNTIFS(回路定義!$A:$A,A302,回路定義!$B:$B,S302)=0),"／回路3が定義にない",""))="","",MID(IF(AND(Y302=0,NOT(SUMPRODUCT(--ISNUMBER(SEARCH({"棚板","棚","アングル","ｱﾝｸﾞﾙ","使用不可","ケーブル","ｹｰﾌﾞﾙ","PatchPnael","パッチ","引き出し","引出","ブランク","ﾌﾞﾗﾝｸ","マネージ","ﾏﾈｰｼﾞ","PDU","ONU"},$F302&amp;"")))&gt;0),NOT(SUMPRODUCT(--ISNUMBER(SEARCH({"電源オフ","未投入","停止","未使用","撤去"},$X302&amp;"")))&gt;0)),"／電力が未記入","")&amp;IF(AND(NOT(ISNUMBER(J302)),NOT(SUMPRODUCT(--ISNUMBER(SEARCH({"棚板","棚","アングル","ｱﾝｸﾞﾙ","使用不可","ケーブル","ｹｰﾌﾞﾙ","PatchPnael","パッチ","引き出し","引出","ブランク","ﾌﾞﾗﾝｸ","マネージ","ﾏﾈｰｼﾞ","PDU","ONU"},$F302&amp;"")))&gt;0)),"／重量が未記入","")&amp;IF(AND(K302&lt;&gt;"",NOT(ISNUMBER(K302))),"／電圧が数値でない","")&amp;IF(AND(N302&lt;&gt;"",NOT(ISNUMBER(N302))),"／電流が数値でない","")&amp;IF(AND(C302&lt;&gt;"",C302&lt;1),"／開始Uが1未満","")&amp;IF(AND(E302&lt;&gt;"",E302&gt;IFERROR(VLOOKUP(A302,ラック定義!$A:$B,2,FALSE),47)),"／総Uをはみ出す","")&amp;IF(AND(A302&lt;&gt;"",COUNTIF(ラック定義!$A:$A,A302)=0),"／ラックが定義にない","")&amp;IF(AND(SUMPRODUCT((機器台帳!$A$2:$A$400=$A302)*((機器台帳!$B$2:$B$400=$B302)+(機器台帳!$B$2:$B$400="両面")+($B302="両面")&gt;0)*(機器台帳!$C$2:$C$400&lt;=$C302+$D302-1)*(機器台帳!$C$2:$C$400+機器台帳!$D$2:$D$400-1&gt;=$C302)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302&amp;"")))&gt;0)),"／同じUに他の機器(横並びなら正常)","")&amp;IF(AND(M302&lt;&gt;"",COUNTIFS(回路定義!$A:$A,A302,回路定義!$B:$B,M302)=0),"／回路1が定義にない","")&amp;IF(AND(P302&lt;&gt;"",COUNTIFS(回路定義!$A:$A,A302,回路定義!$B:$B,P302)=0),"／回路2が定義にない","")&amp;IF(AND(S302&lt;&gt;"",COUNTIFS(回路定義!$A:$A,A302,回路定義!$B:$B,S302)=0),"／回路3が定義にない",""),2,300)))</f>
        <v/>
      </c>
    </row>
    <row r="303">
      <c r="A303" s="5" t="n"/>
      <c r="B303" s="5" t="n"/>
      <c r="C303" s="5" t="n"/>
      <c r="D303" s="5" t="n"/>
      <c r="E303" s="6">
        <f>IF(C303="","",C303+D303-1)</f>
        <v/>
      </c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6">
        <f>COUNT(N303,Q303,T303)</f>
        <v/>
      </c>
      <c r="Z303" s="6">
        <f>IF(OR(K303="",NOT(ISNUMBER(K303))),"",K303*SUM(N303,Q303,T303))</f>
        <v/>
      </c>
      <c r="AA303" s="6">
        <f>IF(OR(Y303=0,N303=""),"",N303/Y303)</f>
        <v/>
      </c>
      <c r="AB303" s="6">
        <f>IF(OR(Y303=0,Q303=""),"",Q303/Y303)</f>
        <v/>
      </c>
      <c r="AC303" s="6">
        <f>IF(OR(Y303=0,T303=""),"",T303/Y303)</f>
        <v/>
      </c>
      <c r="AD303" s="6">
        <f>IF(F303="","",IF((IF(AND(Y303=0,NOT(SUMPRODUCT(--ISNUMBER(SEARCH({"棚板","棚","アングル","ｱﾝｸﾞﾙ","使用不可","ケーブル","ｹｰﾌﾞﾙ","PatchPnael","パッチ","引き出し","引出","ブランク","ﾌﾞﾗﾝｸ","マネージ","ﾏﾈｰｼﾞ","PDU","ONU"},$F303&amp;"")))&gt;0),NOT(SUMPRODUCT(--ISNUMBER(SEARCH({"電源オフ","未投入","停止","未使用","撤去"},$X303&amp;"")))&gt;0)),"／電力が未記入","")&amp;IF(AND(NOT(ISNUMBER(J303)),NOT(SUMPRODUCT(--ISNUMBER(SEARCH({"棚板","棚","アングル","ｱﾝｸﾞﾙ","使用不可","ケーブル","ｹｰﾌﾞﾙ","PatchPnael","パッチ","引き出し","引出","ブランク","ﾌﾞﾗﾝｸ","マネージ","ﾏﾈｰｼﾞ","PDU","ONU"},$F303&amp;"")))&gt;0)),"／重量が未記入","")&amp;IF(AND(K303&lt;&gt;"",NOT(ISNUMBER(K303))),"／電圧が数値でない","")&amp;IF(AND(N303&lt;&gt;"",NOT(ISNUMBER(N303))),"／電流が数値でない","")&amp;IF(AND(C303&lt;&gt;"",C303&lt;1),"／開始Uが1未満","")&amp;IF(AND(E303&lt;&gt;"",E303&gt;IFERROR(VLOOKUP(A303,ラック定義!$A:$B,2,FALSE),47)),"／総Uをはみ出す","")&amp;IF(AND(A303&lt;&gt;"",COUNTIF(ラック定義!$A:$A,A303)=0),"／ラックが定義にない","")&amp;IF(AND(SUMPRODUCT((機器台帳!$A$2:$A$400=$A303)*((機器台帳!$B$2:$B$400=$B303)+(機器台帳!$B$2:$B$400="両面")+($B303="両面")&gt;0)*(機器台帳!$C$2:$C$400&lt;=$C303+$D303-1)*(機器台帳!$C$2:$C$400+機器台帳!$D$2:$D$400-1&gt;=$C303)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303&amp;"")))&gt;0)),"／同じUに他の機器(横並びなら正常)","")&amp;IF(AND(M303&lt;&gt;"",COUNTIFS(回路定義!$A:$A,A303,回路定義!$B:$B,M303)=0),"／回路1が定義にない","")&amp;IF(AND(P303&lt;&gt;"",COUNTIFS(回路定義!$A:$A,A303,回路定義!$B:$B,P303)=0),"／回路2が定義にない","")&amp;IF(AND(S303&lt;&gt;"",COUNTIFS(回路定義!$A:$A,A303,回路定義!$B:$B,S303)=0),"／回路3が定義にない",""))="","",MID(IF(AND(Y303=0,NOT(SUMPRODUCT(--ISNUMBER(SEARCH({"棚板","棚","アングル","ｱﾝｸﾞﾙ","使用不可","ケーブル","ｹｰﾌﾞﾙ","PatchPnael","パッチ","引き出し","引出","ブランク","ﾌﾞﾗﾝｸ","マネージ","ﾏﾈｰｼﾞ","PDU","ONU"},$F303&amp;"")))&gt;0),NOT(SUMPRODUCT(--ISNUMBER(SEARCH({"電源オフ","未投入","停止","未使用","撤去"},$X303&amp;"")))&gt;0)),"／電力が未記入","")&amp;IF(AND(NOT(ISNUMBER(J303)),NOT(SUMPRODUCT(--ISNUMBER(SEARCH({"棚板","棚","アングル","ｱﾝｸﾞﾙ","使用不可","ケーブル","ｹｰﾌﾞﾙ","PatchPnael","パッチ","引き出し","引出","ブランク","ﾌﾞﾗﾝｸ","マネージ","ﾏﾈｰｼﾞ","PDU","ONU"},$F303&amp;"")))&gt;0)),"／重量が未記入","")&amp;IF(AND(K303&lt;&gt;"",NOT(ISNUMBER(K303))),"／電圧が数値でない","")&amp;IF(AND(N303&lt;&gt;"",NOT(ISNUMBER(N303))),"／電流が数値でない","")&amp;IF(AND(C303&lt;&gt;"",C303&lt;1),"／開始Uが1未満","")&amp;IF(AND(E303&lt;&gt;"",E303&gt;IFERROR(VLOOKUP(A303,ラック定義!$A:$B,2,FALSE),47)),"／総Uをはみ出す","")&amp;IF(AND(A303&lt;&gt;"",COUNTIF(ラック定義!$A:$A,A303)=0),"／ラックが定義にない","")&amp;IF(AND(SUMPRODUCT((機器台帳!$A$2:$A$400=$A303)*((機器台帳!$B$2:$B$400=$B303)+(機器台帳!$B$2:$B$400="両面")+($B303="両面")&gt;0)*(機器台帳!$C$2:$C$400&lt;=$C303+$D303-1)*(機器台帳!$C$2:$C$400+機器台帳!$D$2:$D$400-1&gt;=$C303)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303&amp;"")))&gt;0)),"／同じUに他の機器(横並びなら正常)","")&amp;IF(AND(M303&lt;&gt;"",COUNTIFS(回路定義!$A:$A,A303,回路定義!$B:$B,M303)=0),"／回路1が定義にない","")&amp;IF(AND(P303&lt;&gt;"",COUNTIFS(回路定義!$A:$A,A303,回路定義!$B:$B,P303)=0),"／回路2が定義にない","")&amp;IF(AND(S303&lt;&gt;"",COUNTIFS(回路定義!$A:$A,A303,回路定義!$B:$B,S303)=0),"／回路3が定義にない",""),2,300)))</f>
        <v/>
      </c>
    </row>
    <row r="304">
      <c r="A304" s="5" t="n"/>
      <c r="B304" s="5" t="n"/>
      <c r="C304" s="5" t="n"/>
      <c r="D304" s="5" t="n"/>
      <c r="E304" s="6">
        <f>IF(C304="","",C304+D304-1)</f>
        <v/>
      </c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6">
        <f>COUNT(N304,Q304,T304)</f>
        <v/>
      </c>
      <c r="Z304" s="6">
        <f>IF(OR(K304="",NOT(ISNUMBER(K304))),"",K304*SUM(N304,Q304,T304))</f>
        <v/>
      </c>
      <c r="AA304" s="6">
        <f>IF(OR(Y304=0,N304=""),"",N304/Y304)</f>
        <v/>
      </c>
      <c r="AB304" s="6">
        <f>IF(OR(Y304=0,Q304=""),"",Q304/Y304)</f>
        <v/>
      </c>
      <c r="AC304" s="6">
        <f>IF(OR(Y304=0,T304=""),"",T304/Y304)</f>
        <v/>
      </c>
      <c r="AD304" s="6">
        <f>IF(F304="","",IF((IF(AND(Y304=0,NOT(SUMPRODUCT(--ISNUMBER(SEARCH({"棚板","棚","アングル","ｱﾝｸﾞﾙ","使用不可","ケーブル","ｹｰﾌﾞﾙ","PatchPnael","パッチ","引き出し","引出","ブランク","ﾌﾞﾗﾝｸ","マネージ","ﾏﾈｰｼﾞ","PDU","ONU"},$F304&amp;"")))&gt;0),NOT(SUMPRODUCT(--ISNUMBER(SEARCH({"電源オフ","未投入","停止","未使用","撤去"},$X304&amp;"")))&gt;0)),"／電力が未記入","")&amp;IF(AND(NOT(ISNUMBER(J304)),NOT(SUMPRODUCT(--ISNUMBER(SEARCH({"棚板","棚","アングル","ｱﾝｸﾞﾙ","使用不可","ケーブル","ｹｰﾌﾞﾙ","PatchPnael","パッチ","引き出し","引出","ブランク","ﾌﾞﾗﾝｸ","マネージ","ﾏﾈｰｼﾞ","PDU","ONU"},$F304&amp;"")))&gt;0)),"／重量が未記入","")&amp;IF(AND(K304&lt;&gt;"",NOT(ISNUMBER(K304))),"／電圧が数値でない","")&amp;IF(AND(N304&lt;&gt;"",NOT(ISNUMBER(N304))),"／電流が数値でない","")&amp;IF(AND(C304&lt;&gt;"",C304&lt;1),"／開始Uが1未満","")&amp;IF(AND(E304&lt;&gt;"",E304&gt;IFERROR(VLOOKUP(A304,ラック定義!$A:$B,2,FALSE),47)),"／総Uをはみ出す","")&amp;IF(AND(A304&lt;&gt;"",COUNTIF(ラック定義!$A:$A,A304)=0),"／ラックが定義にない","")&amp;IF(AND(SUMPRODUCT((機器台帳!$A$2:$A$400=$A304)*((機器台帳!$B$2:$B$400=$B304)+(機器台帳!$B$2:$B$400="両面")+($B304="両面")&gt;0)*(機器台帳!$C$2:$C$400&lt;=$C304+$D304-1)*(機器台帳!$C$2:$C$400+機器台帳!$D$2:$D$400-1&gt;=$C304)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304&amp;"")))&gt;0)),"／同じUに他の機器(横並びなら正常)","")&amp;IF(AND(M304&lt;&gt;"",COUNTIFS(回路定義!$A:$A,A304,回路定義!$B:$B,M304)=0),"／回路1が定義にない","")&amp;IF(AND(P304&lt;&gt;"",COUNTIFS(回路定義!$A:$A,A304,回路定義!$B:$B,P304)=0),"／回路2が定義にない","")&amp;IF(AND(S304&lt;&gt;"",COUNTIFS(回路定義!$A:$A,A304,回路定義!$B:$B,S304)=0),"／回路3が定義にない",""))="","",MID(IF(AND(Y304=0,NOT(SUMPRODUCT(--ISNUMBER(SEARCH({"棚板","棚","アングル","ｱﾝｸﾞﾙ","使用不可","ケーブル","ｹｰﾌﾞﾙ","PatchPnael","パッチ","引き出し","引出","ブランク","ﾌﾞﾗﾝｸ","マネージ","ﾏﾈｰｼﾞ","PDU","ONU"},$F304&amp;"")))&gt;0),NOT(SUMPRODUCT(--ISNUMBER(SEARCH({"電源オフ","未投入","停止","未使用","撤去"},$X304&amp;"")))&gt;0)),"／電力が未記入","")&amp;IF(AND(NOT(ISNUMBER(J304)),NOT(SUMPRODUCT(--ISNUMBER(SEARCH({"棚板","棚","アングル","ｱﾝｸﾞﾙ","使用不可","ケーブル","ｹｰﾌﾞﾙ","PatchPnael","パッチ","引き出し","引出","ブランク","ﾌﾞﾗﾝｸ","マネージ","ﾏﾈｰｼﾞ","PDU","ONU"},$F304&amp;"")))&gt;0)),"／重量が未記入","")&amp;IF(AND(K304&lt;&gt;"",NOT(ISNUMBER(K304))),"／電圧が数値でない","")&amp;IF(AND(N304&lt;&gt;"",NOT(ISNUMBER(N304))),"／電流が数値でない","")&amp;IF(AND(C304&lt;&gt;"",C304&lt;1),"／開始Uが1未満","")&amp;IF(AND(E304&lt;&gt;"",E304&gt;IFERROR(VLOOKUP(A304,ラック定義!$A:$B,2,FALSE),47)),"／総Uをはみ出す","")&amp;IF(AND(A304&lt;&gt;"",COUNTIF(ラック定義!$A:$A,A304)=0),"／ラックが定義にない","")&amp;IF(AND(SUMPRODUCT((機器台帳!$A$2:$A$400=$A304)*((機器台帳!$B$2:$B$400=$B304)+(機器台帳!$B$2:$B$400="両面")+($B304="両面")&gt;0)*(機器台帳!$C$2:$C$400&lt;=$C304+$D304-1)*(機器台帳!$C$2:$C$400+機器台帳!$D$2:$D$400-1&gt;=$C304)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304&amp;"")))&gt;0)),"／同じUに他の機器(横並びなら正常)","")&amp;IF(AND(M304&lt;&gt;"",COUNTIFS(回路定義!$A:$A,A304,回路定義!$B:$B,M304)=0),"／回路1が定義にない","")&amp;IF(AND(P304&lt;&gt;"",COUNTIFS(回路定義!$A:$A,A304,回路定義!$B:$B,P304)=0),"／回路2が定義にない","")&amp;IF(AND(S304&lt;&gt;"",COUNTIFS(回路定義!$A:$A,A304,回路定義!$B:$B,S304)=0),"／回路3が定義にない",""),2,300)))</f>
        <v/>
      </c>
    </row>
    <row r="305">
      <c r="A305" s="5" t="n"/>
      <c r="B305" s="5" t="n"/>
      <c r="C305" s="5" t="n"/>
      <c r="D305" s="5" t="n"/>
      <c r="E305" s="6">
        <f>IF(C305="","",C305+D305-1)</f>
        <v/>
      </c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6">
        <f>COUNT(N305,Q305,T305)</f>
        <v/>
      </c>
      <c r="Z305" s="6">
        <f>IF(OR(K305="",NOT(ISNUMBER(K305))),"",K305*SUM(N305,Q305,T305))</f>
        <v/>
      </c>
      <c r="AA305" s="6">
        <f>IF(OR(Y305=0,N305=""),"",N305/Y305)</f>
        <v/>
      </c>
      <c r="AB305" s="6">
        <f>IF(OR(Y305=0,Q305=""),"",Q305/Y305)</f>
        <v/>
      </c>
      <c r="AC305" s="6">
        <f>IF(OR(Y305=0,T305=""),"",T305/Y305)</f>
        <v/>
      </c>
      <c r="AD305" s="6">
        <f>IF(F305="","",IF((IF(AND(Y305=0,NOT(SUMPRODUCT(--ISNUMBER(SEARCH({"棚板","棚","アングル","ｱﾝｸﾞﾙ","使用不可","ケーブル","ｹｰﾌﾞﾙ","PatchPnael","パッチ","引き出し","引出","ブランク","ﾌﾞﾗﾝｸ","マネージ","ﾏﾈｰｼﾞ","PDU","ONU"},$F305&amp;"")))&gt;0),NOT(SUMPRODUCT(--ISNUMBER(SEARCH({"電源オフ","未投入","停止","未使用","撤去"},$X305&amp;"")))&gt;0)),"／電力が未記入","")&amp;IF(AND(NOT(ISNUMBER(J305)),NOT(SUMPRODUCT(--ISNUMBER(SEARCH({"棚板","棚","アングル","ｱﾝｸﾞﾙ","使用不可","ケーブル","ｹｰﾌﾞﾙ","PatchPnael","パッチ","引き出し","引出","ブランク","ﾌﾞﾗﾝｸ","マネージ","ﾏﾈｰｼﾞ","PDU","ONU"},$F305&amp;"")))&gt;0)),"／重量が未記入","")&amp;IF(AND(K305&lt;&gt;"",NOT(ISNUMBER(K305))),"／電圧が数値でない","")&amp;IF(AND(N305&lt;&gt;"",NOT(ISNUMBER(N305))),"／電流が数値でない","")&amp;IF(AND(C305&lt;&gt;"",C305&lt;1),"／開始Uが1未満","")&amp;IF(AND(E305&lt;&gt;"",E305&gt;IFERROR(VLOOKUP(A305,ラック定義!$A:$B,2,FALSE),47)),"／総Uをはみ出す","")&amp;IF(AND(A305&lt;&gt;"",COUNTIF(ラック定義!$A:$A,A305)=0),"／ラックが定義にない","")&amp;IF(AND(SUMPRODUCT((機器台帳!$A$2:$A$400=$A305)*((機器台帳!$B$2:$B$400=$B305)+(機器台帳!$B$2:$B$400="両面")+($B305="両面")&gt;0)*(機器台帳!$C$2:$C$400&lt;=$C305+$D305-1)*(機器台帳!$C$2:$C$400+機器台帳!$D$2:$D$400-1&gt;=$C305)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305&amp;"")))&gt;0)),"／同じUに他の機器(横並びなら正常)","")&amp;IF(AND(M305&lt;&gt;"",COUNTIFS(回路定義!$A:$A,A305,回路定義!$B:$B,M305)=0),"／回路1が定義にない","")&amp;IF(AND(P305&lt;&gt;"",COUNTIFS(回路定義!$A:$A,A305,回路定義!$B:$B,P305)=0),"／回路2が定義にない","")&amp;IF(AND(S305&lt;&gt;"",COUNTIFS(回路定義!$A:$A,A305,回路定義!$B:$B,S305)=0),"／回路3が定義にない",""))="","",MID(IF(AND(Y305=0,NOT(SUMPRODUCT(--ISNUMBER(SEARCH({"棚板","棚","アングル","ｱﾝｸﾞﾙ","使用不可","ケーブル","ｹｰﾌﾞﾙ","PatchPnael","パッチ","引き出し","引出","ブランク","ﾌﾞﾗﾝｸ","マネージ","ﾏﾈｰｼﾞ","PDU","ONU"},$F305&amp;"")))&gt;0),NOT(SUMPRODUCT(--ISNUMBER(SEARCH({"電源オフ","未投入","停止","未使用","撤去"},$X305&amp;"")))&gt;0)),"／電力が未記入","")&amp;IF(AND(NOT(ISNUMBER(J305)),NOT(SUMPRODUCT(--ISNUMBER(SEARCH({"棚板","棚","アングル","ｱﾝｸﾞﾙ","使用不可","ケーブル","ｹｰﾌﾞﾙ","PatchPnael","パッチ","引き出し","引出","ブランク","ﾌﾞﾗﾝｸ","マネージ","ﾏﾈｰｼﾞ","PDU","ONU"},$F305&amp;"")))&gt;0)),"／重量が未記入","")&amp;IF(AND(K305&lt;&gt;"",NOT(ISNUMBER(K305))),"／電圧が数値でない","")&amp;IF(AND(N305&lt;&gt;"",NOT(ISNUMBER(N305))),"／電流が数値でない","")&amp;IF(AND(C305&lt;&gt;"",C305&lt;1),"／開始Uが1未満","")&amp;IF(AND(E305&lt;&gt;"",E305&gt;IFERROR(VLOOKUP(A305,ラック定義!$A:$B,2,FALSE),47)),"／総Uをはみ出す","")&amp;IF(AND(A305&lt;&gt;"",COUNTIF(ラック定義!$A:$A,A305)=0),"／ラックが定義にない","")&amp;IF(AND(SUMPRODUCT((機器台帳!$A$2:$A$400=$A305)*((機器台帳!$B$2:$B$400=$B305)+(機器台帳!$B$2:$B$400="両面")+($B305="両面")&gt;0)*(機器台帳!$C$2:$C$400&lt;=$C305+$D305-1)*(機器台帳!$C$2:$C$400+機器台帳!$D$2:$D$400-1&gt;=$C305)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305&amp;"")))&gt;0)),"／同じUに他の機器(横並びなら正常)","")&amp;IF(AND(M305&lt;&gt;"",COUNTIFS(回路定義!$A:$A,A305,回路定義!$B:$B,M305)=0),"／回路1が定義にない","")&amp;IF(AND(P305&lt;&gt;"",COUNTIFS(回路定義!$A:$A,A305,回路定義!$B:$B,P305)=0),"／回路2が定義にない","")&amp;IF(AND(S305&lt;&gt;"",COUNTIFS(回路定義!$A:$A,A305,回路定義!$B:$B,S305)=0),"／回路3が定義にない",""),2,300)))</f>
        <v/>
      </c>
    </row>
    <row r="306">
      <c r="A306" s="5" t="n"/>
      <c r="B306" s="5" t="n"/>
      <c r="C306" s="5" t="n"/>
      <c r="D306" s="5" t="n"/>
      <c r="E306" s="6">
        <f>IF(C306="","",C306+D306-1)</f>
        <v/>
      </c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6">
        <f>COUNT(N306,Q306,T306)</f>
        <v/>
      </c>
      <c r="Z306" s="6">
        <f>IF(OR(K306="",NOT(ISNUMBER(K306))),"",K306*SUM(N306,Q306,T306))</f>
        <v/>
      </c>
      <c r="AA306" s="6">
        <f>IF(OR(Y306=0,N306=""),"",N306/Y306)</f>
        <v/>
      </c>
      <c r="AB306" s="6">
        <f>IF(OR(Y306=0,Q306=""),"",Q306/Y306)</f>
        <v/>
      </c>
      <c r="AC306" s="6">
        <f>IF(OR(Y306=0,T306=""),"",T306/Y306)</f>
        <v/>
      </c>
      <c r="AD306" s="6">
        <f>IF(F306="","",IF((IF(AND(Y306=0,NOT(SUMPRODUCT(--ISNUMBER(SEARCH({"棚板","棚","アングル","ｱﾝｸﾞﾙ","使用不可","ケーブル","ｹｰﾌﾞﾙ","PatchPnael","パッチ","引き出し","引出","ブランク","ﾌﾞﾗﾝｸ","マネージ","ﾏﾈｰｼﾞ","PDU","ONU"},$F306&amp;"")))&gt;0),NOT(SUMPRODUCT(--ISNUMBER(SEARCH({"電源オフ","未投入","停止","未使用","撤去"},$X306&amp;"")))&gt;0)),"／電力が未記入","")&amp;IF(AND(NOT(ISNUMBER(J306)),NOT(SUMPRODUCT(--ISNUMBER(SEARCH({"棚板","棚","アングル","ｱﾝｸﾞﾙ","使用不可","ケーブル","ｹｰﾌﾞﾙ","PatchPnael","パッチ","引き出し","引出","ブランク","ﾌﾞﾗﾝｸ","マネージ","ﾏﾈｰｼﾞ","PDU","ONU"},$F306&amp;"")))&gt;0)),"／重量が未記入","")&amp;IF(AND(K306&lt;&gt;"",NOT(ISNUMBER(K306))),"／電圧が数値でない","")&amp;IF(AND(N306&lt;&gt;"",NOT(ISNUMBER(N306))),"／電流が数値でない","")&amp;IF(AND(C306&lt;&gt;"",C306&lt;1),"／開始Uが1未満","")&amp;IF(AND(E306&lt;&gt;"",E306&gt;IFERROR(VLOOKUP(A306,ラック定義!$A:$B,2,FALSE),47)),"／総Uをはみ出す","")&amp;IF(AND(A306&lt;&gt;"",COUNTIF(ラック定義!$A:$A,A306)=0),"／ラックが定義にない","")&amp;IF(AND(SUMPRODUCT((機器台帳!$A$2:$A$400=$A306)*((機器台帳!$B$2:$B$400=$B306)+(機器台帳!$B$2:$B$400="両面")+($B306="両面")&gt;0)*(機器台帳!$C$2:$C$400&lt;=$C306+$D306-1)*(機器台帳!$C$2:$C$400+機器台帳!$D$2:$D$400-1&gt;=$C306)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306&amp;"")))&gt;0)),"／同じUに他の機器(横並びなら正常)","")&amp;IF(AND(M306&lt;&gt;"",COUNTIFS(回路定義!$A:$A,A306,回路定義!$B:$B,M306)=0),"／回路1が定義にない","")&amp;IF(AND(P306&lt;&gt;"",COUNTIFS(回路定義!$A:$A,A306,回路定義!$B:$B,P306)=0),"／回路2が定義にない","")&amp;IF(AND(S306&lt;&gt;"",COUNTIFS(回路定義!$A:$A,A306,回路定義!$B:$B,S306)=0),"／回路3が定義にない",""))="","",MID(IF(AND(Y306=0,NOT(SUMPRODUCT(--ISNUMBER(SEARCH({"棚板","棚","アングル","ｱﾝｸﾞﾙ","使用不可","ケーブル","ｹｰﾌﾞﾙ","PatchPnael","パッチ","引き出し","引出","ブランク","ﾌﾞﾗﾝｸ","マネージ","ﾏﾈｰｼﾞ","PDU","ONU"},$F306&amp;"")))&gt;0),NOT(SUMPRODUCT(--ISNUMBER(SEARCH({"電源オフ","未投入","停止","未使用","撤去"},$X306&amp;"")))&gt;0)),"／電力が未記入","")&amp;IF(AND(NOT(ISNUMBER(J306)),NOT(SUMPRODUCT(--ISNUMBER(SEARCH({"棚板","棚","アングル","ｱﾝｸﾞﾙ","使用不可","ケーブル","ｹｰﾌﾞﾙ","PatchPnael","パッチ","引き出し","引出","ブランク","ﾌﾞﾗﾝｸ","マネージ","ﾏﾈｰｼﾞ","PDU","ONU"},$F306&amp;"")))&gt;0)),"／重量が未記入","")&amp;IF(AND(K306&lt;&gt;"",NOT(ISNUMBER(K306))),"／電圧が数値でない","")&amp;IF(AND(N306&lt;&gt;"",NOT(ISNUMBER(N306))),"／電流が数値でない","")&amp;IF(AND(C306&lt;&gt;"",C306&lt;1),"／開始Uが1未満","")&amp;IF(AND(E306&lt;&gt;"",E306&gt;IFERROR(VLOOKUP(A306,ラック定義!$A:$B,2,FALSE),47)),"／総Uをはみ出す","")&amp;IF(AND(A306&lt;&gt;"",COUNTIF(ラック定義!$A:$A,A306)=0),"／ラックが定義にない","")&amp;IF(AND(SUMPRODUCT((機器台帳!$A$2:$A$400=$A306)*((機器台帳!$B$2:$B$400=$B306)+(機器台帳!$B$2:$B$400="両面")+($B306="両面")&gt;0)*(機器台帳!$C$2:$C$400&lt;=$C306+$D306-1)*(機器台帳!$C$2:$C$400+機器台帳!$D$2:$D$400-1&gt;=$C306)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306&amp;"")))&gt;0)),"／同じUに他の機器(横並びなら正常)","")&amp;IF(AND(M306&lt;&gt;"",COUNTIFS(回路定義!$A:$A,A306,回路定義!$B:$B,M306)=0),"／回路1が定義にない","")&amp;IF(AND(P306&lt;&gt;"",COUNTIFS(回路定義!$A:$A,A306,回路定義!$B:$B,P306)=0),"／回路2が定義にない","")&amp;IF(AND(S306&lt;&gt;"",COUNTIFS(回路定義!$A:$A,A306,回路定義!$B:$B,S306)=0),"／回路3が定義にない",""),2,300)))</f>
        <v/>
      </c>
    </row>
    <row r="307">
      <c r="A307" s="5" t="n"/>
      <c r="B307" s="5" t="n"/>
      <c r="C307" s="5" t="n"/>
      <c r="D307" s="5" t="n"/>
      <c r="E307" s="6">
        <f>IF(C307="","",C307+D307-1)</f>
        <v/>
      </c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6">
        <f>COUNT(N307,Q307,T307)</f>
        <v/>
      </c>
      <c r="Z307" s="6">
        <f>IF(OR(K307="",NOT(ISNUMBER(K307))),"",K307*SUM(N307,Q307,T307))</f>
        <v/>
      </c>
      <c r="AA307" s="6">
        <f>IF(OR(Y307=0,N307=""),"",N307/Y307)</f>
        <v/>
      </c>
      <c r="AB307" s="6">
        <f>IF(OR(Y307=0,Q307=""),"",Q307/Y307)</f>
        <v/>
      </c>
      <c r="AC307" s="6">
        <f>IF(OR(Y307=0,T307=""),"",T307/Y307)</f>
        <v/>
      </c>
      <c r="AD307" s="6">
        <f>IF(F307="","",IF((IF(AND(Y307=0,NOT(SUMPRODUCT(--ISNUMBER(SEARCH({"棚板","棚","アングル","ｱﾝｸﾞﾙ","使用不可","ケーブル","ｹｰﾌﾞﾙ","PatchPnael","パッチ","引き出し","引出","ブランク","ﾌﾞﾗﾝｸ","マネージ","ﾏﾈｰｼﾞ","PDU","ONU"},$F307&amp;"")))&gt;0),NOT(SUMPRODUCT(--ISNUMBER(SEARCH({"電源オフ","未投入","停止","未使用","撤去"},$X307&amp;"")))&gt;0)),"／電力が未記入","")&amp;IF(AND(NOT(ISNUMBER(J307)),NOT(SUMPRODUCT(--ISNUMBER(SEARCH({"棚板","棚","アングル","ｱﾝｸﾞﾙ","使用不可","ケーブル","ｹｰﾌﾞﾙ","PatchPnael","パッチ","引き出し","引出","ブランク","ﾌﾞﾗﾝｸ","マネージ","ﾏﾈｰｼﾞ","PDU","ONU"},$F307&amp;"")))&gt;0)),"／重量が未記入","")&amp;IF(AND(K307&lt;&gt;"",NOT(ISNUMBER(K307))),"／電圧が数値でない","")&amp;IF(AND(N307&lt;&gt;"",NOT(ISNUMBER(N307))),"／電流が数値でない","")&amp;IF(AND(C307&lt;&gt;"",C307&lt;1),"／開始Uが1未満","")&amp;IF(AND(E307&lt;&gt;"",E307&gt;IFERROR(VLOOKUP(A307,ラック定義!$A:$B,2,FALSE),47)),"／総Uをはみ出す","")&amp;IF(AND(A307&lt;&gt;"",COUNTIF(ラック定義!$A:$A,A307)=0),"／ラックが定義にない","")&amp;IF(AND(SUMPRODUCT((機器台帳!$A$2:$A$400=$A307)*((機器台帳!$B$2:$B$400=$B307)+(機器台帳!$B$2:$B$400="両面")+($B307="両面")&gt;0)*(機器台帳!$C$2:$C$400&lt;=$C307+$D307-1)*(機器台帳!$C$2:$C$400+機器台帳!$D$2:$D$400-1&gt;=$C307)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307&amp;"")))&gt;0)),"／同じUに他の機器(横並びなら正常)","")&amp;IF(AND(M307&lt;&gt;"",COUNTIFS(回路定義!$A:$A,A307,回路定義!$B:$B,M307)=0),"／回路1が定義にない","")&amp;IF(AND(P307&lt;&gt;"",COUNTIFS(回路定義!$A:$A,A307,回路定義!$B:$B,P307)=0),"／回路2が定義にない","")&amp;IF(AND(S307&lt;&gt;"",COUNTIFS(回路定義!$A:$A,A307,回路定義!$B:$B,S307)=0),"／回路3が定義にない",""))="","",MID(IF(AND(Y307=0,NOT(SUMPRODUCT(--ISNUMBER(SEARCH({"棚板","棚","アングル","ｱﾝｸﾞﾙ","使用不可","ケーブル","ｹｰﾌﾞﾙ","PatchPnael","パッチ","引き出し","引出","ブランク","ﾌﾞﾗﾝｸ","マネージ","ﾏﾈｰｼﾞ","PDU","ONU"},$F307&amp;"")))&gt;0),NOT(SUMPRODUCT(--ISNUMBER(SEARCH({"電源オフ","未投入","停止","未使用","撤去"},$X307&amp;"")))&gt;0)),"／電力が未記入","")&amp;IF(AND(NOT(ISNUMBER(J307)),NOT(SUMPRODUCT(--ISNUMBER(SEARCH({"棚板","棚","アングル","ｱﾝｸﾞﾙ","使用不可","ケーブル","ｹｰﾌﾞﾙ","PatchPnael","パッチ","引き出し","引出","ブランク","ﾌﾞﾗﾝｸ","マネージ","ﾏﾈｰｼﾞ","PDU","ONU"},$F307&amp;"")))&gt;0)),"／重量が未記入","")&amp;IF(AND(K307&lt;&gt;"",NOT(ISNUMBER(K307))),"／電圧が数値でない","")&amp;IF(AND(N307&lt;&gt;"",NOT(ISNUMBER(N307))),"／電流が数値でない","")&amp;IF(AND(C307&lt;&gt;"",C307&lt;1),"／開始Uが1未満","")&amp;IF(AND(E307&lt;&gt;"",E307&gt;IFERROR(VLOOKUP(A307,ラック定義!$A:$B,2,FALSE),47)),"／総Uをはみ出す","")&amp;IF(AND(A307&lt;&gt;"",COUNTIF(ラック定義!$A:$A,A307)=0),"／ラックが定義にない","")&amp;IF(AND(SUMPRODUCT((機器台帳!$A$2:$A$400=$A307)*((機器台帳!$B$2:$B$400=$B307)+(機器台帳!$B$2:$B$400="両面")+($B307="両面")&gt;0)*(機器台帳!$C$2:$C$400&lt;=$C307+$D307-1)*(機器台帳!$C$2:$C$400+機器台帳!$D$2:$D$400-1&gt;=$C307)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307&amp;"")))&gt;0)),"／同じUに他の機器(横並びなら正常)","")&amp;IF(AND(M307&lt;&gt;"",COUNTIFS(回路定義!$A:$A,A307,回路定義!$B:$B,M307)=0),"／回路1が定義にない","")&amp;IF(AND(P307&lt;&gt;"",COUNTIFS(回路定義!$A:$A,A307,回路定義!$B:$B,P307)=0),"／回路2が定義にない","")&amp;IF(AND(S307&lt;&gt;"",COUNTIFS(回路定義!$A:$A,A307,回路定義!$B:$B,S307)=0),"／回路3が定義にない",""),2,300)))</f>
        <v/>
      </c>
    </row>
    <row r="308">
      <c r="A308" s="5" t="n"/>
      <c r="B308" s="5" t="n"/>
      <c r="C308" s="5" t="n"/>
      <c r="D308" s="5" t="n"/>
      <c r="E308" s="6">
        <f>IF(C308="","",C308+D308-1)</f>
        <v/>
      </c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6">
        <f>COUNT(N308,Q308,T308)</f>
        <v/>
      </c>
      <c r="Z308" s="6">
        <f>IF(OR(K308="",NOT(ISNUMBER(K308))),"",K308*SUM(N308,Q308,T308))</f>
        <v/>
      </c>
      <c r="AA308" s="6">
        <f>IF(OR(Y308=0,N308=""),"",N308/Y308)</f>
        <v/>
      </c>
      <c r="AB308" s="6">
        <f>IF(OR(Y308=0,Q308=""),"",Q308/Y308)</f>
        <v/>
      </c>
      <c r="AC308" s="6">
        <f>IF(OR(Y308=0,T308=""),"",T308/Y308)</f>
        <v/>
      </c>
      <c r="AD308" s="6">
        <f>IF(F308="","",IF((IF(AND(Y308=0,NOT(SUMPRODUCT(--ISNUMBER(SEARCH({"棚板","棚","アングル","ｱﾝｸﾞﾙ","使用不可","ケーブル","ｹｰﾌﾞﾙ","PatchPnael","パッチ","引き出し","引出","ブランク","ﾌﾞﾗﾝｸ","マネージ","ﾏﾈｰｼﾞ","PDU","ONU"},$F308&amp;"")))&gt;0),NOT(SUMPRODUCT(--ISNUMBER(SEARCH({"電源オフ","未投入","停止","未使用","撤去"},$X308&amp;"")))&gt;0)),"／電力が未記入","")&amp;IF(AND(NOT(ISNUMBER(J308)),NOT(SUMPRODUCT(--ISNUMBER(SEARCH({"棚板","棚","アングル","ｱﾝｸﾞﾙ","使用不可","ケーブル","ｹｰﾌﾞﾙ","PatchPnael","パッチ","引き出し","引出","ブランク","ﾌﾞﾗﾝｸ","マネージ","ﾏﾈｰｼﾞ","PDU","ONU"},$F308&amp;"")))&gt;0)),"／重量が未記入","")&amp;IF(AND(K308&lt;&gt;"",NOT(ISNUMBER(K308))),"／電圧が数値でない","")&amp;IF(AND(N308&lt;&gt;"",NOT(ISNUMBER(N308))),"／電流が数値でない","")&amp;IF(AND(C308&lt;&gt;"",C308&lt;1),"／開始Uが1未満","")&amp;IF(AND(E308&lt;&gt;"",E308&gt;IFERROR(VLOOKUP(A308,ラック定義!$A:$B,2,FALSE),47)),"／総Uをはみ出す","")&amp;IF(AND(A308&lt;&gt;"",COUNTIF(ラック定義!$A:$A,A308)=0),"／ラックが定義にない","")&amp;IF(AND(SUMPRODUCT((機器台帳!$A$2:$A$400=$A308)*((機器台帳!$B$2:$B$400=$B308)+(機器台帳!$B$2:$B$400="両面")+($B308="両面")&gt;0)*(機器台帳!$C$2:$C$400&lt;=$C308+$D308-1)*(機器台帳!$C$2:$C$400+機器台帳!$D$2:$D$400-1&gt;=$C308)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308&amp;"")))&gt;0)),"／同じUに他の機器(横並びなら正常)","")&amp;IF(AND(M308&lt;&gt;"",COUNTIFS(回路定義!$A:$A,A308,回路定義!$B:$B,M308)=0),"／回路1が定義にない","")&amp;IF(AND(P308&lt;&gt;"",COUNTIFS(回路定義!$A:$A,A308,回路定義!$B:$B,P308)=0),"／回路2が定義にない","")&amp;IF(AND(S308&lt;&gt;"",COUNTIFS(回路定義!$A:$A,A308,回路定義!$B:$B,S308)=0),"／回路3が定義にない",""))="","",MID(IF(AND(Y308=0,NOT(SUMPRODUCT(--ISNUMBER(SEARCH({"棚板","棚","アングル","ｱﾝｸﾞﾙ","使用不可","ケーブル","ｹｰﾌﾞﾙ","PatchPnael","パッチ","引き出し","引出","ブランク","ﾌﾞﾗﾝｸ","マネージ","ﾏﾈｰｼﾞ","PDU","ONU"},$F308&amp;"")))&gt;0),NOT(SUMPRODUCT(--ISNUMBER(SEARCH({"電源オフ","未投入","停止","未使用","撤去"},$X308&amp;"")))&gt;0)),"／電力が未記入","")&amp;IF(AND(NOT(ISNUMBER(J308)),NOT(SUMPRODUCT(--ISNUMBER(SEARCH({"棚板","棚","アングル","ｱﾝｸﾞﾙ","使用不可","ケーブル","ｹｰﾌﾞﾙ","PatchPnael","パッチ","引き出し","引出","ブランク","ﾌﾞﾗﾝｸ","マネージ","ﾏﾈｰｼﾞ","PDU","ONU"},$F308&amp;"")))&gt;0)),"／重量が未記入","")&amp;IF(AND(K308&lt;&gt;"",NOT(ISNUMBER(K308))),"／電圧が数値でない","")&amp;IF(AND(N308&lt;&gt;"",NOT(ISNUMBER(N308))),"／電流が数値でない","")&amp;IF(AND(C308&lt;&gt;"",C308&lt;1),"／開始Uが1未満","")&amp;IF(AND(E308&lt;&gt;"",E308&gt;IFERROR(VLOOKUP(A308,ラック定義!$A:$B,2,FALSE),47)),"／総Uをはみ出す","")&amp;IF(AND(A308&lt;&gt;"",COUNTIF(ラック定義!$A:$A,A308)=0),"／ラックが定義にない","")&amp;IF(AND(SUMPRODUCT((機器台帳!$A$2:$A$400=$A308)*((機器台帳!$B$2:$B$400=$B308)+(機器台帳!$B$2:$B$400="両面")+($B308="両面")&gt;0)*(機器台帳!$C$2:$C$400&lt;=$C308+$D308-1)*(機器台帳!$C$2:$C$400+機器台帳!$D$2:$D$400-1&gt;=$C308)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308&amp;"")))&gt;0)),"／同じUに他の機器(横並びなら正常)","")&amp;IF(AND(M308&lt;&gt;"",COUNTIFS(回路定義!$A:$A,A308,回路定義!$B:$B,M308)=0),"／回路1が定義にない","")&amp;IF(AND(P308&lt;&gt;"",COUNTIFS(回路定義!$A:$A,A308,回路定義!$B:$B,P308)=0),"／回路2が定義にない","")&amp;IF(AND(S308&lt;&gt;"",COUNTIFS(回路定義!$A:$A,A308,回路定義!$B:$B,S308)=0),"／回路3が定義にない",""),2,300)))</f>
        <v/>
      </c>
    </row>
    <row r="309">
      <c r="A309" s="5" t="n"/>
      <c r="B309" s="5" t="n"/>
      <c r="C309" s="5" t="n"/>
      <c r="D309" s="5" t="n"/>
      <c r="E309" s="6">
        <f>IF(C309="","",C309+D309-1)</f>
        <v/>
      </c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6">
        <f>COUNT(N309,Q309,T309)</f>
        <v/>
      </c>
      <c r="Z309" s="6">
        <f>IF(OR(K309="",NOT(ISNUMBER(K309))),"",K309*SUM(N309,Q309,T309))</f>
        <v/>
      </c>
      <c r="AA309" s="6">
        <f>IF(OR(Y309=0,N309=""),"",N309/Y309)</f>
        <v/>
      </c>
      <c r="AB309" s="6">
        <f>IF(OR(Y309=0,Q309=""),"",Q309/Y309)</f>
        <v/>
      </c>
      <c r="AC309" s="6">
        <f>IF(OR(Y309=0,T309=""),"",T309/Y309)</f>
        <v/>
      </c>
      <c r="AD309" s="6">
        <f>IF(F309="","",IF((IF(AND(Y309=0,NOT(SUMPRODUCT(--ISNUMBER(SEARCH({"棚板","棚","アングル","ｱﾝｸﾞﾙ","使用不可","ケーブル","ｹｰﾌﾞﾙ","PatchPnael","パッチ","引き出し","引出","ブランク","ﾌﾞﾗﾝｸ","マネージ","ﾏﾈｰｼﾞ","PDU","ONU"},$F309&amp;"")))&gt;0),NOT(SUMPRODUCT(--ISNUMBER(SEARCH({"電源オフ","未投入","停止","未使用","撤去"},$X309&amp;"")))&gt;0)),"／電力が未記入","")&amp;IF(AND(NOT(ISNUMBER(J309)),NOT(SUMPRODUCT(--ISNUMBER(SEARCH({"棚板","棚","アングル","ｱﾝｸﾞﾙ","使用不可","ケーブル","ｹｰﾌﾞﾙ","PatchPnael","パッチ","引き出し","引出","ブランク","ﾌﾞﾗﾝｸ","マネージ","ﾏﾈｰｼﾞ","PDU","ONU"},$F309&amp;"")))&gt;0)),"／重量が未記入","")&amp;IF(AND(K309&lt;&gt;"",NOT(ISNUMBER(K309))),"／電圧が数値でない","")&amp;IF(AND(N309&lt;&gt;"",NOT(ISNUMBER(N309))),"／電流が数値でない","")&amp;IF(AND(C309&lt;&gt;"",C309&lt;1),"／開始Uが1未満","")&amp;IF(AND(E309&lt;&gt;"",E309&gt;IFERROR(VLOOKUP(A309,ラック定義!$A:$B,2,FALSE),47)),"／総Uをはみ出す","")&amp;IF(AND(A309&lt;&gt;"",COUNTIF(ラック定義!$A:$A,A309)=0),"／ラックが定義にない","")&amp;IF(AND(SUMPRODUCT((機器台帳!$A$2:$A$400=$A309)*((機器台帳!$B$2:$B$400=$B309)+(機器台帳!$B$2:$B$400="両面")+($B309="両面")&gt;0)*(機器台帳!$C$2:$C$400&lt;=$C309+$D309-1)*(機器台帳!$C$2:$C$400+機器台帳!$D$2:$D$400-1&gt;=$C309)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309&amp;"")))&gt;0)),"／同じUに他の機器(横並びなら正常)","")&amp;IF(AND(M309&lt;&gt;"",COUNTIFS(回路定義!$A:$A,A309,回路定義!$B:$B,M309)=0),"／回路1が定義にない","")&amp;IF(AND(P309&lt;&gt;"",COUNTIFS(回路定義!$A:$A,A309,回路定義!$B:$B,P309)=0),"／回路2が定義にない","")&amp;IF(AND(S309&lt;&gt;"",COUNTIFS(回路定義!$A:$A,A309,回路定義!$B:$B,S309)=0),"／回路3が定義にない",""))="","",MID(IF(AND(Y309=0,NOT(SUMPRODUCT(--ISNUMBER(SEARCH({"棚板","棚","アングル","ｱﾝｸﾞﾙ","使用不可","ケーブル","ｹｰﾌﾞﾙ","PatchPnael","パッチ","引き出し","引出","ブランク","ﾌﾞﾗﾝｸ","マネージ","ﾏﾈｰｼﾞ","PDU","ONU"},$F309&amp;"")))&gt;0),NOT(SUMPRODUCT(--ISNUMBER(SEARCH({"電源オフ","未投入","停止","未使用","撤去"},$X309&amp;"")))&gt;0)),"／電力が未記入","")&amp;IF(AND(NOT(ISNUMBER(J309)),NOT(SUMPRODUCT(--ISNUMBER(SEARCH({"棚板","棚","アングル","ｱﾝｸﾞﾙ","使用不可","ケーブル","ｹｰﾌﾞﾙ","PatchPnael","パッチ","引き出し","引出","ブランク","ﾌﾞﾗﾝｸ","マネージ","ﾏﾈｰｼﾞ","PDU","ONU"},$F309&amp;"")))&gt;0)),"／重量が未記入","")&amp;IF(AND(K309&lt;&gt;"",NOT(ISNUMBER(K309))),"／電圧が数値でない","")&amp;IF(AND(N309&lt;&gt;"",NOT(ISNUMBER(N309))),"／電流が数値でない","")&amp;IF(AND(C309&lt;&gt;"",C309&lt;1),"／開始Uが1未満","")&amp;IF(AND(E309&lt;&gt;"",E309&gt;IFERROR(VLOOKUP(A309,ラック定義!$A:$B,2,FALSE),47)),"／総Uをはみ出す","")&amp;IF(AND(A309&lt;&gt;"",COUNTIF(ラック定義!$A:$A,A309)=0),"／ラックが定義にない","")&amp;IF(AND(SUMPRODUCT((機器台帳!$A$2:$A$400=$A309)*((機器台帳!$B$2:$B$400=$B309)+(機器台帳!$B$2:$B$400="両面")+($B309="両面")&gt;0)*(機器台帳!$C$2:$C$400&lt;=$C309+$D309-1)*(機器台帳!$C$2:$C$400+機器台帳!$D$2:$D$400-1&gt;=$C309)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309&amp;"")))&gt;0)),"／同じUに他の機器(横並びなら正常)","")&amp;IF(AND(M309&lt;&gt;"",COUNTIFS(回路定義!$A:$A,A309,回路定義!$B:$B,M309)=0),"／回路1が定義にない","")&amp;IF(AND(P309&lt;&gt;"",COUNTIFS(回路定義!$A:$A,A309,回路定義!$B:$B,P309)=0),"／回路2が定義にない","")&amp;IF(AND(S309&lt;&gt;"",COUNTIFS(回路定義!$A:$A,A309,回路定義!$B:$B,S309)=0),"／回路3が定義にない",""),2,300)))</f>
        <v/>
      </c>
    </row>
    <row r="310">
      <c r="A310" s="5" t="n"/>
      <c r="B310" s="5" t="n"/>
      <c r="C310" s="5" t="n"/>
      <c r="D310" s="5" t="n"/>
      <c r="E310" s="6">
        <f>IF(C310="","",C310+D310-1)</f>
        <v/>
      </c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6">
        <f>COUNT(N310,Q310,T310)</f>
        <v/>
      </c>
      <c r="Z310" s="6">
        <f>IF(OR(K310="",NOT(ISNUMBER(K310))),"",K310*SUM(N310,Q310,T310))</f>
        <v/>
      </c>
      <c r="AA310" s="6">
        <f>IF(OR(Y310=0,N310=""),"",N310/Y310)</f>
        <v/>
      </c>
      <c r="AB310" s="6">
        <f>IF(OR(Y310=0,Q310=""),"",Q310/Y310)</f>
        <v/>
      </c>
      <c r="AC310" s="6">
        <f>IF(OR(Y310=0,T310=""),"",T310/Y310)</f>
        <v/>
      </c>
      <c r="AD310" s="6">
        <f>IF(F310="","",IF((IF(AND(Y310=0,NOT(SUMPRODUCT(--ISNUMBER(SEARCH({"棚板","棚","アングル","ｱﾝｸﾞﾙ","使用不可","ケーブル","ｹｰﾌﾞﾙ","PatchPnael","パッチ","引き出し","引出","ブランク","ﾌﾞﾗﾝｸ","マネージ","ﾏﾈｰｼﾞ","PDU","ONU"},$F310&amp;"")))&gt;0),NOT(SUMPRODUCT(--ISNUMBER(SEARCH({"電源オフ","未投入","停止","未使用","撤去"},$X310&amp;"")))&gt;0)),"／電力が未記入","")&amp;IF(AND(NOT(ISNUMBER(J310)),NOT(SUMPRODUCT(--ISNUMBER(SEARCH({"棚板","棚","アングル","ｱﾝｸﾞﾙ","使用不可","ケーブル","ｹｰﾌﾞﾙ","PatchPnael","パッチ","引き出し","引出","ブランク","ﾌﾞﾗﾝｸ","マネージ","ﾏﾈｰｼﾞ","PDU","ONU"},$F310&amp;"")))&gt;0)),"／重量が未記入","")&amp;IF(AND(K310&lt;&gt;"",NOT(ISNUMBER(K310))),"／電圧が数値でない","")&amp;IF(AND(N310&lt;&gt;"",NOT(ISNUMBER(N310))),"／電流が数値でない","")&amp;IF(AND(C310&lt;&gt;"",C310&lt;1),"／開始Uが1未満","")&amp;IF(AND(E310&lt;&gt;"",E310&gt;IFERROR(VLOOKUP(A310,ラック定義!$A:$B,2,FALSE),47)),"／総Uをはみ出す","")&amp;IF(AND(A310&lt;&gt;"",COUNTIF(ラック定義!$A:$A,A310)=0),"／ラックが定義にない","")&amp;IF(AND(SUMPRODUCT((機器台帳!$A$2:$A$400=$A310)*((機器台帳!$B$2:$B$400=$B310)+(機器台帳!$B$2:$B$400="両面")+($B310="両面")&gt;0)*(機器台帳!$C$2:$C$400&lt;=$C310+$D310-1)*(機器台帳!$C$2:$C$400+機器台帳!$D$2:$D$400-1&gt;=$C310)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310&amp;"")))&gt;0)),"／同じUに他の機器(横並びなら正常)","")&amp;IF(AND(M310&lt;&gt;"",COUNTIFS(回路定義!$A:$A,A310,回路定義!$B:$B,M310)=0),"／回路1が定義にない","")&amp;IF(AND(P310&lt;&gt;"",COUNTIFS(回路定義!$A:$A,A310,回路定義!$B:$B,P310)=0),"／回路2が定義にない","")&amp;IF(AND(S310&lt;&gt;"",COUNTIFS(回路定義!$A:$A,A310,回路定義!$B:$B,S310)=0),"／回路3が定義にない",""))="","",MID(IF(AND(Y310=0,NOT(SUMPRODUCT(--ISNUMBER(SEARCH({"棚板","棚","アングル","ｱﾝｸﾞﾙ","使用不可","ケーブル","ｹｰﾌﾞﾙ","PatchPnael","パッチ","引き出し","引出","ブランク","ﾌﾞﾗﾝｸ","マネージ","ﾏﾈｰｼﾞ","PDU","ONU"},$F310&amp;"")))&gt;0),NOT(SUMPRODUCT(--ISNUMBER(SEARCH({"電源オフ","未投入","停止","未使用","撤去"},$X310&amp;"")))&gt;0)),"／電力が未記入","")&amp;IF(AND(NOT(ISNUMBER(J310)),NOT(SUMPRODUCT(--ISNUMBER(SEARCH({"棚板","棚","アングル","ｱﾝｸﾞﾙ","使用不可","ケーブル","ｹｰﾌﾞﾙ","PatchPnael","パッチ","引き出し","引出","ブランク","ﾌﾞﾗﾝｸ","マネージ","ﾏﾈｰｼﾞ","PDU","ONU"},$F310&amp;"")))&gt;0)),"／重量が未記入","")&amp;IF(AND(K310&lt;&gt;"",NOT(ISNUMBER(K310))),"／電圧が数値でない","")&amp;IF(AND(N310&lt;&gt;"",NOT(ISNUMBER(N310))),"／電流が数値でない","")&amp;IF(AND(C310&lt;&gt;"",C310&lt;1),"／開始Uが1未満","")&amp;IF(AND(E310&lt;&gt;"",E310&gt;IFERROR(VLOOKUP(A310,ラック定義!$A:$B,2,FALSE),47)),"／総Uをはみ出す","")&amp;IF(AND(A310&lt;&gt;"",COUNTIF(ラック定義!$A:$A,A310)=0),"／ラックが定義にない","")&amp;IF(AND(SUMPRODUCT((機器台帳!$A$2:$A$400=$A310)*((機器台帳!$B$2:$B$400=$B310)+(機器台帳!$B$2:$B$400="両面")+($B310="両面")&gt;0)*(機器台帳!$C$2:$C$400&lt;=$C310+$D310-1)*(機器台帳!$C$2:$C$400+機器台帳!$D$2:$D$400-1&gt;=$C310)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310&amp;"")))&gt;0)),"／同じUに他の機器(横並びなら正常)","")&amp;IF(AND(M310&lt;&gt;"",COUNTIFS(回路定義!$A:$A,A310,回路定義!$B:$B,M310)=0),"／回路1が定義にない","")&amp;IF(AND(P310&lt;&gt;"",COUNTIFS(回路定義!$A:$A,A310,回路定義!$B:$B,P310)=0),"／回路2が定義にない","")&amp;IF(AND(S310&lt;&gt;"",COUNTIFS(回路定義!$A:$A,A310,回路定義!$B:$B,S310)=0),"／回路3が定義にない",""),2,300)))</f>
        <v/>
      </c>
    </row>
    <row r="311">
      <c r="A311" s="5" t="n"/>
      <c r="B311" s="5" t="n"/>
      <c r="C311" s="5" t="n"/>
      <c r="D311" s="5" t="n"/>
      <c r="E311" s="6">
        <f>IF(C311="","",C311+D311-1)</f>
        <v/>
      </c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6">
        <f>COUNT(N311,Q311,T311)</f>
        <v/>
      </c>
      <c r="Z311" s="6">
        <f>IF(OR(K311="",NOT(ISNUMBER(K311))),"",K311*SUM(N311,Q311,T311))</f>
        <v/>
      </c>
      <c r="AA311" s="6">
        <f>IF(OR(Y311=0,N311=""),"",N311/Y311)</f>
        <v/>
      </c>
      <c r="AB311" s="6">
        <f>IF(OR(Y311=0,Q311=""),"",Q311/Y311)</f>
        <v/>
      </c>
      <c r="AC311" s="6">
        <f>IF(OR(Y311=0,T311=""),"",T311/Y311)</f>
        <v/>
      </c>
      <c r="AD311" s="6">
        <f>IF(F311="","",IF((IF(AND(Y311=0,NOT(SUMPRODUCT(--ISNUMBER(SEARCH({"棚板","棚","アングル","ｱﾝｸﾞﾙ","使用不可","ケーブル","ｹｰﾌﾞﾙ","PatchPnael","パッチ","引き出し","引出","ブランク","ﾌﾞﾗﾝｸ","マネージ","ﾏﾈｰｼﾞ","PDU","ONU"},$F311&amp;"")))&gt;0),NOT(SUMPRODUCT(--ISNUMBER(SEARCH({"電源オフ","未投入","停止","未使用","撤去"},$X311&amp;"")))&gt;0)),"／電力が未記入","")&amp;IF(AND(NOT(ISNUMBER(J311)),NOT(SUMPRODUCT(--ISNUMBER(SEARCH({"棚板","棚","アングル","ｱﾝｸﾞﾙ","使用不可","ケーブル","ｹｰﾌﾞﾙ","PatchPnael","パッチ","引き出し","引出","ブランク","ﾌﾞﾗﾝｸ","マネージ","ﾏﾈｰｼﾞ","PDU","ONU"},$F311&amp;"")))&gt;0)),"／重量が未記入","")&amp;IF(AND(K311&lt;&gt;"",NOT(ISNUMBER(K311))),"／電圧が数値でない","")&amp;IF(AND(N311&lt;&gt;"",NOT(ISNUMBER(N311))),"／電流が数値でない","")&amp;IF(AND(C311&lt;&gt;"",C311&lt;1),"／開始Uが1未満","")&amp;IF(AND(E311&lt;&gt;"",E311&gt;IFERROR(VLOOKUP(A311,ラック定義!$A:$B,2,FALSE),47)),"／総Uをはみ出す","")&amp;IF(AND(A311&lt;&gt;"",COUNTIF(ラック定義!$A:$A,A311)=0),"／ラックが定義にない","")&amp;IF(AND(SUMPRODUCT((機器台帳!$A$2:$A$400=$A311)*((機器台帳!$B$2:$B$400=$B311)+(機器台帳!$B$2:$B$400="両面")+($B311="両面")&gt;0)*(機器台帳!$C$2:$C$400&lt;=$C311+$D311-1)*(機器台帳!$C$2:$C$400+機器台帳!$D$2:$D$400-1&gt;=$C311)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311&amp;"")))&gt;0)),"／同じUに他の機器(横並びなら正常)","")&amp;IF(AND(M311&lt;&gt;"",COUNTIFS(回路定義!$A:$A,A311,回路定義!$B:$B,M311)=0),"／回路1が定義にない","")&amp;IF(AND(P311&lt;&gt;"",COUNTIFS(回路定義!$A:$A,A311,回路定義!$B:$B,P311)=0),"／回路2が定義にない","")&amp;IF(AND(S311&lt;&gt;"",COUNTIFS(回路定義!$A:$A,A311,回路定義!$B:$B,S311)=0),"／回路3が定義にない",""))="","",MID(IF(AND(Y311=0,NOT(SUMPRODUCT(--ISNUMBER(SEARCH({"棚板","棚","アングル","ｱﾝｸﾞﾙ","使用不可","ケーブル","ｹｰﾌﾞﾙ","PatchPnael","パッチ","引き出し","引出","ブランク","ﾌﾞﾗﾝｸ","マネージ","ﾏﾈｰｼﾞ","PDU","ONU"},$F311&amp;"")))&gt;0),NOT(SUMPRODUCT(--ISNUMBER(SEARCH({"電源オフ","未投入","停止","未使用","撤去"},$X311&amp;"")))&gt;0)),"／電力が未記入","")&amp;IF(AND(NOT(ISNUMBER(J311)),NOT(SUMPRODUCT(--ISNUMBER(SEARCH({"棚板","棚","アングル","ｱﾝｸﾞﾙ","使用不可","ケーブル","ｹｰﾌﾞﾙ","PatchPnael","パッチ","引き出し","引出","ブランク","ﾌﾞﾗﾝｸ","マネージ","ﾏﾈｰｼﾞ","PDU","ONU"},$F311&amp;"")))&gt;0)),"／重量が未記入","")&amp;IF(AND(K311&lt;&gt;"",NOT(ISNUMBER(K311))),"／電圧が数値でない","")&amp;IF(AND(N311&lt;&gt;"",NOT(ISNUMBER(N311))),"／電流が数値でない","")&amp;IF(AND(C311&lt;&gt;"",C311&lt;1),"／開始Uが1未満","")&amp;IF(AND(E311&lt;&gt;"",E311&gt;IFERROR(VLOOKUP(A311,ラック定義!$A:$B,2,FALSE),47)),"／総Uをはみ出す","")&amp;IF(AND(A311&lt;&gt;"",COUNTIF(ラック定義!$A:$A,A311)=0),"／ラックが定義にない","")&amp;IF(AND(SUMPRODUCT((機器台帳!$A$2:$A$400=$A311)*((機器台帳!$B$2:$B$400=$B311)+(機器台帳!$B$2:$B$400="両面")+($B311="両面")&gt;0)*(機器台帳!$C$2:$C$400&lt;=$C311+$D311-1)*(機器台帳!$C$2:$C$400+機器台帳!$D$2:$D$400-1&gt;=$C311)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311&amp;"")))&gt;0)),"／同じUに他の機器(横並びなら正常)","")&amp;IF(AND(M311&lt;&gt;"",COUNTIFS(回路定義!$A:$A,A311,回路定義!$B:$B,M311)=0),"／回路1が定義にない","")&amp;IF(AND(P311&lt;&gt;"",COUNTIFS(回路定義!$A:$A,A311,回路定義!$B:$B,P311)=0),"／回路2が定義にない","")&amp;IF(AND(S311&lt;&gt;"",COUNTIFS(回路定義!$A:$A,A311,回路定義!$B:$B,S311)=0),"／回路3が定義にない",""),2,300)))</f>
        <v/>
      </c>
    </row>
    <row r="312">
      <c r="A312" s="5" t="n"/>
      <c r="B312" s="5" t="n"/>
      <c r="C312" s="5" t="n"/>
      <c r="D312" s="5" t="n"/>
      <c r="E312" s="6">
        <f>IF(C312="","",C312+D312-1)</f>
        <v/>
      </c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6">
        <f>COUNT(N312,Q312,T312)</f>
        <v/>
      </c>
      <c r="Z312" s="6">
        <f>IF(OR(K312="",NOT(ISNUMBER(K312))),"",K312*SUM(N312,Q312,T312))</f>
        <v/>
      </c>
      <c r="AA312" s="6">
        <f>IF(OR(Y312=0,N312=""),"",N312/Y312)</f>
        <v/>
      </c>
      <c r="AB312" s="6">
        <f>IF(OR(Y312=0,Q312=""),"",Q312/Y312)</f>
        <v/>
      </c>
      <c r="AC312" s="6">
        <f>IF(OR(Y312=0,T312=""),"",T312/Y312)</f>
        <v/>
      </c>
      <c r="AD312" s="6">
        <f>IF(F312="","",IF((IF(AND(Y312=0,NOT(SUMPRODUCT(--ISNUMBER(SEARCH({"棚板","棚","アングル","ｱﾝｸﾞﾙ","使用不可","ケーブル","ｹｰﾌﾞﾙ","PatchPnael","パッチ","引き出し","引出","ブランク","ﾌﾞﾗﾝｸ","マネージ","ﾏﾈｰｼﾞ","PDU","ONU"},$F312&amp;"")))&gt;0),NOT(SUMPRODUCT(--ISNUMBER(SEARCH({"電源オフ","未投入","停止","未使用","撤去"},$X312&amp;"")))&gt;0)),"／電力が未記入","")&amp;IF(AND(NOT(ISNUMBER(J312)),NOT(SUMPRODUCT(--ISNUMBER(SEARCH({"棚板","棚","アングル","ｱﾝｸﾞﾙ","使用不可","ケーブル","ｹｰﾌﾞﾙ","PatchPnael","パッチ","引き出し","引出","ブランク","ﾌﾞﾗﾝｸ","マネージ","ﾏﾈｰｼﾞ","PDU","ONU"},$F312&amp;"")))&gt;0)),"／重量が未記入","")&amp;IF(AND(K312&lt;&gt;"",NOT(ISNUMBER(K312))),"／電圧が数値でない","")&amp;IF(AND(N312&lt;&gt;"",NOT(ISNUMBER(N312))),"／電流が数値でない","")&amp;IF(AND(C312&lt;&gt;"",C312&lt;1),"／開始Uが1未満","")&amp;IF(AND(E312&lt;&gt;"",E312&gt;IFERROR(VLOOKUP(A312,ラック定義!$A:$B,2,FALSE),47)),"／総Uをはみ出す","")&amp;IF(AND(A312&lt;&gt;"",COUNTIF(ラック定義!$A:$A,A312)=0),"／ラックが定義にない","")&amp;IF(AND(SUMPRODUCT((機器台帳!$A$2:$A$400=$A312)*((機器台帳!$B$2:$B$400=$B312)+(機器台帳!$B$2:$B$400="両面")+($B312="両面")&gt;0)*(機器台帳!$C$2:$C$400&lt;=$C312+$D312-1)*(機器台帳!$C$2:$C$400+機器台帳!$D$2:$D$400-1&gt;=$C312)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312&amp;"")))&gt;0)),"／同じUに他の機器(横並びなら正常)","")&amp;IF(AND(M312&lt;&gt;"",COUNTIFS(回路定義!$A:$A,A312,回路定義!$B:$B,M312)=0),"／回路1が定義にない","")&amp;IF(AND(P312&lt;&gt;"",COUNTIFS(回路定義!$A:$A,A312,回路定義!$B:$B,P312)=0),"／回路2が定義にない","")&amp;IF(AND(S312&lt;&gt;"",COUNTIFS(回路定義!$A:$A,A312,回路定義!$B:$B,S312)=0),"／回路3が定義にない",""))="","",MID(IF(AND(Y312=0,NOT(SUMPRODUCT(--ISNUMBER(SEARCH({"棚板","棚","アングル","ｱﾝｸﾞﾙ","使用不可","ケーブル","ｹｰﾌﾞﾙ","PatchPnael","パッチ","引き出し","引出","ブランク","ﾌﾞﾗﾝｸ","マネージ","ﾏﾈｰｼﾞ","PDU","ONU"},$F312&amp;"")))&gt;0),NOT(SUMPRODUCT(--ISNUMBER(SEARCH({"電源オフ","未投入","停止","未使用","撤去"},$X312&amp;"")))&gt;0)),"／電力が未記入","")&amp;IF(AND(NOT(ISNUMBER(J312)),NOT(SUMPRODUCT(--ISNUMBER(SEARCH({"棚板","棚","アングル","ｱﾝｸﾞﾙ","使用不可","ケーブル","ｹｰﾌﾞﾙ","PatchPnael","パッチ","引き出し","引出","ブランク","ﾌﾞﾗﾝｸ","マネージ","ﾏﾈｰｼﾞ","PDU","ONU"},$F312&amp;"")))&gt;0)),"／重量が未記入","")&amp;IF(AND(K312&lt;&gt;"",NOT(ISNUMBER(K312))),"／電圧が数値でない","")&amp;IF(AND(N312&lt;&gt;"",NOT(ISNUMBER(N312))),"／電流が数値でない","")&amp;IF(AND(C312&lt;&gt;"",C312&lt;1),"／開始Uが1未満","")&amp;IF(AND(E312&lt;&gt;"",E312&gt;IFERROR(VLOOKUP(A312,ラック定義!$A:$B,2,FALSE),47)),"／総Uをはみ出す","")&amp;IF(AND(A312&lt;&gt;"",COUNTIF(ラック定義!$A:$A,A312)=0),"／ラックが定義にない","")&amp;IF(AND(SUMPRODUCT((機器台帳!$A$2:$A$400=$A312)*((機器台帳!$B$2:$B$400=$B312)+(機器台帳!$B$2:$B$400="両面")+($B312="両面")&gt;0)*(機器台帳!$C$2:$C$400&lt;=$C312+$D312-1)*(機器台帳!$C$2:$C$400+機器台帳!$D$2:$D$400-1&gt;=$C312)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312&amp;"")))&gt;0)),"／同じUに他の機器(横並びなら正常)","")&amp;IF(AND(M312&lt;&gt;"",COUNTIFS(回路定義!$A:$A,A312,回路定義!$B:$B,M312)=0),"／回路1が定義にない","")&amp;IF(AND(P312&lt;&gt;"",COUNTIFS(回路定義!$A:$A,A312,回路定義!$B:$B,P312)=0),"／回路2が定義にない","")&amp;IF(AND(S312&lt;&gt;"",COUNTIFS(回路定義!$A:$A,A312,回路定義!$B:$B,S312)=0),"／回路3が定義にない",""),2,300)))</f>
        <v/>
      </c>
    </row>
    <row r="313">
      <c r="A313" s="5" t="n"/>
      <c r="B313" s="5" t="n"/>
      <c r="C313" s="5" t="n"/>
      <c r="D313" s="5" t="n"/>
      <c r="E313" s="6">
        <f>IF(C313="","",C313+D313-1)</f>
        <v/>
      </c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6">
        <f>COUNT(N313,Q313,T313)</f>
        <v/>
      </c>
      <c r="Z313" s="6">
        <f>IF(OR(K313="",NOT(ISNUMBER(K313))),"",K313*SUM(N313,Q313,T313))</f>
        <v/>
      </c>
      <c r="AA313" s="6">
        <f>IF(OR(Y313=0,N313=""),"",N313/Y313)</f>
        <v/>
      </c>
      <c r="AB313" s="6">
        <f>IF(OR(Y313=0,Q313=""),"",Q313/Y313)</f>
        <v/>
      </c>
      <c r="AC313" s="6">
        <f>IF(OR(Y313=0,T313=""),"",T313/Y313)</f>
        <v/>
      </c>
      <c r="AD313" s="6">
        <f>IF(F313="","",IF((IF(AND(Y313=0,NOT(SUMPRODUCT(--ISNUMBER(SEARCH({"棚板","棚","アングル","ｱﾝｸﾞﾙ","使用不可","ケーブル","ｹｰﾌﾞﾙ","PatchPnael","パッチ","引き出し","引出","ブランク","ﾌﾞﾗﾝｸ","マネージ","ﾏﾈｰｼﾞ","PDU","ONU"},$F313&amp;"")))&gt;0),NOT(SUMPRODUCT(--ISNUMBER(SEARCH({"電源オフ","未投入","停止","未使用","撤去"},$X313&amp;"")))&gt;0)),"／電力が未記入","")&amp;IF(AND(NOT(ISNUMBER(J313)),NOT(SUMPRODUCT(--ISNUMBER(SEARCH({"棚板","棚","アングル","ｱﾝｸﾞﾙ","使用不可","ケーブル","ｹｰﾌﾞﾙ","PatchPnael","パッチ","引き出し","引出","ブランク","ﾌﾞﾗﾝｸ","マネージ","ﾏﾈｰｼﾞ","PDU","ONU"},$F313&amp;"")))&gt;0)),"／重量が未記入","")&amp;IF(AND(K313&lt;&gt;"",NOT(ISNUMBER(K313))),"／電圧が数値でない","")&amp;IF(AND(N313&lt;&gt;"",NOT(ISNUMBER(N313))),"／電流が数値でない","")&amp;IF(AND(C313&lt;&gt;"",C313&lt;1),"／開始Uが1未満","")&amp;IF(AND(E313&lt;&gt;"",E313&gt;IFERROR(VLOOKUP(A313,ラック定義!$A:$B,2,FALSE),47)),"／総Uをはみ出す","")&amp;IF(AND(A313&lt;&gt;"",COUNTIF(ラック定義!$A:$A,A313)=0),"／ラックが定義にない","")&amp;IF(AND(SUMPRODUCT((機器台帳!$A$2:$A$400=$A313)*((機器台帳!$B$2:$B$400=$B313)+(機器台帳!$B$2:$B$400="両面")+($B313="両面")&gt;0)*(機器台帳!$C$2:$C$400&lt;=$C313+$D313-1)*(機器台帳!$C$2:$C$400+機器台帳!$D$2:$D$400-1&gt;=$C313)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313&amp;"")))&gt;0)),"／同じUに他の機器(横並びなら正常)","")&amp;IF(AND(M313&lt;&gt;"",COUNTIFS(回路定義!$A:$A,A313,回路定義!$B:$B,M313)=0),"／回路1が定義にない","")&amp;IF(AND(P313&lt;&gt;"",COUNTIFS(回路定義!$A:$A,A313,回路定義!$B:$B,P313)=0),"／回路2が定義にない","")&amp;IF(AND(S313&lt;&gt;"",COUNTIFS(回路定義!$A:$A,A313,回路定義!$B:$B,S313)=0),"／回路3が定義にない",""))="","",MID(IF(AND(Y313=0,NOT(SUMPRODUCT(--ISNUMBER(SEARCH({"棚板","棚","アングル","ｱﾝｸﾞﾙ","使用不可","ケーブル","ｹｰﾌﾞﾙ","PatchPnael","パッチ","引き出し","引出","ブランク","ﾌﾞﾗﾝｸ","マネージ","ﾏﾈｰｼﾞ","PDU","ONU"},$F313&amp;"")))&gt;0),NOT(SUMPRODUCT(--ISNUMBER(SEARCH({"電源オフ","未投入","停止","未使用","撤去"},$X313&amp;"")))&gt;0)),"／電力が未記入","")&amp;IF(AND(NOT(ISNUMBER(J313)),NOT(SUMPRODUCT(--ISNUMBER(SEARCH({"棚板","棚","アングル","ｱﾝｸﾞﾙ","使用不可","ケーブル","ｹｰﾌﾞﾙ","PatchPnael","パッチ","引き出し","引出","ブランク","ﾌﾞﾗﾝｸ","マネージ","ﾏﾈｰｼﾞ","PDU","ONU"},$F313&amp;"")))&gt;0)),"／重量が未記入","")&amp;IF(AND(K313&lt;&gt;"",NOT(ISNUMBER(K313))),"／電圧が数値でない","")&amp;IF(AND(N313&lt;&gt;"",NOT(ISNUMBER(N313))),"／電流が数値でない","")&amp;IF(AND(C313&lt;&gt;"",C313&lt;1),"／開始Uが1未満","")&amp;IF(AND(E313&lt;&gt;"",E313&gt;IFERROR(VLOOKUP(A313,ラック定義!$A:$B,2,FALSE),47)),"／総Uをはみ出す","")&amp;IF(AND(A313&lt;&gt;"",COUNTIF(ラック定義!$A:$A,A313)=0),"／ラックが定義にない","")&amp;IF(AND(SUMPRODUCT((機器台帳!$A$2:$A$400=$A313)*((機器台帳!$B$2:$B$400=$B313)+(機器台帳!$B$2:$B$400="両面")+($B313="両面")&gt;0)*(機器台帳!$C$2:$C$400&lt;=$C313+$D313-1)*(機器台帳!$C$2:$C$400+機器台帳!$D$2:$D$400-1&gt;=$C313)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313&amp;"")))&gt;0)),"／同じUに他の機器(横並びなら正常)","")&amp;IF(AND(M313&lt;&gt;"",COUNTIFS(回路定義!$A:$A,A313,回路定義!$B:$B,M313)=0),"／回路1が定義にない","")&amp;IF(AND(P313&lt;&gt;"",COUNTIFS(回路定義!$A:$A,A313,回路定義!$B:$B,P313)=0),"／回路2が定義にない","")&amp;IF(AND(S313&lt;&gt;"",COUNTIFS(回路定義!$A:$A,A313,回路定義!$B:$B,S313)=0),"／回路3が定義にない",""),2,300)))</f>
        <v/>
      </c>
    </row>
    <row r="314">
      <c r="A314" s="5" t="n"/>
      <c r="B314" s="5" t="n"/>
      <c r="C314" s="5" t="n"/>
      <c r="D314" s="5" t="n"/>
      <c r="E314" s="6">
        <f>IF(C314="","",C314+D314-1)</f>
        <v/>
      </c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6">
        <f>COUNT(N314,Q314,T314)</f>
        <v/>
      </c>
      <c r="Z314" s="6">
        <f>IF(OR(K314="",NOT(ISNUMBER(K314))),"",K314*SUM(N314,Q314,T314))</f>
        <v/>
      </c>
      <c r="AA314" s="6">
        <f>IF(OR(Y314=0,N314=""),"",N314/Y314)</f>
        <v/>
      </c>
      <c r="AB314" s="6">
        <f>IF(OR(Y314=0,Q314=""),"",Q314/Y314)</f>
        <v/>
      </c>
      <c r="AC314" s="6">
        <f>IF(OR(Y314=0,T314=""),"",T314/Y314)</f>
        <v/>
      </c>
      <c r="AD314" s="6">
        <f>IF(F314="","",IF((IF(AND(Y314=0,NOT(SUMPRODUCT(--ISNUMBER(SEARCH({"棚板","棚","アングル","ｱﾝｸﾞﾙ","使用不可","ケーブル","ｹｰﾌﾞﾙ","PatchPnael","パッチ","引き出し","引出","ブランク","ﾌﾞﾗﾝｸ","マネージ","ﾏﾈｰｼﾞ","PDU","ONU"},$F314&amp;"")))&gt;0),NOT(SUMPRODUCT(--ISNUMBER(SEARCH({"電源オフ","未投入","停止","未使用","撤去"},$X314&amp;"")))&gt;0)),"／電力が未記入","")&amp;IF(AND(NOT(ISNUMBER(J314)),NOT(SUMPRODUCT(--ISNUMBER(SEARCH({"棚板","棚","アングル","ｱﾝｸﾞﾙ","使用不可","ケーブル","ｹｰﾌﾞﾙ","PatchPnael","パッチ","引き出し","引出","ブランク","ﾌﾞﾗﾝｸ","マネージ","ﾏﾈｰｼﾞ","PDU","ONU"},$F314&amp;"")))&gt;0)),"／重量が未記入","")&amp;IF(AND(K314&lt;&gt;"",NOT(ISNUMBER(K314))),"／電圧が数値でない","")&amp;IF(AND(N314&lt;&gt;"",NOT(ISNUMBER(N314))),"／電流が数値でない","")&amp;IF(AND(C314&lt;&gt;"",C314&lt;1),"／開始Uが1未満","")&amp;IF(AND(E314&lt;&gt;"",E314&gt;IFERROR(VLOOKUP(A314,ラック定義!$A:$B,2,FALSE),47)),"／総Uをはみ出す","")&amp;IF(AND(A314&lt;&gt;"",COUNTIF(ラック定義!$A:$A,A314)=0),"／ラックが定義にない","")&amp;IF(AND(SUMPRODUCT((機器台帳!$A$2:$A$400=$A314)*((機器台帳!$B$2:$B$400=$B314)+(機器台帳!$B$2:$B$400="両面")+($B314="両面")&gt;0)*(機器台帳!$C$2:$C$400&lt;=$C314+$D314-1)*(機器台帳!$C$2:$C$400+機器台帳!$D$2:$D$400-1&gt;=$C314)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314&amp;"")))&gt;0)),"／同じUに他の機器(横並びなら正常)","")&amp;IF(AND(M314&lt;&gt;"",COUNTIFS(回路定義!$A:$A,A314,回路定義!$B:$B,M314)=0),"／回路1が定義にない","")&amp;IF(AND(P314&lt;&gt;"",COUNTIFS(回路定義!$A:$A,A314,回路定義!$B:$B,P314)=0),"／回路2が定義にない","")&amp;IF(AND(S314&lt;&gt;"",COUNTIFS(回路定義!$A:$A,A314,回路定義!$B:$B,S314)=0),"／回路3が定義にない",""))="","",MID(IF(AND(Y314=0,NOT(SUMPRODUCT(--ISNUMBER(SEARCH({"棚板","棚","アングル","ｱﾝｸﾞﾙ","使用不可","ケーブル","ｹｰﾌﾞﾙ","PatchPnael","パッチ","引き出し","引出","ブランク","ﾌﾞﾗﾝｸ","マネージ","ﾏﾈｰｼﾞ","PDU","ONU"},$F314&amp;"")))&gt;0),NOT(SUMPRODUCT(--ISNUMBER(SEARCH({"電源オフ","未投入","停止","未使用","撤去"},$X314&amp;"")))&gt;0)),"／電力が未記入","")&amp;IF(AND(NOT(ISNUMBER(J314)),NOT(SUMPRODUCT(--ISNUMBER(SEARCH({"棚板","棚","アングル","ｱﾝｸﾞﾙ","使用不可","ケーブル","ｹｰﾌﾞﾙ","PatchPnael","パッチ","引き出し","引出","ブランク","ﾌﾞﾗﾝｸ","マネージ","ﾏﾈｰｼﾞ","PDU","ONU"},$F314&amp;"")))&gt;0)),"／重量が未記入","")&amp;IF(AND(K314&lt;&gt;"",NOT(ISNUMBER(K314))),"／電圧が数値でない","")&amp;IF(AND(N314&lt;&gt;"",NOT(ISNUMBER(N314))),"／電流が数値でない","")&amp;IF(AND(C314&lt;&gt;"",C314&lt;1),"／開始Uが1未満","")&amp;IF(AND(E314&lt;&gt;"",E314&gt;IFERROR(VLOOKUP(A314,ラック定義!$A:$B,2,FALSE),47)),"／総Uをはみ出す","")&amp;IF(AND(A314&lt;&gt;"",COUNTIF(ラック定義!$A:$A,A314)=0),"／ラックが定義にない","")&amp;IF(AND(SUMPRODUCT((機器台帳!$A$2:$A$400=$A314)*((機器台帳!$B$2:$B$400=$B314)+(機器台帳!$B$2:$B$400="両面")+($B314="両面")&gt;0)*(機器台帳!$C$2:$C$400&lt;=$C314+$D314-1)*(機器台帳!$C$2:$C$400+機器台帳!$D$2:$D$400-1&gt;=$C314)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314&amp;"")))&gt;0)),"／同じUに他の機器(横並びなら正常)","")&amp;IF(AND(M314&lt;&gt;"",COUNTIFS(回路定義!$A:$A,A314,回路定義!$B:$B,M314)=0),"／回路1が定義にない","")&amp;IF(AND(P314&lt;&gt;"",COUNTIFS(回路定義!$A:$A,A314,回路定義!$B:$B,P314)=0),"／回路2が定義にない","")&amp;IF(AND(S314&lt;&gt;"",COUNTIFS(回路定義!$A:$A,A314,回路定義!$B:$B,S314)=0),"／回路3が定義にない",""),2,300)))</f>
        <v/>
      </c>
    </row>
    <row r="315">
      <c r="A315" s="5" t="n"/>
      <c r="B315" s="5" t="n"/>
      <c r="C315" s="5" t="n"/>
      <c r="D315" s="5" t="n"/>
      <c r="E315" s="6">
        <f>IF(C315="","",C315+D315-1)</f>
        <v/>
      </c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6">
        <f>COUNT(N315,Q315,T315)</f>
        <v/>
      </c>
      <c r="Z315" s="6">
        <f>IF(OR(K315="",NOT(ISNUMBER(K315))),"",K315*SUM(N315,Q315,T315))</f>
        <v/>
      </c>
      <c r="AA315" s="6">
        <f>IF(OR(Y315=0,N315=""),"",N315/Y315)</f>
        <v/>
      </c>
      <c r="AB315" s="6">
        <f>IF(OR(Y315=0,Q315=""),"",Q315/Y315)</f>
        <v/>
      </c>
      <c r="AC315" s="6">
        <f>IF(OR(Y315=0,T315=""),"",T315/Y315)</f>
        <v/>
      </c>
      <c r="AD315" s="6">
        <f>IF(F315="","",IF((IF(AND(Y315=0,NOT(SUMPRODUCT(--ISNUMBER(SEARCH({"棚板","棚","アングル","ｱﾝｸﾞﾙ","使用不可","ケーブル","ｹｰﾌﾞﾙ","PatchPnael","パッチ","引き出し","引出","ブランク","ﾌﾞﾗﾝｸ","マネージ","ﾏﾈｰｼﾞ","PDU","ONU"},$F315&amp;"")))&gt;0),NOT(SUMPRODUCT(--ISNUMBER(SEARCH({"電源オフ","未投入","停止","未使用","撤去"},$X315&amp;"")))&gt;0)),"／電力が未記入","")&amp;IF(AND(NOT(ISNUMBER(J315)),NOT(SUMPRODUCT(--ISNUMBER(SEARCH({"棚板","棚","アングル","ｱﾝｸﾞﾙ","使用不可","ケーブル","ｹｰﾌﾞﾙ","PatchPnael","パッチ","引き出し","引出","ブランク","ﾌﾞﾗﾝｸ","マネージ","ﾏﾈｰｼﾞ","PDU","ONU"},$F315&amp;"")))&gt;0)),"／重量が未記入","")&amp;IF(AND(K315&lt;&gt;"",NOT(ISNUMBER(K315))),"／電圧が数値でない","")&amp;IF(AND(N315&lt;&gt;"",NOT(ISNUMBER(N315))),"／電流が数値でない","")&amp;IF(AND(C315&lt;&gt;"",C315&lt;1),"／開始Uが1未満","")&amp;IF(AND(E315&lt;&gt;"",E315&gt;IFERROR(VLOOKUP(A315,ラック定義!$A:$B,2,FALSE),47)),"／総Uをはみ出す","")&amp;IF(AND(A315&lt;&gt;"",COUNTIF(ラック定義!$A:$A,A315)=0),"／ラックが定義にない","")&amp;IF(AND(SUMPRODUCT((機器台帳!$A$2:$A$400=$A315)*((機器台帳!$B$2:$B$400=$B315)+(機器台帳!$B$2:$B$400="両面")+($B315="両面")&gt;0)*(機器台帳!$C$2:$C$400&lt;=$C315+$D315-1)*(機器台帳!$C$2:$C$400+機器台帳!$D$2:$D$400-1&gt;=$C315)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315&amp;"")))&gt;0)),"／同じUに他の機器(横並びなら正常)","")&amp;IF(AND(M315&lt;&gt;"",COUNTIFS(回路定義!$A:$A,A315,回路定義!$B:$B,M315)=0),"／回路1が定義にない","")&amp;IF(AND(P315&lt;&gt;"",COUNTIFS(回路定義!$A:$A,A315,回路定義!$B:$B,P315)=0),"／回路2が定義にない","")&amp;IF(AND(S315&lt;&gt;"",COUNTIFS(回路定義!$A:$A,A315,回路定義!$B:$B,S315)=0),"／回路3が定義にない",""))="","",MID(IF(AND(Y315=0,NOT(SUMPRODUCT(--ISNUMBER(SEARCH({"棚板","棚","アングル","ｱﾝｸﾞﾙ","使用不可","ケーブル","ｹｰﾌﾞﾙ","PatchPnael","パッチ","引き出し","引出","ブランク","ﾌﾞﾗﾝｸ","マネージ","ﾏﾈｰｼﾞ","PDU","ONU"},$F315&amp;"")))&gt;0),NOT(SUMPRODUCT(--ISNUMBER(SEARCH({"電源オフ","未投入","停止","未使用","撤去"},$X315&amp;"")))&gt;0)),"／電力が未記入","")&amp;IF(AND(NOT(ISNUMBER(J315)),NOT(SUMPRODUCT(--ISNUMBER(SEARCH({"棚板","棚","アングル","ｱﾝｸﾞﾙ","使用不可","ケーブル","ｹｰﾌﾞﾙ","PatchPnael","パッチ","引き出し","引出","ブランク","ﾌﾞﾗﾝｸ","マネージ","ﾏﾈｰｼﾞ","PDU","ONU"},$F315&amp;"")))&gt;0)),"／重量が未記入","")&amp;IF(AND(K315&lt;&gt;"",NOT(ISNUMBER(K315))),"／電圧が数値でない","")&amp;IF(AND(N315&lt;&gt;"",NOT(ISNUMBER(N315))),"／電流が数値でない","")&amp;IF(AND(C315&lt;&gt;"",C315&lt;1),"／開始Uが1未満","")&amp;IF(AND(E315&lt;&gt;"",E315&gt;IFERROR(VLOOKUP(A315,ラック定義!$A:$B,2,FALSE),47)),"／総Uをはみ出す","")&amp;IF(AND(A315&lt;&gt;"",COUNTIF(ラック定義!$A:$A,A315)=0),"／ラックが定義にない","")&amp;IF(AND(SUMPRODUCT((機器台帳!$A$2:$A$400=$A315)*((機器台帳!$B$2:$B$400=$B315)+(機器台帳!$B$2:$B$400="両面")+($B315="両面")&gt;0)*(機器台帳!$C$2:$C$400&lt;=$C315+$D315-1)*(機器台帳!$C$2:$C$400+機器台帳!$D$2:$D$400-1&gt;=$C315)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315&amp;"")))&gt;0)),"／同じUに他の機器(横並びなら正常)","")&amp;IF(AND(M315&lt;&gt;"",COUNTIFS(回路定義!$A:$A,A315,回路定義!$B:$B,M315)=0),"／回路1が定義にない","")&amp;IF(AND(P315&lt;&gt;"",COUNTIFS(回路定義!$A:$A,A315,回路定義!$B:$B,P315)=0),"／回路2が定義にない","")&amp;IF(AND(S315&lt;&gt;"",COUNTIFS(回路定義!$A:$A,A315,回路定義!$B:$B,S315)=0),"／回路3が定義にない",""),2,300)))</f>
        <v/>
      </c>
    </row>
    <row r="316">
      <c r="A316" s="5" t="n"/>
      <c r="B316" s="5" t="n"/>
      <c r="C316" s="5" t="n"/>
      <c r="D316" s="5" t="n"/>
      <c r="E316" s="6">
        <f>IF(C316="","",C316+D316-1)</f>
        <v/>
      </c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6">
        <f>COUNT(N316,Q316,T316)</f>
        <v/>
      </c>
      <c r="Z316" s="6">
        <f>IF(OR(K316="",NOT(ISNUMBER(K316))),"",K316*SUM(N316,Q316,T316))</f>
        <v/>
      </c>
      <c r="AA316" s="6">
        <f>IF(OR(Y316=0,N316=""),"",N316/Y316)</f>
        <v/>
      </c>
      <c r="AB316" s="6">
        <f>IF(OR(Y316=0,Q316=""),"",Q316/Y316)</f>
        <v/>
      </c>
      <c r="AC316" s="6">
        <f>IF(OR(Y316=0,T316=""),"",T316/Y316)</f>
        <v/>
      </c>
      <c r="AD316" s="6">
        <f>IF(F316="","",IF((IF(AND(Y316=0,NOT(SUMPRODUCT(--ISNUMBER(SEARCH({"棚板","棚","アングル","ｱﾝｸﾞﾙ","使用不可","ケーブル","ｹｰﾌﾞﾙ","PatchPnael","パッチ","引き出し","引出","ブランク","ﾌﾞﾗﾝｸ","マネージ","ﾏﾈｰｼﾞ","PDU","ONU"},$F316&amp;"")))&gt;0),NOT(SUMPRODUCT(--ISNUMBER(SEARCH({"電源オフ","未投入","停止","未使用","撤去"},$X316&amp;"")))&gt;0)),"／電力が未記入","")&amp;IF(AND(NOT(ISNUMBER(J316)),NOT(SUMPRODUCT(--ISNUMBER(SEARCH({"棚板","棚","アングル","ｱﾝｸﾞﾙ","使用不可","ケーブル","ｹｰﾌﾞﾙ","PatchPnael","パッチ","引き出し","引出","ブランク","ﾌﾞﾗﾝｸ","マネージ","ﾏﾈｰｼﾞ","PDU","ONU"},$F316&amp;"")))&gt;0)),"／重量が未記入","")&amp;IF(AND(K316&lt;&gt;"",NOT(ISNUMBER(K316))),"／電圧が数値でない","")&amp;IF(AND(N316&lt;&gt;"",NOT(ISNUMBER(N316))),"／電流が数値でない","")&amp;IF(AND(C316&lt;&gt;"",C316&lt;1),"／開始Uが1未満","")&amp;IF(AND(E316&lt;&gt;"",E316&gt;IFERROR(VLOOKUP(A316,ラック定義!$A:$B,2,FALSE),47)),"／総Uをはみ出す","")&amp;IF(AND(A316&lt;&gt;"",COUNTIF(ラック定義!$A:$A,A316)=0),"／ラックが定義にない","")&amp;IF(AND(SUMPRODUCT((機器台帳!$A$2:$A$400=$A316)*((機器台帳!$B$2:$B$400=$B316)+(機器台帳!$B$2:$B$400="両面")+($B316="両面")&gt;0)*(機器台帳!$C$2:$C$400&lt;=$C316+$D316-1)*(機器台帳!$C$2:$C$400+機器台帳!$D$2:$D$400-1&gt;=$C316)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316&amp;"")))&gt;0)),"／同じUに他の機器(横並びなら正常)","")&amp;IF(AND(M316&lt;&gt;"",COUNTIFS(回路定義!$A:$A,A316,回路定義!$B:$B,M316)=0),"／回路1が定義にない","")&amp;IF(AND(P316&lt;&gt;"",COUNTIFS(回路定義!$A:$A,A316,回路定義!$B:$B,P316)=0),"／回路2が定義にない","")&amp;IF(AND(S316&lt;&gt;"",COUNTIFS(回路定義!$A:$A,A316,回路定義!$B:$B,S316)=0),"／回路3が定義にない",""))="","",MID(IF(AND(Y316=0,NOT(SUMPRODUCT(--ISNUMBER(SEARCH({"棚板","棚","アングル","ｱﾝｸﾞﾙ","使用不可","ケーブル","ｹｰﾌﾞﾙ","PatchPnael","パッチ","引き出し","引出","ブランク","ﾌﾞﾗﾝｸ","マネージ","ﾏﾈｰｼﾞ","PDU","ONU"},$F316&amp;"")))&gt;0),NOT(SUMPRODUCT(--ISNUMBER(SEARCH({"電源オフ","未投入","停止","未使用","撤去"},$X316&amp;"")))&gt;0)),"／電力が未記入","")&amp;IF(AND(NOT(ISNUMBER(J316)),NOT(SUMPRODUCT(--ISNUMBER(SEARCH({"棚板","棚","アングル","ｱﾝｸﾞﾙ","使用不可","ケーブル","ｹｰﾌﾞﾙ","PatchPnael","パッチ","引き出し","引出","ブランク","ﾌﾞﾗﾝｸ","マネージ","ﾏﾈｰｼﾞ","PDU","ONU"},$F316&amp;"")))&gt;0)),"／重量が未記入","")&amp;IF(AND(K316&lt;&gt;"",NOT(ISNUMBER(K316))),"／電圧が数値でない","")&amp;IF(AND(N316&lt;&gt;"",NOT(ISNUMBER(N316))),"／電流が数値でない","")&amp;IF(AND(C316&lt;&gt;"",C316&lt;1),"／開始Uが1未満","")&amp;IF(AND(E316&lt;&gt;"",E316&gt;IFERROR(VLOOKUP(A316,ラック定義!$A:$B,2,FALSE),47)),"／総Uをはみ出す","")&amp;IF(AND(A316&lt;&gt;"",COUNTIF(ラック定義!$A:$A,A316)=0),"／ラックが定義にない","")&amp;IF(AND(SUMPRODUCT((機器台帳!$A$2:$A$400=$A316)*((機器台帳!$B$2:$B$400=$B316)+(機器台帳!$B$2:$B$400="両面")+($B316="両面")&gt;0)*(機器台帳!$C$2:$C$400&lt;=$C316+$D316-1)*(機器台帳!$C$2:$C$400+機器台帳!$D$2:$D$400-1&gt;=$C316)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316&amp;"")))&gt;0)),"／同じUに他の機器(横並びなら正常)","")&amp;IF(AND(M316&lt;&gt;"",COUNTIFS(回路定義!$A:$A,A316,回路定義!$B:$B,M316)=0),"／回路1が定義にない","")&amp;IF(AND(P316&lt;&gt;"",COUNTIFS(回路定義!$A:$A,A316,回路定義!$B:$B,P316)=0),"／回路2が定義にない","")&amp;IF(AND(S316&lt;&gt;"",COUNTIFS(回路定義!$A:$A,A316,回路定義!$B:$B,S316)=0),"／回路3が定義にない",""),2,300)))</f>
        <v/>
      </c>
    </row>
    <row r="317">
      <c r="A317" s="5" t="n"/>
      <c r="B317" s="5" t="n"/>
      <c r="C317" s="5" t="n"/>
      <c r="D317" s="5" t="n"/>
      <c r="E317" s="6">
        <f>IF(C317="","",C317+D317-1)</f>
        <v/>
      </c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6">
        <f>COUNT(N317,Q317,T317)</f>
        <v/>
      </c>
      <c r="Z317" s="6">
        <f>IF(OR(K317="",NOT(ISNUMBER(K317))),"",K317*SUM(N317,Q317,T317))</f>
        <v/>
      </c>
      <c r="AA317" s="6">
        <f>IF(OR(Y317=0,N317=""),"",N317/Y317)</f>
        <v/>
      </c>
      <c r="AB317" s="6">
        <f>IF(OR(Y317=0,Q317=""),"",Q317/Y317)</f>
        <v/>
      </c>
      <c r="AC317" s="6">
        <f>IF(OR(Y317=0,T317=""),"",T317/Y317)</f>
        <v/>
      </c>
      <c r="AD317" s="6">
        <f>IF(F317="","",IF((IF(AND(Y317=0,NOT(SUMPRODUCT(--ISNUMBER(SEARCH({"棚板","棚","アングル","ｱﾝｸﾞﾙ","使用不可","ケーブル","ｹｰﾌﾞﾙ","PatchPnael","パッチ","引き出し","引出","ブランク","ﾌﾞﾗﾝｸ","マネージ","ﾏﾈｰｼﾞ","PDU","ONU"},$F317&amp;"")))&gt;0),NOT(SUMPRODUCT(--ISNUMBER(SEARCH({"電源オフ","未投入","停止","未使用","撤去"},$X317&amp;"")))&gt;0)),"／電力が未記入","")&amp;IF(AND(NOT(ISNUMBER(J317)),NOT(SUMPRODUCT(--ISNUMBER(SEARCH({"棚板","棚","アングル","ｱﾝｸﾞﾙ","使用不可","ケーブル","ｹｰﾌﾞﾙ","PatchPnael","パッチ","引き出し","引出","ブランク","ﾌﾞﾗﾝｸ","マネージ","ﾏﾈｰｼﾞ","PDU","ONU"},$F317&amp;"")))&gt;0)),"／重量が未記入","")&amp;IF(AND(K317&lt;&gt;"",NOT(ISNUMBER(K317))),"／電圧が数値でない","")&amp;IF(AND(N317&lt;&gt;"",NOT(ISNUMBER(N317))),"／電流が数値でない","")&amp;IF(AND(C317&lt;&gt;"",C317&lt;1),"／開始Uが1未満","")&amp;IF(AND(E317&lt;&gt;"",E317&gt;IFERROR(VLOOKUP(A317,ラック定義!$A:$B,2,FALSE),47)),"／総Uをはみ出す","")&amp;IF(AND(A317&lt;&gt;"",COUNTIF(ラック定義!$A:$A,A317)=0),"／ラックが定義にない","")&amp;IF(AND(SUMPRODUCT((機器台帳!$A$2:$A$400=$A317)*((機器台帳!$B$2:$B$400=$B317)+(機器台帳!$B$2:$B$400="両面")+($B317="両面")&gt;0)*(機器台帳!$C$2:$C$400&lt;=$C317+$D317-1)*(機器台帳!$C$2:$C$400+機器台帳!$D$2:$D$400-1&gt;=$C317)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317&amp;"")))&gt;0)),"／同じUに他の機器(横並びなら正常)","")&amp;IF(AND(M317&lt;&gt;"",COUNTIFS(回路定義!$A:$A,A317,回路定義!$B:$B,M317)=0),"／回路1が定義にない","")&amp;IF(AND(P317&lt;&gt;"",COUNTIFS(回路定義!$A:$A,A317,回路定義!$B:$B,P317)=0),"／回路2が定義にない","")&amp;IF(AND(S317&lt;&gt;"",COUNTIFS(回路定義!$A:$A,A317,回路定義!$B:$B,S317)=0),"／回路3が定義にない",""))="","",MID(IF(AND(Y317=0,NOT(SUMPRODUCT(--ISNUMBER(SEARCH({"棚板","棚","アングル","ｱﾝｸﾞﾙ","使用不可","ケーブル","ｹｰﾌﾞﾙ","PatchPnael","パッチ","引き出し","引出","ブランク","ﾌﾞﾗﾝｸ","マネージ","ﾏﾈｰｼﾞ","PDU","ONU"},$F317&amp;"")))&gt;0),NOT(SUMPRODUCT(--ISNUMBER(SEARCH({"電源オフ","未投入","停止","未使用","撤去"},$X317&amp;"")))&gt;0)),"／電力が未記入","")&amp;IF(AND(NOT(ISNUMBER(J317)),NOT(SUMPRODUCT(--ISNUMBER(SEARCH({"棚板","棚","アングル","ｱﾝｸﾞﾙ","使用不可","ケーブル","ｹｰﾌﾞﾙ","PatchPnael","パッチ","引き出し","引出","ブランク","ﾌﾞﾗﾝｸ","マネージ","ﾏﾈｰｼﾞ","PDU","ONU"},$F317&amp;"")))&gt;0)),"／重量が未記入","")&amp;IF(AND(K317&lt;&gt;"",NOT(ISNUMBER(K317))),"／電圧が数値でない","")&amp;IF(AND(N317&lt;&gt;"",NOT(ISNUMBER(N317))),"／電流が数値でない","")&amp;IF(AND(C317&lt;&gt;"",C317&lt;1),"／開始Uが1未満","")&amp;IF(AND(E317&lt;&gt;"",E317&gt;IFERROR(VLOOKUP(A317,ラック定義!$A:$B,2,FALSE),47)),"／総Uをはみ出す","")&amp;IF(AND(A317&lt;&gt;"",COUNTIF(ラック定義!$A:$A,A317)=0),"／ラックが定義にない","")&amp;IF(AND(SUMPRODUCT((機器台帳!$A$2:$A$400=$A317)*((機器台帳!$B$2:$B$400=$B317)+(機器台帳!$B$2:$B$400="両面")+($B317="両面")&gt;0)*(機器台帳!$C$2:$C$400&lt;=$C317+$D317-1)*(機器台帳!$C$2:$C$400+機器台帳!$D$2:$D$400-1&gt;=$C317)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317&amp;"")))&gt;0)),"／同じUに他の機器(横並びなら正常)","")&amp;IF(AND(M317&lt;&gt;"",COUNTIFS(回路定義!$A:$A,A317,回路定義!$B:$B,M317)=0),"／回路1が定義にない","")&amp;IF(AND(P317&lt;&gt;"",COUNTIFS(回路定義!$A:$A,A317,回路定義!$B:$B,P317)=0),"／回路2が定義にない","")&amp;IF(AND(S317&lt;&gt;"",COUNTIFS(回路定義!$A:$A,A317,回路定義!$B:$B,S317)=0),"／回路3が定義にない",""),2,300)))</f>
        <v/>
      </c>
    </row>
    <row r="318">
      <c r="A318" s="5" t="n"/>
      <c r="B318" s="5" t="n"/>
      <c r="C318" s="5" t="n"/>
      <c r="D318" s="5" t="n"/>
      <c r="E318" s="6">
        <f>IF(C318="","",C318+D318-1)</f>
        <v/>
      </c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6">
        <f>COUNT(N318,Q318,T318)</f>
        <v/>
      </c>
      <c r="Z318" s="6">
        <f>IF(OR(K318="",NOT(ISNUMBER(K318))),"",K318*SUM(N318,Q318,T318))</f>
        <v/>
      </c>
      <c r="AA318" s="6">
        <f>IF(OR(Y318=0,N318=""),"",N318/Y318)</f>
        <v/>
      </c>
      <c r="AB318" s="6">
        <f>IF(OR(Y318=0,Q318=""),"",Q318/Y318)</f>
        <v/>
      </c>
      <c r="AC318" s="6">
        <f>IF(OR(Y318=0,T318=""),"",T318/Y318)</f>
        <v/>
      </c>
      <c r="AD318" s="6">
        <f>IF(F318="","",IF((IF(AND(Y318=0,NOT(SUMPRODUCT(--ISNUMBER(SEARCH({"棚板","棚","アングル","ｱﾝｸﾞﾙ","使用不可","ケーブル","ｹｰﾌﾞﾙ","PatchPnael","パッチ","引き出し","引出","ブランク","ﾌﾞﾗﾝｸ","マネージ","ﾏﾈｰｼﾞ","PDU","ONU"},$F318&amp;"")))&gt;0),NOT(SUMPRODUCT(--ISNUMBER(SEARCH({"電源オフ","未投入","停止","未使用","撤去"},$X318&amp;"")))&gt;0)),"／電力が未記入","")&amp;IF(AND(NOT(ISNUMBER(J318)),NOT(SUMPRODUCT(--ISNUMBER(SEARCH({"棚板","棚","アングル","ｱﾝｸﾞﾙ","使用不可","ケーブル","ｹｰﾌﾞﾙ","PatchPnael","パッチ","引き出し","引出","ブランク","ﾌﾞﾗﾝｸ","マネージ","ﾏﾈｰｼﾞ","PDU","ONU"},$F318&amp;"")))&gt;0)),"／重量が未記入","")&amp;IF(AND(K318&lt;&gt;"",NOT(ISNUMBER(K318))),"／電圧が数値でない","")&amp;IF(AND(N318&lt;&gt;"",NOT(ISNUMBER(N318))),"／電流が数値でない","")&amp;IF(AND(C318&lt;&gt;"",C318&lt;1),"／開始Uが1未満","")&amp;IF(AND(E318&lt;&gt;"",E318&gt;IFERROR(VLOOKUP(A318,ラック定義!$A:$B,2,FALSE),47)),"／総Uをはみ出す","")&amp;IF(AND(A318&lt;&gt;"",COUNTIF(ラック定義!$A:$A,A318)=0),"／ラックが定義にない","")&amp;IF(AND(SUMPRODUCT((機器台帳!$A$2:$A$400=$A318)*((機器台帳!$B$2:$B$400=$B318)+(機器台帳!$B$2:$B$400="両面")+($B318="両面")&gt;0)*(機器台帳!$C$2:$C$400&lt;=$C318+$D318-1)*(機器台帳!$C$2:$C$400+機器台帳!$D$2:$D$400-1&gt;=$C318)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318&amp;"")))&gt;0)),"／同じUに他の機器(横並びなら正常)","")&amp;IF(AND(M318&lt;&gt;"",COUNTIFS(回路定義!$A:$A,A318,回路定義!$B:$B,M318)=0),"／回路1が定義にない","")&amp;IF(AND(P318&lt;&gt;"",COUNTIFS(回路定義!$A:$A,A318,回路定義!$B:$B,P318)=0),"／回路2が定義にない","")&amp;IF(AND(S318&lt;&gt;"",COUNTIFS(回路定義!$A:$A,A318,回路定義!$B:$B,S318)=0),"／回路3が定義にない",""))="","",MID(IF(AND(Y318=0,NOT(SUMPRODUCT(--ISNUMBER(SEARCH({"棚板","棚","アングル","ｱﾝｸﾞﾙ","使用不可","ケーブル","ｹｰﾌﾞﾙ","PatchPnael","パッチ","引き出し","引出","ブランク","ﾌﾞﾗﾝｸ","マネージ","ﾏﾈｰｼﾞ","PDU","ONU"},$F318&amp;"")))&gt;0),NOT(SUMPRODUCT(--ISNUMBER(SEARCH({"電源オフ","未投入","停止","未使用","撤去"},$X318&amp;"")))&gt;0)),"／電力が未記入","")&amp;IF(AND(NOT(ISNUMBER(J318)),NOT(SUMPRODUCT(--ISNUMBER(SEARCH({"棚板","棚","アングル","ｱﾝｸﾞﾙ","使用不可","ケーブル","ｹｰﾌﾞﾙ","PatchPnael","パッチ","引き出し","引出","ブランク","ﾌﾞﾗﾝｸ","マネージ","ﾏﾈｰｼﾞ","PDU","ONU"},$F318&amp;"")))&gt;0)),"／重量が未記入","")&amp;IF(AND(K318&lt;&gt;"",NOT(ISNUMBER(K318))),"／電圧が数値でない","")&amp;IF(AND(N318&lt;&gt;"",NOT(ISNUMBER(N318))),"／電流が数値でない","")&amp;IF(AND(C318&lt;&gt;"",C318&lt;1),"／開始Uが1未満","")&amp;IF(AND(E318&lt;&gt;"",E318&gt;IFERROR(VLOOKUP(A318,ラック定義!$A:$B,2,FALSE),47)),"／総Uをはみ出す","")&amp;IF(AND(A318&lt;&gt;"",COUNTIF(ラック定義!$A:$A,A318)=0),"／ラックが定義にない","")&amp;IF(AND(SUMPRODUCT((機器台帳!$A$2:$A$400=$A318)*((機器台帳!$B$2:$B$400=$B318)+(機器台帳!$B$2:$B$400="両面")+($B318="両面")&gt;0)*(機器台帳!$C$2:$C$400&lt;=$C318+$D318-1)*(機器台帳!$C$2:$C$400+機器台帳!$D$2:$D$400-1&gt;=$C318)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318&amp;"")))&gt;0)),"／同じUに他の機器(横並びなら正常)","")&amp;IF(AND(M318&lt;&gt;"",COUNTIFS(回路定義!$A:$A,A318,回路定義!$B:$B,M318)=0),"／回路1が定義にない","")&amp;IF(AND(P318&lt;&gt;"",COUNTIFS(回路定義!$A:$A,A318,回路定義!$B:$B,P318)=0),"／回路2が定義にない","")&amp;IF(AND(S318&lt;&gt;"",COUNTIFS(回路定義!$A:$A,A318,回路定義!$B:$B,S318)=0),"／回路3が定義にない",""),2,300)))</f>
        <v/>
      </c>
    </row>
    <row r="319">
      <c r="A319" s="5" t="n"/>
      <c r="B319" s="5" t="n"/>
      <c r="C319" s="5" t="n"/>
      <c r="D319" s="5" t="n"/>
      <c r="E319" s="6">
        <f>IF(C319="","",C319+D319-1)</f>
        <v/>
      </c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6">
        <f>COUNT(N319,Q319,T319)</f>
        <v/>
      </c>
      <c r="Z319" s="6">
        <f>IF(OR(K319="",NOT(ISNUMBER(K319))),"",K319*SUM(N319,Q319,T319))</f>
        <v/>
      </c>
      <c r="AA319" s="6">
        <f>IF(OR(Y319=0,N319=""),"",N319/Y319)</f>
        <v/>
      </c>
      <c r="AB319" s="6">
        <f>IF(OR(Y319=0,Q319=""),"",Q319/Y319)</f>
        <v/>
      </c>
      <c r="AC319" s="6">
        <f>IF(OR(Y319=0,T319=""),"",T319/Y319)</f>
        <v/>
      </c>
      <c r="AD319" s="6">
        <f>IF(F319="","",IF((IF(AND(Y319=0,NOT(SUMPRODUCT(--ISNUMBER(SEARCH({"棚板","棚","アングル","ｱﾝｸﾞﾙ","使用不可","ケーブル","ｹｰﾌﾞﾙ","PatchPnael","パッチ","引き出し","引出","ブランク","ﾌﾞﾗﾝｸ","マネージ","ﾏﾈｰｼﾞ","PDU","ONU"},$F319&amp;"")))&gt;0),NOT(SUMPRODUCT(--ISNUMBER(SEARCH({"電源オフ","未投入","停止","未使用","撤去"},$X319&amp;"")))&gt;0)),"／電力が未記入","")&amp;IF(AND(NOT(ISNUMBER(J319)),NOT(SUMPRODUCT(--ISNUMBER(SEARCH({"棚板","棚","アングル","ｱﾝｸﾞﾙ","使用不可","ケーブル","ｹｰﾌﾞﾙ","PatchPnael","パッチ","引き出し","引出","ブランク","ﾌﾞﾗﾝｸ","マネージ","ﾏﾈｰｼﾞ","PDU","ONU"},$F319&amp;"")))&gt;0)),"／重量が未記入","")&amp;IF(AND(K319&lt;&gt;"",NOT(ISNUMBER(K319))),"／電圧が数値でない","")&amp;IF(AND(N319&lt;&gt;"",NOT(ISNUMBER(N319))),"／電流が数値でない","")&amp;IF(AND(C319&lt;&gt;"",C319&lt;1),"／開始Uが1未満","")&amp;IF(AND(E319&lt;&gt;"",E319&gt;IFERROR(VLOOKUP(A319,ラック定義!$A:$B,2,FALSE),47)),"／総Uをはみ出す","")&amp;IF(AND(A319&lt;&gt;"",COUNTIF(ラック定義!$A:$A,A319)=0),"／ラックが定義にない","")&amp;IF(AND(SUMPRODUCT((機器台帳!$A$2:$A$400=$A319)*((機器台帳!$B$2:$B$400=$B319)+(機器台帳!$B$2:$B$400="両面")+($B319="両面")&gt;0)*(機器台帳!$C$2:$C$400&lt;=$C319+$D319-1)*(機器台帳!$C$2:$C$400+機器台帳!$D$2:$D$400-1&gt;=$C319)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319&amp;"")))&gt;0)),"／同じUに他の機器(横並びなら正常)","")&amp;IF(AND(M319&lt;&gt;"",COUNTIFS(回路定義!$A:$A,A319,回路定義!$B:$B,M319)=0),"／回路1が定義にない","")&amp;IF(AND(P319&lt;&gt;"",COUNTIFS(回路定義!$A:$A,A319,回路定義!$B:$B,P319)=0),"／回路2が定義にない","")&amp;IF(AND(S319&lt;&gt;"",COUNTIFS(回路定義!$A:$A,A319,回路定義!$B:$B,S319)=0),"／回路3が定義にない",""))="","",MID(IF(AND(Y319=0,NOT(SUMPRODUCT(--ISNUMBER(SEARCH({"棚板","棚","アングル","ｱﾝｸﾞﾙ","使用不可","ケーブル","ｹｰﾌﾞﾙ","PatchPnael","パッチ","引き出し","引出","ブランク","ﾌﾞﾗﾝｸ","マネージ","ﾏﾈｰｼﾞ","PDU","ONU"},$F319&amp;"")))&gt;0),NOT(SUMPRODUCT(--ISNUMBER(SEARCH({"電源オフ","未投入","停止","未使用","撤去"},$X319&amp;"")))&gt;0)),"／電力が未記入","")&amp;IF(AND(NOT(ISNUMBER(J319)),NOT(SUMPRODUCT(--ISNUMBER(SEARCH({"棚板","棚","アングル","ｱﾝｸﾞﾙ","使用不可","ケーブル","ｹｰﾌﾞﾙ","PatchPnael","パッチ","引き出し","引出","ブランク","ﾌﾞﾗﾝｸ","マネージ","ﾏﾈｰｼﾞ","PDU","ONU"},$F319&amp;"")))&gt;0)),"／重量が未記入","")&amp;IF(AND(K319&lt;&gt;"",NOT(ISNUMBER(K319))),"／電圧が数値でない","")&amp;IF(AND(N319&lt;&gt;"",NOT(ISNUMBER(N319))),"／電流が数値でない","")&amp;IF(AND(C319&lt;&gt;"",C319&lt;1),"／開始Uが1未満","")&amp;IF(AND(E319&lt;&gt;"",E319&gt;IFERROR(VLOOKUP(A319,ラック定義!$A:$B,2,FALSE),47)),"／総Uをはみ出す","")&amp;IF(AND(A319&lt;&gt;"",COUNTIF(ラック定義!$A:$A,A319)=0),"／ラックが定義にない","")&amp;IF(AND(SUMPRODUCT((機器台帳!$A$2:$A$400=$A319)*((機器台帳!$B$2:$B$400=$B319)+(機器台帳!$B$2:$B$400="両面")+($B319="両面")&gt;0)*(機器台帳!$C$2:$C$400&lt;=$C319+$D319-1)*(機器台帳!$C$2:$C$400+機器台帳!$D$2:$D$400-1&gt;=$C319)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319&amp;"")))&gt;0)),"／同じUに他の機器(横並びなら正常)","")&amp;IF(AND(M319&lt;&gt;"",COUNTIFS(回路定義!$A:$A,A319,回路定義!$B:$B,M319)=0),"／回路1が定義にない","")&amp;IF(AND(P319&lt;&gt;"",COUNTIFS(回路定義!$A:$A,A319,回路定義!$B:$B,P319)=0),"／回路2が定義にない","")&amp;IF(AND(S319&lt;&gt;"",COUNTIFS(回路定義!$A:$A,A319,回路定義!$B:$B,S319)=0),"／回路3が定義にない",""),2,300)))</f>
        <v/>
      </c>
    </row>
    <row r="320">
      <c r="A320" s="5" t="n"/>
      <c r="B320" s="5" t="n"/>
      <c r="C320" s="5" t="n"/>
      <c r="D320" s="5" t="n"/>
      <c r="E320" s="6">
        <f>IF(C320="","",C320+D320-1)</f>
        <v/>
      </c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6">
        <f>COUNT(N320,Q320,T320)</f>
        <v/>
      </c>
      <c r="Z320" s="6">
        <f>IF(OR(K320="",NOT(ISNUMBER(K320))),"",K320*SUM(N320,Q320,T320))</f>
        <v/>
      </c>
      <c r="AA320" s="6">
        <f>IF(OR(Y320=0,N320=""),"",N320/Y320)</f>
        <v/>
      </c>
      <c r="AB320" s="6">
        <f>IF(OR(Y320=0,Q320=""),"",Q320/Y320)</f>
        <v/>
      </c>
      <c r="AC320" s="6">
        <f>IF(OR(Y320=0,T320=""),"",T320/Y320)</f>
        <v/>
      </c>
      <c r="AD320" s="6">
        <f>IF(F320="","",IF((IF(AND(Y320=0,NOT(SUMPRODUCT(--ISNUMBER(SEARCH({"棚板","棚","アングル","ｱﾝｸﾞﾙ","使用不可","ケーブル","ｹｰﾌﾞﾙ","PatchPnael","パッチ","引き出し","引出","ブランク","ﾌﾞﾗﾝｸ","マネージ","ﾏﾈｰｼﾞ","PDU","ONU"},$F320&amp;"")))&gt;0),NOT(SUMPRODUCT(--ISNUMBER(SEARCH({"電源オフ","未投入","停止","未使用","撤去"},$X320&amp;"")))&gt;0)),"／電力が未記入","")&amp;IF(AND(NOT(ISNUMBER(J320)),NOT(SUMPRODUCT(--ISNUMBER(SEARCH({"棚板","棚","アングル","ｱﾝｸﾞﾙ","使用不可","ケーブル","ｹｰﾌﾞﾙ","PatchPnael","パッチ","引き出し","引出","ブランク","ﾌﾞﾗﾝｸ","マネージ","ﾏﾈｰｼﾞ","PDU","ONU"},$F320&amp;"")))&gt;0)),"／重量が未記入","")&amp;IF(AND(K320&lt;&gt;"",NOT(ISNUMBER(K320))),"／電圧が数値でない","")&amp;IF(AND(N320&lt;&gt;"",NOT(ISNUMBER(N320))),"／電流が数値でない","")&amp;IF(AND(C320&lt;&gt;"",C320&lt;1),"／開始Uが1未満","")&amp;IF(AND(E320&lt;&gt;"",E320&gt;IFERROR(VLOOKUP(A320,ラック定義!$A:$B,2,FALSE),47)),"／総Uをはみ出す","")&amp;IF(AND(A320&lt;&gt;"",COUNTIF(ラック定義!$A:$A,A320)=0),"／ラックが定義にない","")&amp;IF(AND(SUMPRODUCT((機器台帳!$A$2:$A$400=$A320)*((機器台帳!$B$2:$B$400=$B320)+(機器台帳!$B$2:$B$400="両面")+($B320="両面")&gt;0)*(機器台帳!$C$2:$C$400&lt;=$C320+$D320-1)*(機器台帳!$C$2:$C$400+機器台帳!$D$2:$D$400-1&gt;=$C320)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320&amp;"")))&gt;0)),"／同じUに他の機器(横並びなら正常)","")&amp;IF(AND(M320&lt;&gt;"",COUNTIFS(回路定義!$A:$A,A320,回路定義!$B:$B,M320)=0),"／回路1が定義にない","")&amp;IF(AND(P320&lt;&gt;"",COUNTIFS(回路定義!$A:$A,A320,回路定義!$B:$B,P320)=0),"／回路2が定義にない","")&amp;IF(AND(S320&lt;&gt;"",COUNTIFS(回路定義!$A:$A,A320,回路定義!$B:$B,S320)=0),"／回路3が定義にない",""))="","",MID(IF(AND(Y320=0,NOT(SUMPRODUCT(--ISNUMBER(SEARCH({"棚板","棚","アングル","ｱﾝｸﾞﾙ","使用不可","ケーブル","ｹｰﾌﾞﾙ","PatchPnael","パッチ","引き出し","引出","ブランク","ﾌﾞﾗﾝｸ","マネージ","ﾏﾈｰｼﾞ","PDU","ONU"},$F320&amp;"")))&gt;0),NOT(SUMPRODUCT(--ISNUMBER(SEARCH({"電源オフ","未投入","停止","未使用","撤去"},$X320&amp;"")))&gt;0)),"／電力が未記入","")&amp;IF(AND(NOT(ISNUMBER(J320)),NOT(SUMPRODUCT(--ISNUMBER(SEARCH({"棚板","棚","アングル","ｱﾝｸﾞﾙ","使用不可","ケーブル","ｹｰﾌﾞﾙ","PatchPnael","パッチ","引き出し","引出","ブランク","ﾌﾞﾗﾝｸ","マネージ","ﾏﾈｰｼﾞ","PDU","ONU"},$F320&amp;"")))&gt;0)),"／重量が未記入","")&amp;IF(AND(K320&lt;&gt;"",NOT(ISNUMBER(K320))),"／電圧が数値でない","")&amp;IF(AND(N320&lt;&gt;"",NOT(ISNUMBER(N320))),"／電流が数値でない","")&amp;IF(AND(C320&lt;&gt;"",C320&lt;1),"／開始Uが1未満","")&amp;IF(AND(E320&lt;&gt;"",E320&gt;IFERROR(VLOOKUP(A320,ラック定義!$A:$B,2,FALSE),47)),"／総Uをはみ出す","")&amp;IF(AND(A320&lt;&gt;"",COUNTIF(ラック定義!$A:$A,A320)=0),"／ラックが定義にない","")&amp;IF(AND(SUMPRODUCT((機器台帳!$A$2:$A$400=$A320)*((機器台帳!$B$2:$B$400=$B320)+(機器台帳!$B$2:$B$400="両面")+($B320="両面")&gt;0)*(機器台帳!$C$2:$C$400&lt;=$C320+$D320-1)*(機器台帳!$C$2:$C$400+機器台帳!$D$2:$D$400-1&gt;=$C320)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320&amp;"")))&gt;0)),"／同じUに他の機器(横並びなら正常)","")&amp;IF(AND(M320&lt;&gt;"",COUNTIFS(回路定義!$A:$A,A320,回路定義!$B:$B,M320)=0),"／回路1が定義にない","")&amp;IF(AND(P320&lt;&gt;"",COUNTIFS(回路定義!$A:$A,A320,回路定義!$B:$B,P320)=0),"／回路2が定義にない","")&amp;IF(AND(S320&lt;&gt;"",COUNTIFS(回路定義!$A:$A,A320,回路定義!$B:$B,S320)=0),"／回路3が定義にない",""),2,300)))</f>
        <v/>
      </c>
    </row>
    <row r="321">
      <c r="A321" s="5" t="n"/>
      <c r="B321" s="5" t="n"/>
      <c r="C321" s="5" t="n"/>
      <c r="D321" s="5" t="n"/>
      <c r="E321" s="6">
        <f>IF(C321="","",C321+D321-1)</f>
        <v/>
      </c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6">
        <f>COUNT(N321,Q321,T321)</f>
        <v/>
      </c>
      <c r="Z321" s="6">
        <f>IF(OR(K321="",NOT(ISNUMBER(K321))),"",K321*SUM(N321,Q321,T321))</f>
        <v/>
      </c>
      <c r="AA321" s="6">
        <f>IF(OR(Y321=0,N321=""),"",N321/Y321)</f>
        <v/>
      </c>
      <c r="AB321" s="6">
        <f>IF(OR(Y321=0,Q321=""),"",Q321/Y321)</f>
        <v/>
      </c>
      <c r="AC321" s="6">
        <f>IF(OR(Y321=0,T321=""),"",T321/Y321)</f>
        <v/>
      </c>
      <c r="AD321" s="6">
        <f>IF(F321="","",IF((IF(AND(Y321=0,NOT(SUMPRODUCT(--ISNUMBER(SEARCH({"棚板","棚","アングル","ｱﾝｸﾞﾙ","使用不可","ケーブル","ｹｰﾌﾞﾙ","PatchPnael","パッチ","引き出し","引出","ブランク","ﾌﾞﾗﾝｸ","マネージ","ﾏﾈｰｼﾞ","PDU","ONU"},$F321&amp;"")))&gt;0),NOT(SUMPRODUCT(--ISNUMBER(SEARCH({"電源オフ","未投入","停止","未使用","撤去"},$X321&amp;"")))&gt;0)),"／電力が未記入","")&amp;IF(AND(NOT(ISNUMBER(J321)),NOT(SUMPRODUCT(--ISNUMBER(SEARCH({"棚板","棚","アングル","ｱﾝｸﾞﾙ","使用不可","ケーブル","ｹｰﾌﾞﾙ","PatchPnael","パッチ","引き出し","引出","ブランク","ﾌﾞﾗﾝｸ","マネージ","ﾏﾈｰｼﾞ","PDU","ONU"},$F321&amp;"")))&gt;0)),"／重量が未記入","")&amp;IF(AND(K321&lt;&gt;"",NOT(ISNUMBER(K321))),"／電圧が数値でない","")&amp;IF(AND(N321&lt;&gt;"",NOT(ISNUMBER(N321))),"／電流が数値でない","")&amp;IF(AND(C321&lt;&gt;"",C321&lt;1),"／開始Uが1未満","")&amp;IF(AND(E321&lt;&gt;"",E321&gt;IFERROR(VLOOKUP(A321,ラック定義!$A:$B,2,FALSE),47)),"／総Uをはみ出す","")&amp;IF(AND(A321&lt;&gt;"",COUNTIF(ラック定義!$A:$A,A321)=0),"／ラックが定義にない","")&amp;IF(AND(SUMPRODUCT((機器台帳!$A$2:$A$400=$A321)*((機器台帳!$B$2:$B$400=$B321)+(機器台帳!$B$2:$B$400="両面")+($B321="両面")&gt;0)*(機器台帳!$C$2:$C$400&lt;=$C321+$D321-1)*(機器台帳!$C$2:$C$400+機器台帳!$D$2:$D$400-1&gt;=$C321)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321&amp;"")))&gt;0)),"／同じUに他の機器(横並びなら正常)","")&amp;IF(AND(M321&lt;&gt;"",COUNTIFS(回路定義!$A:$A,A321,回路定義!$B:$B,M321)=0),"／回路1が定義にない","")&amp;IF(AND(P321&lt;&gt;"",COUNTIFS(回路定義!$A:$A,A321,回路定義!$B:$B,P321)=0),"／回路2が定義にない","")&amp;IF(AND(S321&lt;&gt;"",COUNTIFS(回路定義!$A:$A,A321,回路定義!$B:$B,S321)=0),"／回路3が定義にない",""))="","",MID(IF(AND(Y321=0,NOT(SUMPRODUCT(--ISNUMBER(SEARCH({"棚板","棚","アングル","ｱﾝｸﾞﾙ","使用不可","ケーブル","ｹｰﾌﾞﾙ","PatchPnael","パッチ","引き出し","引出","ブランク","ﾌﾞﾗﾝｸ","マネージ","ﾏﾈｰｼﾞ","PDU","ONU"},$F321&amp;"")))&gt;0),NOT(SUMPRODUCT(--ISNUMBER(SEARCH({"電源オフ","未投入","停止","未使用","撤去"},$X321&amp;"")))&gt;0)),"／電力が未記入","")&amp;IF(AND(NOT(ISNUMBER(J321)),NOT(SUMPRODUCT(--ISNUMBER(SEARCH({"棚板","棚","アングル","ｱﾝｸﾞﾙ","使用不可","ケーブル","ｹｰﾌﾞﾙ","PatchPnael","パッチ","引き出し","引出","ブランク","ﾌﾞﾗﾝｸ","マネージ","ﾏﾈｰｼﾞ","PDU","ONU"},$F321&amp;"")))&gt;0)),"／重量が未記入","")&amp;IF(AND(K321&lt;&gt;"",NOT(ISNUMBER(K321))),"／電圧が数値でない","")&amp;IF(AND(N321&lt;&gt;"",NOT(ISNUMBER(N321))),"／電流が数値でない","")&amp;IF(AND(C321&lt;&gt;"",C321&lt;1),"／開始Uが1未満","")&amp;IF(AND(E321&lt;&gt;"",E321&gt;IFERROR(VLOOKUP(A321,ラック定義!$A:$B,2,FALSE),47)),"／総Uをはみ出す","")&amp;IF(AND(A321&lt;&gt;"",COUNTIF(ラック定義!$A:$A,A321)=0),"／ラックが定義にない","")&amp;IF(AND(SUMPRODUCT((機器台帳!$A$2:$A$400=$A321)*((機器台帳!$B$2:$B$400=$B321)+(機器台帳!$B$2:$B$400="両面")+($B321="両面")&gt;0)*(機器台帳!$C$2:$C$400&lt;=$C321+$D321-1)*(機器台帳!$C$2:$C$400+機器台帳!$D$2:$D$400-1&gt;=$C321)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321&amp;"")))&gt;0)),"／同じUに他の機器(横並びなら正常)","")&amp;IF(AND(M321&lt;&gt;"",COUNTIFS(回路定義!$A:$A,A321,回路定義!$B:$B,M321)=0),"／回路1が定義にない","")&amp;IF(AND(P321&lt;&gt;"",COUNTIFS(回路定義!$A:$A,A321,回路定義!$B:$B,P321)=0),"／回路2が定義にない","")&amp;IF(AND(S321&lt;&gt;"",COUNTIFS(回路定義!$A:$A,A321,回路定義!$B:$B,S321)=0),"／回路3が定義にない",""),2,300)))</f>
        <v/>
      </c>
    </row>
    <row r="322">
      <c r="A322" s="5" t="n"/>
      <c r="B322" s="5" t="n"/>
      <c r="C322" s="5" t="n"/>
      <c r="D322" s="5" t="n"/>
      <c r="E322" s="6">
        <f>IF(C322="","",C322+D322-1)</f>
        <v/>
      </c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6">
        <f>COUNT(N322,Q322,T322)</f>
        <v/>
      </c>
      <c r="Z322" s="6">
        <f>IF(OR(K322="",NOT(ISNUMBER(K322))),"",K322*SUM(N322,Q322,T322))</f>
        <v/>
      </c>
      <c r="AA322" s="6">
        <f>IF(OR(Y322=0,N322=""),"",N322/Y322)</f>
        <v/>
      </c>
      <c r="AB322" s="6">
        <f>IF(OR(Y322=0,Q322=""),"",Q322/Y322)</f>
        <v/>
      </c>
      <c r="AC322" s="6">
        <f>IF(OR(Y322=0,T322=""),"",T322/Y322)</f>
        <v/>
      </c>
      <c r="AD322" s="6">
        <f>IF(F322="","",IF((IF(AND(Y322=0,NOT(SUMPRODUCT(--ISNUMBER(SEARCH({"棚板","棚","アングル","ｱﾝｸﾞﾙ","使用不可","ケーブル","ｹｰﾌﾞﾙ","PatchPnael","パッチ","引き出し","引出","ブランク","ﾌﾞﾗﾝｸ","マネージ","ﾏﾈｰｼﾞ","PDU","ONU"},$F322&amp;"")))&gt;0),NOT(SUMPRODUCT(--ISNUMBER(SEARCH({"電源オフ","未投入","停止","未使用","撤去"},$X322&amp;"")))&gt;0)),"／電力が未記入","")&amp;IF(AND(NOT(ISNUMBER(J322)),NOT(SUMPRODUCT(--ISNUMBER(SEARCH({"棚板","棚","アングル","ｱﾝｸﾞﾙ","使用不可","ケーブル","ｹｰﾌﾞﾙ","PatchPnael","パッチ","引き出し","引出","ブランク","ﾌﾞﾗﾝｸ","マネージ","ﾏﾈｰｼﾞ","PDU","ONU"},$F322&amp;"")))&gt;0)),"／重量が未記入","")&amp;IF(AND(K322&lt;&gt;"",NOT(ISNUMBER(K322))),"／電圧が数値でない","")&amp;IF(AND(N322&lt;&gt;"",NOT(ISNUMBER(N322))),"／電流が数値でない","")&amp;IF(AND(C322&lt;&gt;"",C322&lt;1),"／開始Uが1未満","")&amp;IF(AND(E322&lt;&gt;"",E322&gt;IFERROR(VLOOKUP(A322,ラック定義!$A:$B,2,FALSE),47)),"／総Uをはみ出す","")&amp;IF(AND(A322&lt;&gt;"",COUNTIF(ラック定義!$A:$A,A322)=0),"／ラックが定義にない","")&amp;IF(AND(SUMPRODUCT((機器台帳!$A$2:$A$400=$A322)*((機器台帳!$B$2:$B$400=$B322)+(機器台帳!$B$2:$B$400="両面")+($B322="両面")&gt;0)*(機器台帳!$C$2:$C$400&lt;=$C322+$D322-1)*(機器台帳!$C$2:$C$400+機器台帳!$D$2:$D$400-1&gt;=$C322)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322&amp;"")))&gt;0)),"／同じUに他の機器(横並びなら正常)","")&amp;IF(AND(M322&lt;&gt;"",COUNTIFS(回路定義!$A:$A,A322,回路定義!$B:$B,M322)=0),"／回路1が定義にない","")&amp;IF(AND(P322&lt;&gt;"",COUNTIFS(回路定義!$A:$A,A322,回路定義!$B:$B,P322)=0),"／回路2が定義にない","")&amp;IF(AND(S322&lt;&gt;"",COUNTIFS(回路定義!$A:$A,A322,回路定義!$B:$B,S322)=0),"／回路3が定義にない",""))="","",MID(IF(AND(Y322=0,NOT(SUMPRODUCT(--ISNUMBER(SEARCH({"棚板","棚","アングル","ｱﾝｸﾞﾙ","使用不可","ケーブル","ｹｰﾌﾞﾙ","PatchPnael","パッチ","引き出し","引出","ブランク","ﾌﾞﾗﾝｸ","マネージ","ﾏﾈｰｼﾞ","PDU","ONU"},$F322&amp;"")))&gt;0),NOT(SUMPRODUCT(--ISNUMBER(SEARCH({"電源オフ","未投入","停止","未使用","撤去"},$X322&amp;"")))&gt;0)),"／電力が未記入","")&amp;IF(AND(NOT(ISNUMBER(J322)),NOT(SUMPRODUCT(--ISNUMBER(SEARCH({"棚板","棚","アングル","ｱﾝｸﾞﾙ","使用不可","ケーブル","ｹｰﾌﾞﾙ","PatchPnael","パッチ","引き出し","引出","ブランク","ﾌﾞﾗﾝｸ","マネージ","ﾏﾈｰｼﾞ","PDU","ONU"},$F322&amp;"")))&gt;0)),"／重量が未記入","")&amp;IF(AND(K322&lt;&gt;"",NOT(ISNUMBER(K322))),"／電圧が数値でない","")&amp;IF(AND(N322&lt;&gt;"",NOT(ISNUMBER(N322))),"／電流が数値でない","")&amp;IF(AND(C322&lt;&gt;"",C322&lt;1),"／開始Uが1未満","")&amp;IF(AND(E322&lt;&gt;"",E322&gt;IFERROR(VLOOKUP(A322,ラック定義!$A:$B,2,FALSE),47)),"／総Uをはみ出す","")&amp;IF(AND(A322&lt;&gt;"",COUNTIF(ラック定義!$A:$A,A322)=0),"／ラックが定義にない","")&amp;IF(AND(SUMPRODUCT((機器台帳!$A$2:$A$400=$A322)*((機器台帳!$B$2:$B$400=$B322)+(機器台帳!$B$2:$B$400="両面")+($B322="両面")&gt;0)*(機器台帳!$C$2:$C$400&lt;=$C322+$D322-1)*(機器台帳!$C$2:$C$400+機器台帳!$D$2:$D$400-1&gt;=$C322)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322&amp;"")))&gt;0)),"／同じUに他の機器(横並びなら正常)","")&amp;IF(AND(M322&lt;&gt;"",COUNTIFS(回路定義!$A:$A,A322,回路定義!$B:$B,M322)=0),"／回路1が定義にない","")&amp;IF(AND(P322&lt;&gt;"",COUNTIFS(回路定義!$A:$A,A322,回路定義!$B:$B,P322)=0),"／回路2が定義にない","")&amp;IF(AND(S322&lt;&gt;"",COUNTIFS(回路定義!$A:$A,A322,回路定義!$B:$B,S322)=0),"／回路3が定義にない",""),2,300)))</f>
        <v/>
      </c>
    </row>
    <row r="323">
      <c r="A323" s="5" t="n"/>
      <c r="B323" s="5" t="n"/>
      <c r="C323" s="5" t="n"/>
      <c r="D323" s="5" t="n"/>
      <c r="E323" s="6">
        <f>IF(C323="","",C323+D323-1)</f>
        <v/>
      </c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6">
        <f>COUNT(N323,Q323,T323)</f>
        <v/>
      </c>
      <c r="Z323" s="6">
        <f>IF(OR(K323="",NOT(ISNUMBER(K323))),"",K323*SUM(N323,Q323,T323))</f>
        <v/>
      </c>
      <c r="AA323" s="6">
        <f>IF(OR(Y323=0,N323=""),"",N323/Y323)</f>
        <v/>
      </c>
      <c r="AB323" s="6">
        <f>IF(OR(Y323=0,Q323=""),"",Q323/Y323)</f>
        <v/>
      </c>
      <c r="AC323" s="6">
        <f>IF(OR(Y323=0,T323=""),"",T323/Y323)</f>
        <v/>
      </c>
      <c r="AD323" s="6">
        <f>IF(F323="","",IF((IF(AND(Y323=0,NOT(SUMPRODUCT(--ISNUMBER(SEARCH({"棚板","棚","アングル","ｱﾝｸﾞﾙ","使用不可","ケーブル","ｹｰﾌﾞﾙ","PatchPnael","パッチ","引き出し","引出","ブランク","ﾌﾞﾗﾝｸ","マネージ","ﾏﾈｰｼﾞ","PDU","ONU"},$F323&amp;"")))&gt;0),NOT(SUMPRODUCT(--ISNUMBER(SEARCH({"電源オフ","未投入","停止","未使用","撤去"},$X323&amp;"")))&gt;0)),"／電力が未記入","")&amp;IF(AND(NOT(ISNUMBER(J323)),NOT(SUMPRODUCT(--ISNUMBER(SEARCH({"棚板","棚","アングル","ｱﾝｸﾞﾙ","使用不可","ケーブル","ｹｰﾌﾞﾙ","PatchPnael","パッチ","引き出し","引出","ブランク","ﾌﾞﾗﾝｸ","マネージ","ﾏﾈｰｼﾞ","PDU","ONU"},$F323&amp;"")))&gt;0)),"／重量が未記入","")&amp;IF(AND(K323&lt;&gt;"",NOT(ISNUMBER(K323))),"／電圧が数値でない","")&amp;IF(AND(N323&lt;&gt;"",NOT(ISNUMBER(N323))),"／電流が数値でない","")&amp;IF(AND(C323&lt;&gt;"",C323&lt;1),"／開始Uが1未満","")&amp;IF(AND(E323&lt;&gt;"",E323&gt;IFERROR(VLOOKUP(A323,ラック定義!$A:$B,2,FALSE),47)),"／総Uをはみ出す","")&amp;IF(AND(A323&lt;&gt;"",COUNTIF(ラック定義!$A:$A,A323)=0),"／ラックが定義にない","")&amp;IF(AND(SUMPRODUCT((機器台帳!$A$2:$A$400=$A323)*((機器台帳!$B$2:$B$400=$B323)+(機器台帳!$B$2:$B$400="両面")+($B323="両面")&gt;0)*(機器台帳!$C$2:$C$400&lt;=$C323+$D323-1)*(機器台帳!$C$2:$C$400+機器台帳!$D$2:$D$400-1&gt;=$C323)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323&amp;"")))&gt;0)),"／同じUに他の機器(横並びなら正常)","")&amp;IF(AND(M323&lt;&gt;"",COUNTIFS(回路定義!$A:$A,A323,回路定義!$B:$B,M323)=0),"／回路1が定義にない","")&amp;IF(AND(P323&lt;&gt;"",COUNTIFS(回路定義!$A:$A,A323,回路定義!$B:$B,P323)=0),"／回路2が定義にない","")&amp;IF(AND(S323&lt;&gt;"",COUNTIFS(回路定義!$A:$A,A323,回路定義!$B:$B,S323)=0),"／回路3が定義にない",""))="","",MID(IF(AND(Y323=0,NOT(SUMPRODUCT(--ISNUMBER(SEARCH({"棚板","棚","アングル","ｱﾝｸﾞﾙ","使用不可","ケーブル","ｹｰﾌﾞﾙ","PatchPnael","パッチ","引き出し","引出","ブランク","ﾌﾞﾗﾝｸ","マネージ","ﾏﾈｰｼﾞ","PDU","ONU"},$F323&amp;"")))&gt;0),NOT(SUMPRODUCT(--ISNUMBER(SEARCH({"電源オフ","未投入","停止","未使用","撤去"},$X323&amp;"")))&gt;0)),"／電力が未記入","")&amp;IF(AND(NOT(ISNUMBER(J323)),NOT(SUMPRODUCT(--ISNUMBER(SEARCH({"棚板","棚","アングル","ｱﾝｸﾞﾙ","使用不可","ケーブル","ｹｰﾌﾞﾙ","PatchPnael","パッチ","引き出し","引出","ブランク","ﾌﾞﾗﾝｸ","マネージ","ﾏﾈｰｼﾞ","PDU","ONU"},$F323&amp;"")))&gt;0)),"／重量が未記入","")&amp;IF(AND(K323&lt;&gt;"",NOT(ISNUMBER(K323))),"／電圧が数値でない","")&amp;IF(AND(N323&lt;&gt;"",NOT(ISNUMBER(N323))),"／電流が数値でない","")&amp;IF(AND(C323&lt;&gt;"",C323&lt;1),"／開始Uが1未満","")&amp;IF(AND(E323&lt;&gt;"",E323&gt;IFERROR(VLOOKUP(A323,ラック定義!$A:$B,2,FALSE),47)),"／総Uをはみ出す","")&amp;IF(AND(A323&lt;&gt;"",COUNTIF(ラック定義!$A:$A,A323)=0),"／ラックが定義にない","")&amp;IF(AND(SUMPRODUCT((機器台帳!$A$2:$A$400=$A323)*((機器台帳!$B$2:$B$400=$B323)+(機器台帳!$B$2:$B$400="両面")+($B323="両面")&gt;0)*(機器台帳!$C$2:$C$400&lt;=$C323+$D323-1)*(機器台帳!$C$2:$C$400+機器台帳!$D$2:$D$400-1&gt;=$C323)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323&amp;"")))&gt;0)),"／同じUに他の機器(横並びなら正常)","")&amp;IF(AND(M323&lt;&gt;"",COUNTIFS(回路定義!$A:$A,A323,回路定義!$B:$B,M323)=0),"／回路1が定義にない","")&amp;IF(AND(P323&lt;&gt;"",COUNTIFS(回路定義!$A:$A,A323,回路定義!$B:$B,P323)=0),"／回路2が定義にない","")&amp;IF(AND(S323&lt;&gt;"",COUNTIFS(回路定義!$A:$A,A323,回路定義!$B:$B,S323)=0),"／回路3が定義にない",""),2,300)))</f>
        <v/>
      </c>
    </row>
    <row r="324">
      <c r="A324" s="5" t="n"/>
      <c r="B324" s="5" t="n"/>
      <c r="C324" s="5" t="n"/>
      <c r="D324" s="5" t="n"/>
      <c r="E324" s="6">
        <f>IF(C324="","",C324+D324-1)</f>
        <v/>
      </c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6">
        <f>COUNT(N324,Q324,T324)</f>
        <v/>
      </c>
      <c r="Z324" s="6">
        <f>IF(OR(K324="",NOT(ISNUMBER(K324))),"",K324*SUM(N324,Q324,T324))</f>
        <v/>
      </c>
      <c r="AA324" s="6">
        <f>IF(OR(Y324=0,N324=""),"",N324/Y324)</f>
        <v/>
      </c>
      <c r="AB324" s="6">
        <f>IF(OR(Y324=0,Q324=""),"",Q324/Y324)</f>
        <v/>
      </c>
      <c r="AC324" s="6">
        <f>IF(OR(Y324=0,T324=""),"",T324/Y324)</f>
        <v/>
      </c>
      <c r="AD324" s="6">
        <f>IF(F324="","",IF((IF(AND(Y324=0,NOT(SUMPRODUCT(--ISNUMBER(SEARCH({"棚板","棚","アングル","ｱﾝｸﾞﾙ","使用不可","ケーブル","ｹｰﾌﾞﾙ","PatchPnael","パッチ","引き出し","引出","ブランク","ﾌﾞﾗﾝｸ","マネージ","ﾏﾈｰｼﾞ","PDU","ONU"},$F324&amp;"")))&gt;0),NOT(SUMPRODUCT(--ISNUMBER(SEARCH({"電源オフ","未投入","停止","未使用","撤去"},$X324&amp;"")))&gt;0)),"／電力が未記入","")&amp;IF(AND(NOT(ISNUMBER(J324)),NOT(SUMPRODUCT(--ISNUMBER(SEARCH({"棚板","棚","アングル","ｱﾝｸﾞﾙ","使用不可","ケーブル","ｹｰﾌﾞﾙ","PatchPnael","パッチ","引き出し","引出","ブランク","ﾌﾞﾗﾝｸ","マネージ","ﾏﾈｰｼﾞ","PDU","ONU"},$F324&amp;"")))&gt;0)),"／重量が未記入","")&amp;IF(AND(K324&lt;&gt;"",NOT(ISNUMBER(K324))),"／電圧が数値でない","")&amp;IF(AND(N324&lt;&gt;"",NOT(ISNUMBER(N324))),"／電流が数値でない","")&amp;IF(AND(C324&lt;&gt;"",C324&lt;1),"／開始Uが1未満","")&amp;IF(AND(E324&lt;&gt;"",E324&gt;IFERROR(VLOOKUP(A324,ラック定義!$A:$B,2,FALSE),47)),"／総Uをはみ出す","")&amp;IF(AND(A324&lt;&gt;"",COUNTIF(ラック定義!$A:$A,A324)=0),"／ラックが定義にない","")&amp;IF(AND(SUMPRODUCT((機器台帳!$A$2:$A$400=$A324)*((機器台帳!$B$2:$B$400=$B324)+(機器台帳!$B$2:$B$400="両面")+($B324="両面")&gt;0)*(機器台帳!$C$2:$C$400&lt;=$C324+$D324-1)*(機器台帳!$C$2:$C$400+機器台帳!$D$2:$D$400-1&gt;=$C324)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324&amp;"")))&gt;0)),"／同じUに他の機器(横並びなら正常)","")&amp;IF(AND(M324&lt;&gt;"",COUNTIFS(回路定義!$A:$A,A324,回路定義!$B:$B,M324)=0),"／回路1が定義にない","")&amp;IF(AND(P324&lt;&gt;"",COUNTIFS(回路定義!$A:$A,A324,回路定義!$B:$B,P324)=0),"／回路2が定義にない","")&amp;IF(AND(S324&lt;&gt;"",COUNTIFS(回路定義!$A:$A,A324,回路定義!$B:$B,S324)=0),"／回路3が定義にない",""))="","",MID(IF(AND(Y324=0,NOT(SUMPRODUCT(--ISNUMBER(SEARCH({"棚板","棚","アングル","ｱﾝｸﾞﾙ","使用不可","ケーブル","ｹｰﾌﾞﾙ","PatchPnael","パッチ","引き出し","引出","ブランク","ﾌﾞﾗﾝｸ","マネージ","ﾏﾈｰｼﾞ","PDU","ONU"},$F324&amp;"")))&gt;0),NOT(SUMPRODUCT(--ISNUMBER(SEARCH({"電源オフ","未投入","停止","未使用","撤去"},$X324&amp;"")))&gt;0)),"／電力が未記入","")&amp;IF(AND(NOT(ISNUMBER(J324)),NOT(SUMPRODUCT(--ISNUMBER(SEARCH({"棚板","棚","アングル","ｱﾝｸﾞﾙ","使用不可","ケーブル","ｹｰﾌﾞﾙ","PatchPnael","パッチ","引き出し","引出","ブランク","ﾌﾞﾗﾝｸ","マネージ","ﾏﾈｰｼﾞ","PDU","ONU"},$F324&amp;"")))&gt;0)),"／重量が未記入","")&amp;IF(AND(K324&lt;&gt;"",NOT(ISNUMBER(K324))),"／電圧が数値でない","")&amp;IF(AND(N324&lt;&gt;"",NOT(ISNUMBER(N324))),"／電流が数値でない","")&amp;IF(AND(C324&lt;&gt;"",C324&lt;1),"／開始Uが1未満","")&amp;IF(AND(E324&lt;&gt;"",E324&gt;IFERROR(VLOOKUP(A324,ラック定義!$A:$B,2,FALSE),47)),"／総Uをはみ出す","")&amp;IF(AND(A324&lt;&gt;"",COUNTIF(ラック定義!$A:$A,A324)=0),"／ラックが定義にない","")&amp;IF(AND(SUMPRODUCT((機器台帳!$A$2:$A$400=$A324)*((機器台帳!$B$2:$B$400=$B324)+(機器台帳!$B$2:$B$400="両面")+($B324="両面")&gt;0)*(機器台帳!$C$2:$C$400&lt;=$C324+$D324-1)*(機器台帳!$C$2:$C$400+機器台帳!$D$2:$D$400-1&gt;=$C324)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324&amp;"")))&gt;0)),"／同じUに他の機器(横並びなら正常)","")&amp;IF(AND(M324&lt;&gt;"",COUNTIFS(回路定義!$A:$A,A324,回路定義!$B:$B,M324)=0),"／回路1が定義にない","")&amp;IF(AND(P324&lt;&gt;"",COUNTIFS(回路定義!$A:$A,A324,回路定義!$B:$B,P324)=0),"／回路2が定義にない","")&amp;IF(AND(S324&lt;&gt;"",COUNTIFS(回路定義!$A:$A,A324,回路定義!$B:$B,S324)=0),"／回路3が定義にない",""),2,300)))</f>
        <v/>
      </c>
    </row>
    <row r="325">
      <c r="A325" s="5" t="n"/>
      <c r="B325" s="5" t="n"/>
      <c r="C325" s="5" t="n"/>
      <c r="D325" s="5" t="n"/>
      <c r="E325" s="6">
        <f>IF(C325="","",C325+D325-1)</f>
        <v/>
      </c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6">
        <f>COUNT(N325,Q325,T325)</f>
        <v/>
      </c>
      <c r="Z325" s="6">
        <f>IF(OR(K325="",NOT(ISNUMBER(K325))),"",K325*SUM(N325,Q325,T325))</f>
        <v/>
      </c>
      <c r="AA325" s="6">
        <f>IF(OR(Y325=0,N325=""),"",N325/Y325)</f>
        <v/>
      </c>
      <c r="AB325" s="6">
        <f>IF(OR(Y325=0,Q325=""),"",Q325/Y325)</f>
        <v/>
      </c>
      <c r="AC325" s="6">
        <f>IF(OR(Y325=0,T325=""),"",T325/Y325)</f>
        <v/>
      </c>
      <c r="AD325" s="6">
        <f>IF(F325="","",IF((IF(AND(Y325=0,NOT(SUMPRODUCT(--ISNUMBER(SEARCH({"棚板","棚","アングル","ｱﾝｸﾞﾙ","使用不可","ケーブル","ｹｰﾌﾞﾙ","PatchPnael","パッチ","引き出し","引出","ブランク","ﾌﾞﾗﾝｸ","マネージ","ﾏﾈｰｼﾞ","PDU","ONU"},$F325&amp;"")))&gt;0),NOT(SUMPRODUCT(--ISNUMBER(SEARCH({"電源オフ","未投入","停止","未使用","撤去"},$X325&amp;"")))&gt;0)),"／電力が未記入","")&amp;IF(AND(NOT(ISNUMBER(J325)),NOT(SUMPRODUCT(--ISNUMBER(SEARCH({"棚板","棚","アングル","ｱﾝｸﾞﾙ","使用不可","ケーブル","ｹｰﾌﾞﾙ","PatchPnael","パッチ","引き出し","引出","ブランク","ﾌﾞﾗﾝｸ","マネージ","ﾏﾈｰｼﾞ","PDU","ONU"},$F325&amp;"")))&gt;0)),"／重量が未記入","")&amp;IF(AND(K325&lt;&gt;"",NOT(ISNUMBER(K325))),"／電圧が数値でない","")&amp;IF(AND(N325&lt;&gt;"",NOT(ISNUMBER(N325))),"／電流が数値でない","")&amp;IF(AND(C325&lt;&gt;"",C325&lt;1),"／開始Uが1未満","")&amp;IF(AND(E325&lt;&gt;"",E325&gt;IFERROR(VLOOKUP(A325,ラック定義!$A:$B,2,FALSE),47)),"／総Uをはみ出す","")&amp;IF(AND(A325&lt;&gt;"",COUNTIF(ラック定義!$A:$A,A325)=0),"／ラックが定義にない","")&amp;IF(AND(SUMPRODUCT((機器台帳!$A$2:$A$400=$A325)*((機器台帳!$B$2:$B$400=$B325)+(機器台帳!$B$2:$B$400="両面")+($B325="両面")&gt;0)*(機器台帳!$C$2:$C$400&lt;=$C325+$D325-1)*(機器台帳!$C$2:$C$400+機器台帳!$D$2:$D$400-1&gt;=$C325)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325&amp;"")))&gt;0)),"／同じUに他の機器(横並びなら正常)","")&amp;IF(AND(M325&lt;&gt;"",COUNTIFS(回路定義!$A:$A,A325,回路定義!$B:$B,M325)=0),"／回路1が定義にない","")&amp;IF(AND(P325&lt;&gt;"",COUNTIFS(回路定義!$A:$A,A325,回路定義!$B:$B,P325)=0),"／回路2が定義にない","")&amp;IF(AND(S325&lt;&gt;"",COUNTIFS(回路定義!$A:$A,A325,回路定義!$B:$B,S325)=0),"／回路3が定義にない",""))="","",MID(IF(AND(Y325=0,NOT(SUMPRODUCT(--ISNUMBER(SEARCH({"棚板","棚","アングル","ｱﾝｸﾞﾙ","使用不可","ケーブル","ｹｰﾌﾞﾙ","PatchPnael","パッチ","引き出し","引出","ブランク","ﾌﾞﾗﾝｸ","マネージ","ﾏﾈｰｼﾞ","PDU","ONU"},$F325&amp;"")))&gt;0),NOT(SUMPRODUCT(--ISNUMBER(SEARCH({"電源オフ","未投入","停止","未使用","撤去"},$X325&amp;"")))&gt;0)),"／電力が未記入","")&amp;IF(AND(NOT(ISNUMBER(J325)),NOT(SUMPRODUCT(--ISNUMBER(SEARCH({"棚板","棚","アングル","ｱﾝｸﾞﾙ","使用不可","ケーブル","ｹｰﾌﾞﾙ","PatchPnael","パッチ","引き出し","引出","ブランク","ﾌﾞﾗﾝｸ","マネージ","ﾏﾈｰｼﾞ","PDU","ONU"},$F325&amp;"")))&gt;0)),"／重量が未記入","")&amp;IF(AND(K325&lt;&gt;"",NOT(ISNUMBER(K325))),"／電圧が数値でない","")&amp;IF(AND(N325&lt;&gt;"",NOT(ISNUMBER(N325))),"／電流が数値でない","")&amp;IF(AND(C325&lt;&gt;"",C325&lt;1),"／開始Uが1未満","")&amp;IF(AND(E325&lt;&gt;"",E325&gt;IFERROR(VLOOKUP(A325,ラック定義!$A:$B,2,FALSE),47)),"／総Uをはみ出す","")&amp;IF(AND(A325&lt;&gt;"",COUNTIF(ラック定義!$A:$A,A325)=0),"／ラックが定義にない","")&amp;IF(AND(SUMPRODUCT((機器台帳!$A$2:$A$400=$A325)*((機器台帳!$B$2:$B$400=$B325)+(機器台帳!$B$2:$B$400="両面")+($B325="両面")&gt;0)*(機器台帳!$C$2:$C$400&lt;=$C325+$D325-1)*(機器台帳!$C$2:$C$400+機器台帳!$D$2:$D$400-1&gt;=$C325)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325&amp;"")))&gt;0)),"／同じUに他の機器(横並びなら正常)","")&amp;IF(AND(M325&lt;&gt;"",COUNTIFS(回路定義!$A:$A,A325,回路定義!$B:$B,M325)=0),"／回路1が定義にない","")&amp;IF(AND(P325&lt;&gt;"",COUNTIFS(回路定義!$A:$A,A325,回路定義!$B:$B,P325)=0),"／回路2が定義にない","")&amp;IF(AND(S325&lt;&gt;"",COUNTIFS(回路定義!$A:$A,A325,回路定義!$B:$B,S325)=0),"／回路3が定義にない",""),2,300)))</f>
        <v/>
      </c>
    </row>
    <row r="326">
      <c r="A326" s="5" t="n"/>
      <c r="B326" s="5" t="n"/>
      <c r="C326" s="5" t="n"/>
      <c r="D326" s="5" t="n"/>
      <c r="E326" s="6">
        <f>IF(C326="","",C326+D326-1)</f>
        <v/>
      </c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6">
        <f>COUNT(N326,Q326,T326)</f>
        <v/>
      </c>
      <c r="Z326" s="6">
        <f>IF(OR(K326="",NOT(ISNUMBER(K326))),"",K326*SUM(N326,Q326,T326))</f>
        <v/>
      </c>
      <c r="AA326" s="6">
        <f>IF(OR(Y326=0,N326=""),"",N326/Y326)</f>
        <v/>
      </c>
      <c r="AB326" s="6">
        <f>IF(OR(Y326=0,Q326=""),"",Q326/Y326)</f>
        <v/>
      </c>
      <c r="AC326" s="6">
        <f>IF(OR(Y326=0,T326=""),"",T326/Y326)</f>
        <v/>
      </c>
      <c r="AD326" s="6">
        <f>IF(F326="","",IF((IF(AND(Y326=0,NOT(SUMPRODUCT(--ISNUMBER(SEARCH({"棚板","棚","アングル","ｱﾝｸﾞﾙ","使用不可","ケーブル","ｹｰﾌﾞﾙ","PatchPnael","パッチ","引き出し","引出","ブランク","ﾌﾞﾗﾝｸ","マネージ","ﾏﾈｰｼﾞ","PDU","ONU"},$F326&amp;"")))&gt;0),NOT(SUMPRODUCT(--ISNUMBER(SEARCH({"電源オフ","未投入","停止","未使用","撤去"},$X326&amp;"")))&gt;0)),"／電力が未記入","")&amp;IF(AND(NOT(ISNUMBER(J326)),NOT(SUMPRODUCT(--ISNUMBER(SEARCH({"棚板","棚","アングル","ｱﾝｸﾞﾙ","使用不可","ケーブル","ｹｰﾌﾞﾙ","PatchPnael","パッチ","引き出し","引出","ブランク","ﾌﾞﾗﾝｸ","マネージ","ﾏﾈｰｼﾞ","PDU","ONU"},$F326&amp;"")))&gt;0)),"／重量が未記入","")&amp;IF(AND(K326&lt;&gt;"",NOT(ISNUMBER(K326))),"／電圧が数値でない","")&amp;IF(AND(N326&lt;&gt;"",NOT(ISNUMBER(N326))),"／電流が数値でない","")&amp;IF(AND(C326&lt;&gt;"",C326&lt;1),"／開始Uが1未満","")&amp;IF(AND(E326&lt;&gt;"",E326&gt;IFERROR(VLOOKUP(A326,ラック定義!$A:$B,2,FALSE),47)),"／総Uをはみ出す","")&amp;IF(AND(A326&lt;&gt;"",COUNTIF(ラック定義!$A:$A,A326)=0),"／ラックが定義にない","")&amp;IF(AND(SUMPRODUCT((機器台帳!$A$2:$A$400=$A326)*((機器台帳!$B$2:$B$400=$B326)+(機器台帳!$B$2:$B$400="両面")+($B326="両面")&gt;0)*(機器台帳!$C$2:$C$400&lt;=$C326+$D326-1)*(機器台帳!$C$2:$C$400+機器台帳!$D$2:$D$400-1&gt;=$C326)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326&amp;"")))&gt;0)),"／同じUに他の機器(横並びなら正常)","")&amp;IF(AND(M326&lt;&gt;"",COUNTIFS(回路定義!$A:$A,A326,回路定義!$B:$B,M326)=0),"／回路1が定義にない","")&amp;IF(AND(P326&lt;&gt;"",COUNTIFS(回路定義!$A:$A,A326,回路定義!$B:$B,P326)=0),"／回路2が定義にない","")&amp;IF(AND(S326&lt;&gt;"",COUNTIFS(回路定義!$A:$A,A326,回路定義!$B:$B,S326)=0),"／回路3が定義にない",""))="","",MID(IF(AND(Y326=0,NOT(SUMPRODUCT(--ISNUMBER(SEARCH({"棚板","棚","アングル","ｱﾝｸﾞﾙ","使用不可","ケーブル","ｹｰﾌﾞﾙ","PatchPnael","パッチ","引き出し","引出","ブランク","ﾌﾞﾗﾝｸ","マネージ","ﾏﾈｰｼﾞ","PDU","ONU"},$F326&amp;"")))&gt;0),NOT(SUMPRODUCT(--ISNUMBER(SEARCH({"電源オフ","未投入","停止","未使用","撤去"},$X326&amp;"")))&gt;0)),"／電力が未記入","")&amp;IF(AND(NOT(ISNUMBER(J326)),NOT(SUMPRODUCT(--ISNUMBER(SEARCH({"棚板","棚","アングル","ｱﾝｸﾞﾙ","使用不可","ケーブル","ｹｰﾌﾞﾙ","PatchPnael","パッチ","引き出し","引出","ブランク","ﾌﾞﾗﾝｸ","マネージ","ﾏﾈｰｼﾞ","PDU","ONU"},$F326&amp;"")))&gt;0)),"／重量が未記入","")&amp;IF(AND(K326&lt;&gt;"",NOT(ISNUMBER(K326))),"／電圧が数値でない","")&amp;IF(AND(N326&lt;&gt;"",NOT(ISNUMBER(N326))),"／電流が数値でない","")&amp;IF(AND(C326&lt;&gt;"",C326&lt;1),"／開始Uが1未満","")&amp;IF(AND(E326&lt;&gt;"",E326&gt;IFERROR(VLOOKUP(A326,ラック定義!$A:$B,2,FALSE),47)),"／総Uをはみ出す","")&amp;IF(AND(A326&lt;&gt;"",COUNTIF(ラック定義!$A:$A,A326)=0),"／ラックが定義にない","")&amp;IF(AND(SUMPRODUCT((機器台帳!$A$2:$A$400=$A326)*((機器台帳!$B$2:$B$400=$B326)+(機器台帳!$B$2:$B$400="両面")+($B326="両面")&gt;0)*(機器台帳!$C$2:$C$400&lt;=$C326+$D326-1)*(機器台帳!$C$2:$C$400+機器台帳!$D$2:$D$400-1&gt;=$C326)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326&amp;"")))&gt;0)),"／同じUに他の機器(横並びなら正常)","")&amp;IF(AND(M326&lt;&gt;"",COUNTIFS(回路定義!$A:$A,A326,回路定義!$B:$B,M326)=0),"／回路1が定義にない","")&amp;IF(AND(P326&lt;&gt;"",COUNTIFS(回路定義!$A:$A,A326,回路定義!$B:$B,P326)=0),"／回路2が定義にない","")&amp;IF(AND(S326&lt;&gt;"",COUNTIFS(回路定義!$A:$A,A326,回路定義!$B:$B,S326)=0),"／回路3が定義にない",""),2,300)))</f>
        <v/>
      </c>
    </row>
    <row r="327">
      <c r="A327" s="5" t="n"/>
      <c r="B327" s="5" t="n"/>
      <c r="C327" s="5" t="n"/>
      <c r="D327" s="5" t="n"/>
      <c r="E327" s="6">
        <f>IF(C327="","",C327+D327-1)</f>
        <v/>
      </c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6">
        <f>COUNT(N327,Q327,T327)</f>
        <v/>
      </c>
      <c r="Z327" s="6">
        <f>IF(OR(K327="",NOT(ISNUMBER(K327))),"",K327*SUM(N327,Q327,T327))</f>
        <v/>
      </c>
      <c r="AA327" s="6">
        <f>IF(OR(Y327=0,N327=""),"",N327/Y327)</f>
        <v/>
      </c>
      <c r="AB327" s="6">
        <f>IF(OR(Y327=0,Q327=""),"",Q327/Y327)</f>
        <v/>
      </c>
      <c r="AC327" s="6">
        <f>IF(OR(Y327=0,T327=""),"",T327/Y327)</f>
        <v/>
      </c>
      <c r="AD327" s="6">
        <f>IF(F327="","",IF((IF(AND(Y327=0,NOT(SUMPRODUCT(--ISNUMBER(SEARCH({"棚板","棚","アングル","ｱﾝｸﾞﾙ","使用不可","ケーブル","ｹｰﾌﾞﾙ","PatchPnael","パッチ","引き出し","引出","ブランク","ﾌﾞﾗﾝｸ","マネージ","ﾏﾈｰｼﾞ","PDU","ONU"},$F327&amp;"")))&gt;0),NOT(SUMPRODUCT(--ISNUMBER(SEARCH({"電源オフ","未投入","停止","未使用","撤去"},$X327&amp;"")))&gt;0)),"／電力が未記入","")&amp;IF(AND(NOT(ISNUMBER(J327)),NOT(SUMPRODUCT(--ISNUMBER(SEARCH({"棚板","棚","アングル","ｱﾝｸﾞﾙ","使用不可","ケーブル","ｹｰﾌﾞﾙ","PatchPnael","パッチ","引き出し","引出","ブランク","ﾌﾞﾗﾝｸ","マネージ","ﾏﾈｰｼﾞ","PDU","ONU"},$F327&amp;"")))&gt;0)),"／重量が未記入","")&amp;IF(AND(K327&lt;&gt;"",NOT(ISNUMBER(K327))),"／電圧が数値でない","")&amp;IF(AND(N327&lt;&gt;"",NOT(ISNUMBER(N327))),"／電流が数値でない","")&amp;IF(AND(C327&lt;&gt;"",C327&lt;1),"／開始Uが1未満","")&amp;IF(AND(E327&lt;&gt;"",E327&gt;IFERROR(VLOOKUP(A327,ラック定義!$A:$B,2,FALSE),47)),"／総Uをはみ出す","")&amp;IF(AND(A327&lt;&gt;"",COUNTIF(ラック定義!$A:$A,A327)=0),"／ラックが定義にない","")&amp;IF(AND(SUMPRODUCT((機器台帳!$A$2:$A$400=$A327)*((機器台帳!$B$2:$B$400=$B327)+(機器台帳!$B$2:$B$400="両面")+($B327="両面")&gt;0)*(機器台帳!$C$2:$C$400&lt;=$C327+$D327-1)*(機器台帳!$C$2:$C$400+機器台帳!$D$2:$D$400-1&gt;=$C327)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327&amp;"")))&gt;0)),"／同じUに他の機器(横並びなら正常)","")&amp;IF(AND(M327&lt;&gt;"",COUNTIFS(回路定義!$A:$A,A327,回路定義!$B:$B,M327)=0),"／回路1が定義にない","")&amp;IF(AND(P327&lt;&gt;"",COUNTIFS(回路定義!$A:$A,A327,回路定義!$B:$B,P327)=0),"／回路2が定義にない","")&amp;IF(AND(S327&lt;&gt;"",COUNTIFS(回路定義!$A:$A,A327,回路定義!$B:$B,S327)=0),"／回路3が定義にない",""))="","",MID(IF(AND(Y327=0,NOT(SUMPRODUCT(--ISNUMBER(SEARCH({"棚板","棚","アングル","ｱﾝｸﾞﾙ","使用不可","ケーブル","ｹｰﾌﾞﾙ","PatchPnael","パッチ","引き出し","引出","ブランク","ﾌﾞﾗﾝｸ","マネージ","ﾏﾈｰｼﾞ","PDU","ONU"},$F327&amp;"")))&gt;0),NOT(SUMPRODUCT(--ISNUMBER(SEARCH({"電源オフ","未投入","停止","未使用","撤去"},$X327&amp;"")))&gt;0)),"／電力が未記入","")&amp;IF(AND(NOT(ISNUMBER(J327)),NOT(SUMPRODUCT(--ISNUMBER(SEARCH({"棚板","棚","アングル","ｱﾝｸﾞﾙ","使用不可","ケーブル","ｹｰﾌﾞﾙ","PatchPnael","パッチ","引き出し","引出","ブランク","ﾌﾞﾗﾝｸ","マネージ","ﾏﾈｰｼﾞ","PDU","ONU"},$F327&amp;"")))&gt;0)),"／重量が未記入","")&amp;IF(AND(K327&lt;&gt;"",NOT(ISNUMBER(K327))),"／電圧が数値でない","")&amp;IF(AND(N327&lt;&gt;"",NOT(ISNUMBER(N327))),"／電流が数値でない","")&amp;IF(AND(C327&lt;&gt;"",C327&lt;1),"／開始Uが1未満","")&amp;IF(AND(E327&lt;&gt;"",E327&gt;IFERROR(VLOOKUP(A327,ラック定義!$A:$B,2,FALSE),47)),"／総Uをはみ出す","")&amp;IF(AND(A327&lt;&gt;"",COUNTIF(ラック定義!$A:$A,A327)=0),"／ラックが定義にない","")&amp;IF(AND(SUMPRODUCT((機器台帳!$A$2:$A$400=$A327)*((機器台帳!$B$2:$B$400=$B327)+(機器台帳!$B$2:$B$400="両面")+($B327="両面")&gt;0)*(機器台帳!$C$2:$C$400&lt;=$C327+$D327-1)*(機器台帳!$C$2:$C$400+機器台帳!$D$2:$D$400-1&gt;=$C327)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327&amp;"")))&gt;0)),"／同じUに他の機器(横並びなら正常)","")&amp;IF(AND(M327&lt;&gt;"",COUNTIFS(回路定義!$A:$A,A327,回路定義!$B:$B,M327)=0),"／回路1が定義にない","")&amp;IF(AND(P327&lt;&gt;"",COUNTIFS(回路定義!$A:$A,A327,回路定義!$B:$B,P327)=0),"／回路2が定義にない","")&amp;IF(AND(S327&lt;&gt;"",COUNTIFS(回路定義!$A:$A,A327,回路定義!$B:$B,S327)=0),"／回路3が定義にない",""),2,300)))</f>
        <v/>
      </c>
    </row>
    <row r="328">
      <c r="A328" s="5" t="n"/>
      <c r="B328" s="5" t="n"/>
      <c r="C328" s="5" t="n"/>
      <c r="D328" s="5" t="n"/>
      <c r="E328" s="6">
        <f>IF(C328="","",C328+D328-1)</f>
        <v/>
      </c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6">
        <f>COUNT(N328,Q328,T328)</f>
        <v/>
      </c>
      <c r="Z328" s="6">
        <f>IF(OR(K328="",NOT(ISNUMBER(K328))),"",K328*SUM(N328,Q328,T328))</f>
        <v/>
      </c>
      <c r="AA328" s="6">
        <f>IF(OR(Y328=0,N328=""),"",N328/Y328)</f>
        <v/>
      </c>
      <c r="AB328" s="6">
        <f>IF(OR(Y328=0,Q328=""),"",Q328/Y328)</f>
        <v/>
      </c>
      <c r="AC328" s="6">
        <f>IF(OR(Y328=0,T328=""),"",T328/Y328)</f>
        <v/>
      </c>
      <c r="AD328" s="6">
        <f>IF(F328="","",IF((IF(AND(Y328=0,NOT(SUMPRODUCT(--ISNUMBER(SEARCH({"棚板","棚","アングル","ｱﾝｸﾞﾙ","使用不可","ケーブル","ｹｰﾌﾞﾙ","PatchPnael","パッチ","引き出し","引出","ブランク","ﾌﾞﾗﾝｸ","マネージ","ﾏﾈｰｼﾞ","PDU","ONU"},$F328&amp;"")))&gt;0),NOT(SUMPRODUCT(--ISNUMBER(SEARCH({"電源オフ","未投入","停止","未使用","撤去"},$X328&amp;"")))&gt;0)),"／電力が未記入","")&amp;IF(AND(NOT(ISNUMBER(J328)),NOT(SUMPRODUCT(--ISNUMBER(SEARCH({"棚板","棚","アングル","ｱﾝｸﾞﾙ","使用不可","ケーブル","ｹｰﾌﾞﾙ","PatchPnael","パッチ","引き出し","引出","ブランク","ﾌﾞﾗﾝｸ","マネージ","ﾏﾈｰｼﾞ","PDU","ONU"},$F328&amp;"")))&gt;0)),"／重量が未記入","")&amp;IF(AND(K328&lt;&gt;"",NOT(ISNUMBER(K328))),"／電圧が数値でない","")&amp;IF(AND(N328&lt;&gt;"",NOT(ISNUMBER(N328))),"／電流が数値でない","")&amp;IF(AND(C328&lt;&gt;"",C328&lt;1),"／開始Uが1未満","")&amp;IF(AND(E328&lt;&gt;"",E328&gt;IFERROR(VLOOKUP(A328,ラック定義!$A:$B,2,FALSE),47)),"／総Uをはみ出す","")&amp;IF(AND(A328&lt;&gt;"",COUNTIF(ラック定義!$A:$A,A328)=0),"／ラックが定義にない","")&amp;IF(AND(SUMPRODUCT((機器台帳!$A$2:$A$400=$A328)*((機器台帳!$B$2:$B$400=$B328)+(機器台帳!$B$2:$B$400="両面")+($B328="両面")&gt;0)*(機器台帳!$C$2:$C$400&lt;=$C328+$D328-1)*(機器台帳!$C$2:$C$400+機器台帳!$D$2:$D$400-1&gt;=$C328)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328&amp;"")))&gt;0)),"／同じUに他の機器(横並びなら正常)","")&amp;IF(AND(M328&lt;&gt;"",COUNTIFS(回路定義!$A:$A,A328,回路定義!$B:$B,M328)=0),"／回路1が定義にない","")&amp;IF(AND(P328&lt;&gt;"",COUNTIFS(回路定義!$A:$A,A328,回路定義!$B:$B,P328)=0),"／回路2が定義にない","")&amp;IF(AND(S328&lt;&gt;"",COUNTIFS(回路定義!$A:$A,A328,回路定義!$B:$B,S328)=0),"／回路3が定義にない",""))="","",MID(IF(AND(Y328=0,NOT(SUMPRODUCT(--ISNUMBER(SEARCH({"棚板","棚","アングル","ｱﾝｸﾞﾙ","使用不可","ケーブル","ｹｰﾌﾞﾙ","PatchPnael","パッチ","引き出し","引出","ブランク","ﾌﾞﾗﾝｸ","マネージ","ﾏﾈｰｼﾞ","PDU","ONU"},$F328&amp;"")))&gt;0),NOT(SUMPRODUCT(--ISNUMBER(SEARCH({"電源オフ","未投入","停止","未使用","撤去"},$X328&amp;"")))&gt;0)),"／電力が未記入","")&amp;IF(AND(NOT(ISNUMBER(J328)),NOT(SUMPRODUCT(--ISNUMBER(SEARCH({"棚板","棚","アングル","ｱﾝｸﾞﾙ","使用不可","ケーブル","ｹｰﾌﾞﾙ","PatchPnael","パッチ","引き出し","引出","ブランク","ﾌﾞﾗﾝｸ","マネージ","ﾏﾈｰｼﾞ","PDU","ONU"},$F328&amp;"")))&gt;0)),"／重量が未記入","")&amp;IF(AND(K328&lt;&gt;"",NOT(ISNUMBER(K328))),"／電圧が数値でない","")&amp;IF(AND(N328&lt;&gt;"",NOT(ISNUMBER(N328))),"／電流が数値でない","")&amp;IF(AND(C328&lt;&gt;"",C328&lt;1),"／開始Uが1未満","")&amp;IF(AND(E328&lt;&gt;"",E328&gt;IFERROR(VLOOKUP(A328,ラック定義!$A:$B,2,FALSE),47)),"／総Uをはみ出す","")&amp;IF(AND(A328&lt;&gt;"",COUNTIF(ラック定義!$A:$A,A328)=0),"／ラックが定義にない","")&amp;IF(AND(SUMPRODUCT((機器台帳!$A$2:$A$400=$A328)*((機器台帳!$B$2:$B$400=$B328)+(機器台帳!$B$2:$B$400="両面")+($B328="両面")&gt;0)*(機器台帳!$C$2:$C$400&lt;=$C328+$D328-1)*(機器台帳!$C$2:$C$400+機器台帳!$D$2:$D$400-1&gt;=$C328)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328&amp;"")))&gt;0)),"／同じUに他の機器(横並びなら正常)","")&amp;IF(AND(M328&lt;&gt;"",COUNTIFS(回路定義!$A:$A,A328,回路定義!$B:$B,M328)=0),"／回路1が定義にない","")&amp;IF(AND(P328&lt;&gt;"",COUNTIFS(回路定義!$A:$A,A328,回路定義!$B:$B,P328)=0),"／回路2が定義にない","")&amp;IF(AND(S328&lt;&gt;"",COUNTIFS(回路定義!$A:$A,A328,回路定義!$B:$B,S328)=0),"／回路3が定義にない",""),2,300)))</f>
        <v/>
      </c>
    </row>
    <row r="329">
      <c r="A329" s="5" t="n"/>
      <c r="B329" s="5" t="n"/>
      <c r="C329" s="5" t="n"/>
      <c r="D329" s="5" t="n"/>
      <c r="E329" s="6">
        <f>IF(C329="","",C329+D329-1)</f>
        <v/>
      </c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6">
        <f>COUNT(N329,Q329,T329)</f>
        <v/>
      </c>
      <c r="Z329" s="6">
        <f>IF(OR(K329="",NOT(ISNUMBER(K329))),"",K329*SUM(N329,Q329,T329))</f>
        <v/>
      </c>
      <c r="AA329" s="6">
        <f>IF(OR(Y329=0,N329=""),"",N329/Y329)</f>
        <v/>
      </c>
      <c r="AB329" s="6">
        <f>IF(OR(Y329=0,Q329=""),"",Q329/Y329)</f>
        <v/>
      </c>
      <c r="AC329" s="6">
        <f>IF(OR(Y329=0,T329=""),"",T329/Y329)</f>
        <v/>
      </c>
      <c r="AD329" s="6">
        <f>IF(F329="","",IF((IF(AND(Y329=0,NOT(SUMPRODUCT(--ISNUMBER(SEARCH({"棚板","棚","アングル","ｱﾝｸﾞﾙ","使用不可","ケーブル","ｹｰﾌﾞﾙ","PatchPnael","パッチ","引き出し","引出","ブランク","ﾌﾞﾗﾝｸ","マネージ","ﾏﾈｰｼﾞ","PDU","ONU"},$F329&amp;"")))&gt;0),NOT(SUMPRODUCT(--ISNUMBER(SEARCH({"電源オフ","未投入","停止","未使用","撤去"},$X329&amp;"")))&gt;0)),"／電力が未記入","")&amp;IF(AND(NOT(ISNUMBER(J329)),NOT(SUMPRODUCT(--ISNUMBER(SEARCH({"棚板","棚","アングル","ｱﾝｸﾞﾙ","使用不可","ケーブル","ｹｰﾌﾞﾙ","PatchPnael","パッチ","引き出し","引出","ブランク","ﾌﾞﾗﾝｸ","マネージ","ﾏﾈｰｼﾞ","PDU","ONU"},$F329&amp;"")))&gt;0)),"／重量が未記入","")&amp;IF(AND(K329&lt;&gt;"",NOT(ISNUMBER(K329))),"／電圧が数値でない","")&amp;IF(AND(N329&lt;&gt;"",NOT(ISNUMBER(N329))),"／電流が数値でない","")&amp;IF(AND(C329&lt;&gt;"",C329&lt;1),"／開始Uが1未満","")&amp;IF(AND(E329&lt;&gt;"",E329&gt;IFERROR(VLOOKUP(A329,ラック定義!$A:$B,2,FALSE),47)),"／総Uをはみ出す","")&amp;IF(AND(A329&lt;&gt;"",COUNTIF(ラック定義!$A:$A,A329)=0),"／ラックが定義にない","")&amp;IF(AND(SUMPRODUCT((機器台帳!$A$2:$A$400=$A329)*((機器台帳!$B$2:$B$400=$B329)+(機器台帳!$B$2:$B$400="両面")+($B329="両面")&gt;0)*(機器台帳!$C$2:$C$400&lt;=$C329+$D329-1)*(機器台帳!$C$2:$C$400+機器台帳!$D$2:$D$400-1&gt;=$C329)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329&amp;"")))&gt;0)),"／同じUに他の機器(横並びなら正常)","")&amp;IF(AND(M329&lt;&gt;"",COUNTIFS(回路定義!$A:$A,A329,回路定義!$B:$B,M329)=0),"／回路1が定義にない","")&amp;IF(AND(P329&lt;&gt;"",COUNTIFS(回路定義!$A:$A,A329,回路定義!$B:$B,P329)=0),"／回路2が定義にない","")&amp;IF(AND(S329&lt;&gt;"",COUNTIFS(回路定義!$A:$A,A329,回路定義!$B:$B,S329)=0),"／回路3が定義にない",""))="","",MID(IF(AND(Y329=0,NOT(SUMPRODUCT(--ISNUMBER(SEARCH({"棚板","棚","アングル","ｱﾝｸﾞﾙ","使用不可","ケーブル","ｹｰﾌﾞﾙ","PatchPnael","パッチ","引き出し","引出","ブランク","ﾌﾞﾗﾝｸ","マネージ","ﾏﾈｰｼﾞ","PDU","ONU"},$F329&amp;"")))&gt;0),NOT(SUMPRODUCT(--ISNUMBER(SEARCH({"電源オフ","未投入","停止","未使用","撤去"},$X329&amp;"")))&gt;0)),"／電力が未記入","")&amp;IF(AND(NOT(ISNUMBER(J329)),NOT(SUMPRODUCT(--ISNUMBER(SEARCH({"棚板","棚","アングル","ｱﾝｸﾞﾙ","使用不可","ケーブル","ｹｰﾌﾞﾙ","PatchPnael","パッチ","引き出し","引出","ブランク","ﾌﾞﾗﾝｸ","マネージ","ﾏﾈｰｼﾞ","PDU","ONU"},$F329&amp;"")))&gt;0)),"／重量が未記入","")&amp;IF(AND(K329&lt;&gt;"",NOT(ISNUMBER(K329))),"／電圧が数値でない","")&amp;IF(AND(N329&lt;&gt;"",NOT(ISNUMBER(N329))),"／電流が数値でない","")&amp;IF(AND(C329&lt;&gt;"",C329&lt;1),"／開始Uが1未満","")&amp;IF(AND(E329&lt;&gt;"",E329&gt;IFERROR(VLOOKUP(A329,ラック定義!$A:$B,2,FALSE),47)),"／総Uをはみ出す","")&amp;IF(AND(A329&lt;&gt;"",COUNTIF(ラック定義!$A:$A,A329)=0),"／ラックが定義にない","")&amp;IF(AND(SUMPRODUCT((機器台帳!$A$2:$A$400=$A329)*((機器台帳!$B$2:$B$400=$B329)+(機器台帳!$B$2:$B$400="両面")+($B329="両面")&gt;0)*(機器台帳!$C$2:$C$400&lt;=$C329+$D329-1)*(機器台帳!$C$2:$C$400+機器台帳!$D$2:$D$400-1&gt;=$C329)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329&amp;"")))&gt;0)),"／同じUに他の機器(横並びなら正常)","")&amp;IF(AND(M329&lt;&gt;"",COUNTIFS(回路定義!$A:$A,A329,回路定義!$B:$B,M329)=0),"／回路1が定義にない","")&amp;IF(AND(P329&lt;&gt;"",COUNTIFS(回路定義!$A:$A,A329,回路定義!$B:$B,P329)=0),"／回路2が定義にない","")&amp;IF(AND(S329&lt;&gt;"",COUNTIFS(回路定義!$A:$A,A329,回路定義!$B:$B,S329)=0),"／回路3が定義にない",""),2,300)))</f>
        <v/>
      </c>
    </row>
    <row r="330">
      <c r="A330" s="5" t="n"/>
      <c r="B330" s="5" t="n"/>
      <c r="C330" s="5" t="n"/>
      <c r="D330" s="5" t="n"/>
      <c r="E330" s="6">
        <f>IF(C330="","",C330+D330-1)</f>
        <v/>
      </c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6">
        <f>COUNT(N330,Q330,T330)</f>
        <v/>
      </c>
      <c r="Z330" s="6">
        <f>IF(OR(K330="",NOT(ISNUMBER(K330))),"",K330*SUM(N330,Q330,T330))</f>
        <v/>
      </c>
      <c r="AA330" s="6">
        <f>IF(OR(Y330=0,N330=""),"",N330/Y330)</f>
        <v/>
      </c>
      <c r="AB330" s="6">
        <f>IF(OR(Y330=0,Q330=""),"",Q330/Y330)</f>
        <v/>
      </c>
      <c r="AC330" s="6">
        <f>IF(OR(Y330=0,T330=""),"",T330/Y330)</f>
        <v/>
      </c>
      <c r="AD330" s="6">
        <f>IF(F330="","",IF((IF(AND(Y330=0,NOT(SUMPRODUCT(--ISNUMBER(SEARCH({"棚板","棚","アングル","ｱﾝｸﾞﾙ","使用不可","ケーブル","ｹｰﾌﾞﾙ","PatchPnael","パッチ","引き出し","引出","ブランク","ﾌﾞﾗﾝｸ","マネージ","ﾏﾈｰｼﾞ","PDU","ONU"},$F330&amp;"")))&gt;0),NOT(SUMPRODUCT(--ISNUMBER(SEARCH({"電源オフ","未投入","停止","未使用","撤去"},$X330&amp;"")))&gt;0)),"／電力が未記入","")&amp;IF(AND(NOT(ISNUMBER(J330)),NOT(SUMPRODUCT(--ISNUMBER(SEARCH({"棚板","棚","アングル","ｱﾝｸﾞﾙ","使用不可","ケーブル","ｹｰﾌﾞﾙ","PatchPnael","パッチ","引き出し","引出","ブランク","ﾌﾞﾗﾝｸ","マネージ","ﾏﾈｰｼﾞ","PDU","ONU"},$F330&amp;"")))&gt;0)),"／重量が未記入","")&amp;IF(AND(K330&lt;&gt;"",NOT(ISNUMBER(K330))),"／電圧が数値でない","")&amp;IF(AND(N330&lt;&gt;"",NOT(ISNUMBER(N330))),"／電流が数値でない","")&amp;IF(AND(C330&lt;&gt;"",C330&lt;1),"／開始Uが1未満","")&amp;IF(AND(E330&lt;&gt;"",E330&gt;IFERROR(VLOOKUP(A330,ラック定義!$A:$B,2,FALSE),47)),"／総Uをはみ出す","")&amp;IF(AND(A330&lt;&gt;"",COUNTIF(ラック定義!$A:$A,A330)=0),"／ラックが定義にない","")&amp;IF(AND(SUMPRODUCT((機器台帳!$A$2:$A$400=$A330)*((機器台帳!$B$2:$B$400=$B330)+(機器台帳!$B$2:$B$400="両面")+($B330="両面")&gt;0)*(機器台帳!$C$2:$C$400&lt;=$C330+$D330-1)*(機器台帳!$C$2:$C$400+機器台帳!$D$2:$D$400-1&gt;=$C330)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330&amp;"")))&gt;0)),"／同じUに他の機器(横並びなら正常)","")&amp;IF(AND(M330&lt;&gt;"",COUNTIFS(回路定義!$A:$A,A330,回路定義!$B:$B,M330)=0),"／回路1が定義にない","")&amp;IF(AND(P330&lt;&gt;"",COUNTIFS(回路定義!$A:$A,A330,回路定義!$B:$B,P330)=0),"／回路2が定義にない","")&amp;IF(AND(S330&lt;&gt;"",COUNTIFS(回路定義!$A:$A,A330,回路定義!$B:$B,S330)=0),"／回路3が定義にない",""))="","",MID(IF(AND(Y330=0,NOT(SUMPRODUCT(--ISNUMBER(SEARCH({"棚板","棚","アングル","ｱﾝｸﾞﾙ","使用不可","ケーブル","ｹｰﾌﾞﾙ","PatchPnael","パッチ","引き出し","引出","ブランク","ﾌﾞﾗﾝｸ","マネージ","ﾏﾈｰｼﾞ","PDU","ONU"},$F330&amp;"")))&gt;0),NOT(SUMPRODUCT(--ISNUMBER(SEARCH({"電源オフ","未投入","停止","未使用","撤去"},$X330&amp;"")))&gt;0)),"／電力が未記入","")&amp;IF(AND(NOT(ISNUMBER(J330)),NOT(SUMPRODUCT(--ISNUMBER(SEARCH({"棚板","棚","アングル","ｱﾝｸﾞﾙ","使用不可","ケーブル","ｹｰﾌﾞﾙ","PatchPnael","パッチ","引き出し","引出","ブランク","ﾌﾞﾗﾝｸ","マネージ","ﾏﾈｰｼﾞ","PDU","ONU"},$F330&amp;"")))&gt;0)),"／重量が未記入","")&amp;IF(AND(K330&lt;&gt;"",NOT(ISNUMBER(K330))),"／電圧が数値でない","")&amp;IF(AND(N330&lt;&gt;"",NOT(ISNUMBER(N330))),"／電流が数値でない","")&amp;IF(AND(C330&lt;&gt;"",C330&lt;1),"／開始Uが1未満","")&amp;IF(AND(E330&lt;&gt;"",E330&gt;IFERROR(VLOOKUP(A330,ラック定義!$A:$B,2,FALSE),47)),"／総Uをはみ出す","")&amp;IF(AND(A330&lt;&gt;"",COUNTIF(ラック定義!$A:$A,A330)=0),"／ラックが定義にない","")&amp;IF(AND(SUMPRODUCT((機器台帳!$A$2:$A$400=$A330)*((機器台帳!$B$2:$B$400=$B330)+(機器台帳!$B$2:$B$400="両面")+($B330="両面")&gt;0)*(機器台帳!$C$2:$C$400&lt;=$C330+$D330-1)*(機器台帳!$C$2:$C$400+機器台帳!$D$2:$D$400-1&gt;=$C330)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330&amp;"")))&gt;0)),"／同じUに他の機器(横並びなら正常)","")&amp;IF(AND(M330&lt;&gt;"",COUNTIFS(回路定義!$A:$A,A330,回路定義!$B:$B,M330)=0),"／回路1が定義にない","")&amp;IF(AND(P330&lt;&gt;"",COUNTIFS(回路定義!$A:$A,A330,回路定義!$B:$B,P330)=0),"／回路2が定義にない","")&amp;IF(AND(S330&lt;&gt;"",COUNTIFS(回路定義!$A:$A,A330,回路定義!$B:$B,S330)=0),"／回路3が定義にない",""),2,300)))</f>
        <v/>
      </c>
    </row>
    <row r="331">
      <c r="A331" s="5" t="n"/>
      <c r="B331" s="5" t="n"/>
      <c r="C331" s="5" t="n"/>
      <c r="D331" s="5" t="n"/>
      <c r="E331" s="6">
        <f>IF(C331="","",C331+D331-1)</f>
        <v/>
      </c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6">
        <f>COUNT(N331,Q331,T331)</f>
        <v/>
      </c>
      <c r="Z331" s="6">
        <f>IF(OR(K331="",NOT(ISNUMBER(K331))),"",K331*SUM(N331,Q331,T331))</f>
        <v/>
      </c>
      <c r="AA331" s="6">
        <f>IF(OR(Y331=0,N331=""),"",N331/Y331)</f>
        <v/>
      </c>
      <c r="AB331" s="6">
        <f>IF(OR(Y331=0,Q331=""),"",Q331/Y331)</f>
        <v/>
      </c>
      <c r="AC331" s="6">
        <f>IF(OR(Y331=0,T331=""),"",T331/Y331)</f>
        <v/>
      </c>
      <c r="AD331" s="6">
        <f>IF(F331="","",IF((IF(AND(Y331=0,NOT(SUMPRODUCT(--ISNUMBER(SEARCH({"棚板","棚","アングル","ｱﾝｸﾞﾙ","使用不可","ケーブル","ｹｰﾌﾞﾙ","PatchPnael","パッチ","引き出し","引出","ブランク","ﾌﾞﾗﾝｸ","マネージ","ﾏﾈｰｼﾞ","PDU","ONU"},$F331&amp;"")))&gt;0),NOT(SUMPRODUCT(--ISNUMBER(SEARCH({"電源オフ","未投入","停止","未使用","撤去"},$X331&amp;"")))&gt;0)),"／電力が未記入","")&amp;IF(AND(NOT(ISNUMBER(J331)),NOT(SUMPRODUCT(--ISNUMBER(SEARCH({"棚板","棚","アングル","ｱﾝｸﾞﾙ","使用不可","ケーブル","ｹｰﾌﾞﾙ","PatchPnael","パッチ","引き出し","引出","ブランク","ﾌﾞﾗﾝｸ","マネージ","ﾏﾈｰｼﾞ","PDU","ONU"},$F331&amp;"")))&gt;0)),"／重量が未記入","")&amp;IF(AND(K331&lt;&gt;"",NOT(ISNUMBER(K331))),"／電圧が数値でない","")&amp;IF(AND(N331&lt;&gt;"",NOT(ISNUMBER(N331))),"／電流が数値でない","")&amp;IF(AND(C331&lt;&gt;"",C331&lt;1),"／開始Uが1未満","")&amp;IF(AND(E331&lt;&gt;"",E331&gt;IFERROR(VLOOKUP(A331,ラック定義!$A:$B,2,FALSE),47)),"／総Uをはみ出す","")&amp;IF(AND(A331&lt;&gt;"",COUNTIF(ラック定義!$A:$A,A331)=0),"／ラックが定義にない","")&amp;IF(AND(SUMPRODUCT((機器台帳!$A$2:$A$400=$A331)*((機器台帳!$B$2:$B$400=$B331)+(機器台帳!$B$2:$B$400="両面")+($B331="両面")&gt;0)*(機器台帳!$C$2:$C$400&lt;=$C331+$D331-1)*(機器台帳!$C$2:$C$400+機器台帳!$D$2:$D$400-1&gt;=$C331)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331&amp;"")))&gt;0)),"／同じUに他の機器(横並びなら正常)","")&amp;IF(AND(M331&lt;&gt;"",COUNTIFS(回路定義!$A:$A,A331,回路定義!$B:$B,M331)=0),"／回路1が定義にない","")&amp;IF(AND(P331&lt;&gt;"",COUNTIFS(回路定義!$A:$A,A331,回路定義!$B:$B,P331)=0),"／回路2が定義にない","")&amp;IF(AND(S331&lt;&gt;"",COUNTIFS(回路定義!$A:$A,A331,回路定義!$B:$B,S331)=0),"／回路3が定義にない",""))="","",MID(IF(AND(Y331=0,NOT(SUMPRODUCT(--ISNUMBER(SEARCH({"棚板","棚","アングル","ｱﾝｸﾞﾙ","使用不可","ケーブル","ｹｰﾌﾞﾙ","PatchPnael","パッチ","引き出し","引出","ブランク","ﾌﾞﾗﾝｸ","マネージ","ﾏﾈｰｼﾞ","PDU","ONU"},$F331&amp;"")))&gt;0),NOT(SUMPRODUCT(--ISNUMBER(SEARCH({"電源オフ","未投入","停止","未使用","撤去"},$X331&amp;"")))&gt;0)),"／電力が未記入","")&amp;IF(AND(NOT(ISNUMBER(J331)),NOT(SUMPRODUCT(--ISNUMBER(SEARCH({"棚板","棚","アングル","ｱﾝｸﾞﾙ","使用不可","ケーブル","ｹｰﾌﾞﾙ","PatchPnael","パッチ","引き出し","引出","ブランク","ﾌﾞﾗﾝｸ","マネージ","ﾏﾈｰｼﾞ","PDU","ONU"},$F331&amp;"")))&gt;0)),"／重量が未記入","")&amp;IF(AND(K331&lt;&gt;"",NOT(ISNUMBER(K331))),"／電圧が数値でない","")&amp;IF(AND(N331&lt;&gt;"",NOT(ISNUMBER(N331))),"／電流が数値でない","")&amp;IF(AND(C331&lt;&gt;"",C331&lt;1),"／開始Uが1未満","")&amp;IF(AND(E331&lt;&gt;"",E331&gt;IFERROR(VLOOKUP(A331,ラック定義!$A:$B,2,FALSE),47)),"／総Uをはみ出す","")&amp;IF(AND(A331&lt;&gt;"",COUNTIF(ラック定義!$A:$A,A331)=0),"／ラックが定義にない","")&amp;IF(AND(SUMPRODUCT((機器台帳!$A$2:$A$400=$A331)*((機器台帳!$B$2:$B$400=$B331)+(機器台帳!$B$2:$B$400="両面")+($B331="両面")&gt;0)*(機器台帳!$C$2:$C$400&lt;=$C331+$D331-1)*(機器台帳!$C$2:$C$400+機器台帳!$D$2:$D$400-1&gt;=$C331)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331&amp;"")))&gt;0)),"／同じUに他の機器(横並びなら正常)","")&amp;IF(AND(M331&lt;&gt;"",COUNTIFS(回路定義!$A:$A,A331,回路定義!$B:$B,M331)=0),"／回路1が定義にない","")&amp;IF(AND(P331&lt;&gt;"",COUNTIFS(回路定義!$A:$A,A331,回路定義!$B:$B,P331)=0),"／回路2が定義にない","")&amp;IF(AND(S331&lt;&gt;"",COUNTIFS(回路定義!$A:$A,A331,回路定義!$B:$B,S331)=0),"／回路3が定義にない",""),2,300)))</f>
        <v/>
      </c>
    </row>
    <row r="332">
      <c r="A332" s="5" t="n"/>
      <c r="B332" s="5" t="n"/>
      <c r="C332" s="5" t="n"/>
      <c r="D332" s="5" t="n"/>
      <c r="E332" s="6">
        <f>IF(C332="","",C332+D332-1)</f>
        <v/>
      </c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6">
        <f>COUNT(N332,Q332,T332)</f>
        <v/>
      </c>
      <c r="Z332" s="6">
        <f>IF(OR(K332="",NOT(ISNUMBER(K332))),"",K332*SUM(N332,Q332,T332))</f>
        <v/>
      </c>
      <c r="AA332" s="6">
        <f>IF(OR(Y332=0,N332=""),"",N332/Y332)</f>
        <v/>
      </c>
      <c r="AB332" s="6">
        <f>IF(OR(Y332=0,Q332=""),"",Q332/Y332)</f>
        <v/>
      </c>
      <c r="AC332" s="6">
        <f>IF(OR(Y332=0,T332=""),"",T332/Y332)</f>
        <v/>
      </c>
      <c r="AD332" s="6">
        <f>IF(F332="","",IF((IF(AND(Y332=0,NOT(SUMPRODUCT(--ISNUMBER(SEARCH({"棚板","棚","アングル","ｱﾝｸﾞﾙ","使用不可","ケーブル","ｹｰﾌﾞﾙ","PatchPnael","パッチ","引き出し","引出","ブランク","ﾌﾞﾗﾝｸ","マネージ","ﾏﾈｰｼﾞ","PDU","ONU"},$F332&amp;"")))&gt;0),NOT(SUMPRODUCT(--ISNUMBER(SEARCH({"電源オフ","未投入","停止","未使用","撤去"},$X332&amp;"")))&gt;0)),"／電力が未記入","")&amp;IF(AND(NOT(ISNUMBER(J332)),NOT(SUMPRODUCT(--ISNUMBER(SEARCH({"棚板","棚","アングル","ｱﾝｸﾞﾙ","使用不可","ケーブル","ｹｰﾌﾞﾙ","PatchPnael","パッチ","引き出し","引出","ブランク","ﾌﾞﾗﾝｸ","マネージ","ﾏﾈｰｼﾞ","PDU","ONU"},$F332&amp;"")))&gt;0)),"／重量が未記入","")&amp;IF(AND(K332&lt;&gt;"",NOT(ISNUMBER(K332))),"／電圧が数値でない","")&amp;IF(AND(N332&lt;&gt;"",NOT(ISNUMBER(N332))),"／電流が数値でない","")&amp;IF(AND(C332&lt;&gt;"",C332&lt;1),"／開始Uが1未満","")&amp;IF(AND(E332&lt;&gt;"",E332&gt;IFERROR(VLOOKUP(A332,ラック定義!$A:$B,2,FALSE),47)),"／総Uをはみ出す","")&amp;IF(AND(A332&lt;&gt;"",COUNTIF(ラック定義!$A:$A,A332)=0),"／ラックが定義にない","")&amp;IF(AND(SUMPRODUCT((機器台帳!$A$2:$A$400=$A332)*((機器台帳!$B$2:$B$400=$B332)+(機器台帳!$B$2:$B$400="両面")+($B332="両面")&gt;0)*(機器台帳!$C$2:$C$400&lt;=$C332+$D332-1)*(機器台帳!$C$2:$C$400+機器台帳!$D$2:$D$400-1&gt;=$C332)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332&amp;"")))&gt;0)),"／同じUに他の機器(横並びなら正常)","")&amp;IF(AND(M332&lt;&gt;"",COUNTIFS(回路定義!$A:$A,A332,回路定義!$B:$B,M332)=0),"／回路1が定義にない","")&amp;IF(AND(P332&lt;&gt;"",COUNTIFS(回路定義!$A:$A,A332,回路定義!$B:$B,P332)=0),"／回路2が定義にない","")&amp;IF(AND(S332&lt;&gt;"",COUNTIFS(回路定義!$A:$A,A332,回路定義!$B:$B,S332)=0),"／回路3が定義にない",""))="","",MID(IF(AND(Y332=0,NOT(SUMPRODUCT(--ISNUMBER(SEARCH({"棚板","棚","アングル","ｱﾝｸﾞﾙ","使用不可","ケーブル","ｹｰﾌﾞﾙ","PatchPnael","パッチ","引き出し","引出","ブランク","ﾌﾞﾗﾝｸ","マネージ","ﾏﾈｰｼﾞ","PDU","ONU"},$F332&amp;"")))&gt;0),NOT(SUMPRODUCT(--ISNUMBER(SEARCH({"電源オフ","未投入","停止","未使用","撤去"},$X332&amp;"")))&gt;0)),"／電力が未記入","")&amp;IF(AND(NOT(ISNUMBER(J332)),NOT(SUMPRODUCT(--ISNUMBER(SEARCH({"棚板","棚","アングル","ｱﾝｸﾞﾙ","使用不可","ケーブル","ｹｰﾌﾞﾙ","PatchPnael","パッチ","引き出し","引出","ブランク","ﾌﾞﾗﾝｸ","マネージ","ﾏﾈｰｼﾞ","PDU","ONU"},$F332&amp;"")))&gt;0)),"／重量が未記入","")&amp;IF(AND(K332&lt;&gt;"",NOT(ISNUMBER(K332))),"／電圧が数値でない","")&amp;IF(AND(N332&lt;&gt;"",NOT(ISNUMBER(N332))),"／電流が数値でない","")&amp;IF(AND(C332&lt;&gt;"",C332&lt;1),"／開始Uが1未満","")&amp;IF(AND(E332&lt;&gt;"",E332&gt;IFERROR(VLOOKUP(A332,ラック定義!$A:$B,2,FALSE),47)),"／総Uをはみ出す","")&amp;IF(AND(A332&lt;&gt;"",COUNTIF(ラック定義!$A:$A,A332)=0),"／ラックが定義にない","")&amp;IF(AND(SUMPRODUCT((機器台帳!$A$2:$A$400=$A332)*((機器台帳!$B$2:$B$400=$B332)+(機器台帳!$B$2:$B$400="両面")+($B332="両面")&gt;0)*(機器台帳!$C$2:$C$400&lt;=$C332+$D332-1)*(機器台帳!$C$2:$C$400+機器台帳!$D$2:$D$400-1&gt;=$C332)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332&amp;"")))&gt;0)),"／同じUに他の機器(横並びなら正常)","")&amp;IF(AND(M332&lt;&gt;"",COUNTIFS(回路定義!$A:$A,A332,回路定義!$B:$B,M332)=0),"／回路1が定義にない","")&amp;IF(AND(P332&lt;&gt;"",COUNTIFS(回路定義!$A:$A,A332,回路定義!$B:$B,P332)=0),"／回路2が定義にない","")&amp;IF(AND(S332&lt;&gt;"",COUNTIFS(回路定義!$A:$A,A332,回路定義!$B:$B,S332)=0),"／回路3が定義にない",""),2,300)))</f>
        <v/>
      </c>
    </row>
    <row r="333">
      <c r="A333" s="5" t="n"/>
      <c r="B333" s="5" t="n"/>
      <c r="C333" s="5" t="n"/>
      <c r="D333" s="5" t="n"/>
      <c r="E333" s="6">
        <f>IF(C333="","",C333+D333-1)</f>
        <v/>
      </c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6">
        <f>COUNT(N333,Q333,T333)</f>
        <v/>
      </c>
      <c r="Z333" s="6">
        <f>IF(OR(K333="",NOT(ISNUMBER(K333))),"",K333*SUM(N333,Q333,T333))</f>
        <v/>
      </c>
      <c r="AA333" s="6">
        <f>IF(OR(Y333=0,N333=""),"",N333/Y333)</f>
        <v/>
      </c>
      <c r="AB333" s="6">
        <f>IF(OR(Y333=0,Q333=""),"",Q333/Y333)</f>
        <v/>
      </c>
      <c r="AC333" s="6">
        <f>IF(OR(Y333=0,T333=""),"",T333/Y333)</f>
        <v/>
      </c>
      <c r="AD333" s="6">
        <f>IF(F333="","",IF((IF(AND(Y333=0,NOT(SUMPRODUCT(--ISNUMBER(SEARCH({"棚板","棚","アングル","ｱﾝｸﾞﾙ","使用不可","ケーブル","ｹｰﾌﾞﾙ","PatchPnael","パッチ","引き出し","引出","ブランク","ﾌﾞﾗﾝｸ","マネージ","ﾏﾈｰｼﾞ","PDU","ONU"},$F333&amp;"")))&gt;0),NOT(SUMPRODUCT(--ISNUMBER(SEARCH({"電源オフ","未投入","停止","未使用","撤去"},$X333&amp;"")))&gt;0)),"／電力が未記入","")&amp;IF(AND(NOT(ISNUMBER(J333)),NOT(SUMPRODUCT(--ISNUMBER(SEARCH({"棚板","棚","アングル","ｱﾝｸﾞﾙ","使用不可","ケーブル","ｹｰﾌﾞﾙ","PatchPnael","パッチ","引き出し","引出","ブランク","ﾌﾞﾗﾝｸ","マネージ","ﾏﾈｰｼﾞ","PDU","ONU"},$F333&amp;"")))&gt;0)),"／重量が未記入","")&amp;IF(AND(K333&lt;&gt;"",NOT(ISNUMBER(K333))),"／電圧が数値でない","")&amp;IF(AND(N333&lt;&gt;"",NOT(ISNUMBER(N333))),"／電流が数値でない","")&amp;IF(AND(C333&lt;&gt;"",C333&lt;1),"／開始Uが1未満","")&amp;IF(AND(E333&lt;&gt;"",E333&gt;IFERROR(VLOOKUP(A333,ラック定義!$A:$B,2,FALSE),47)),"／総Uをはみ出す","")&amp;IF(AND(A333&lt;&gt;"",COUNTIF(ラック定義!$A:$A,A333)=0),"／ラックが定義にない","")&amp;IF(AND(SUMPRODUCT((機器台帳!$A$2:$A$400=$A333)*((機器台帳!$B$2:$B$400=$B333)+(機器台帳!$B$2:$B$400="両面")+($B333="両面")&gt;0)*(機器台帳!$C$2:$C$400&lt;=$C333+$D333-1)*(機器台帳!$C$2:$C$400+機器台帳!$D$2:$D$400-1&gt;=$C333)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333&amp;"")))&gt;0)),"／同じUに他の機器(横並びなら正常)","")&amp;IF(AND(M333&lt;&gt;"",COUNTIFS(回路定義!$A:$A,A333,回路定義!$B:$B,M333)=0),"／回路1が定義にない","")&amp;IF(AND(P333&lt;&gt;"",COUNTIFS(回路定義!$A:$A,A333,回路定義!$B:$B,P333)=0),"／回路2が定義にない","")&amp;IF(AND(S333&lt;&gt;"",COUNTIFS(回路定義!$A:$A,A333,回路定義!$B:$B,S333)=0),"／回路3が定義にない",""))="","",MID(IF(AND(Y333=0,NOT(SUMPRODUCT(--ISNUMBER(SEARCH({"棚板","棚","アングル","ｱﾝｸﾞﾙ","使用不可","ケーブル","ｹｰﾌﾞﾙ","PatchPnael","パッチ","引き出し","引出","ブランク","ﾌﾞﾗﾝｸ","マネージ","ﾏﾈｰｼﾞ","PDU","ONU"},$F333&amp;"")))&gt;0),NOT(SUMPRODUCT(--ISNUMBER(SEARCH({"電源オフ","未投入","停止","未使用","撤去"},$X333&amp;"")))&gt;0)),"／電力が未記入","")&amp;IF(AND(NOT(ISNUMBER(J333)),NOT(SUMPRODUCT(--ISNUMBER(SEARCH({"棚板","棚","アングル","ｱﾝｸﾞﾙ","使用不可","ケーブル","ｹｰﾌﾞﾙ","PatchPnael","パッチ","引き出し","引出","ブランク","ﾌﾞﾗﾝｸ","マネージ","ﾏﾈｰｼﾞ","PDU","ONU"},$F333&amp;"")))&gt;0)),"／重量が未記入","")&amp;IF(AND(K333&lt;&gt;"",NOT(ISNUMBER(K333))),"／電圧が数値でない","")&amp;IF(AND(N333&lt;&gt;"",NOT(ISNUMBER(N333))),"／電流が数値でない","")&amp;IF(AND(C333&lt;&gt;"",C333&lt;1),"／開始Uが1未満","")&amp;IF(AND(E333&lt;&gt;"",E333&gt;IFERROR(VLOOKUP(A333,ラック定義!$A:$B,2,FALSE),47)),"／総Uをはみ出す","")&amp;IF(AND(A333&lt;&gt;"",COUNTIF(ラック定義!$A:$A,A333)=0),"／ラックが定義にない","")&amp;IF(AND(SUMPRODUCT((機器台帳!$A$2:$A$400=$A333)*((機器台帳!$B$2:$B$400=$B333)+(機器台帳!$B$2:$B$400="両面")+($B333="両面")&gt;0)*(機器台帳!$C$2:$C$400&lt;=$C333+$D333-1)*(機器台帳!$C$2:$C$400+機器台帳!$D$2:$D$400-1&gt;=$C333)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333&amp;"")))&gt;0)),"／同じUに他の機器(横並びなら正常)","")&amp;IF(AND(M333&lt;&gt;"",COUNTIFS(回路定義!$A:$A,A333,回路定義!$B:$B,M333)=0),"／回路1が定義にない","")&amp;IF(AND(P333&lt;&gt;"",COUNTIFS(回路定義!$A:$A,A333,回路定義!$B:$B,P333)=0),"／回路2が定義にない","")&amp;IF(AND(S333&lt;&gt;"",COUNTIFS(回路定義!$A:$A,A333,回路定義!$B:$B,S333)=0),"／回路3が定義にない",""),2,300)))</f>
        <v/>
      </c>
    </row>
    <row r="334">
      <c r="A334" s="5" t="n"/>
      <c r="B334" s="5" t="n"/>
      <c r="C334" s="5" t="n"/>
      <c r="D334" s="5" t="n"/>
      <c r="E334" s="6">
        <f>IF(C334="","",C334+D334-1)</f>
        <v/>
      </c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6">
        <f>COUNT(N334,Q334,T334)</f>
        <v/>
      </c>
      <c r="Z334" s="6">
        <f>IF(OR(K334="",NOT(ISNUMBER(K334))),"",K334*SUM(N334,Q334,T334))</f>
        <v/>
      </c>
      <c r="AA334" s="6">
        <f>IF(OR(Y334=0,N334=""),"",N334/Y334)</f>
        <v/>
      </c>
      <c r="AB334" s="6">
        <f>IF(OR(Y334=0,Q334=""),"",Q334/Y334)</f>
        <v/>
      </c>
      <c r="AC334" s="6">
        <f>IF(OR(Y334=0,T334=""),"",T334/Y334)</f>
        <v/>
      </c>
      <c r="AD334" s="6">
        <f>IF(F334="","",IF((IF(AND(Y334=0,NOT(SUMPRODUCT(--ISNUMBER(SEARCH({"棚板","棚","アングル","ｱﾝｸﾞﾙ","使用不可","ケーブル","ｹｰﾌﾞﾙ","PatchPnael","パッチ","引き出し","引出","ブランク","ﾌﾞﾗﾝｸ","マネージ","ﾏﾈｰｼﾞ","PDU","ONU"},$F334&amp;"")))&gt;0),NOT(SUMPRODUCT(--ISNUMBER(SEARCH({"電源オフ","未投入","停止","未使用","撤去"},$X334&amp;"")))&gt;0)),"／電力が未記入","")&amp;IF(AND(NOT(ISNUMBER(J334)),NOT(SUMPRODUCT(--ISNUMBER(SEARCH({"棚板","棚","アングル","ｱﾝｸﾞﾙ","使用不可","ケーブル","ｹｰﾌﾞﾙ","PatchPnael","パッチ","引き出し","引出","ブランク","ﾌﾞﾗﾝｸ","マネージ","ﾏﾈｰｼﾞ","PDU","ONU"},$F334&amp;"")))&gt;0)),"／重量が未記入","")&amp;IF(AND(K334&lt;&gt;"",NOT(ISNUMBER(K334))),"／電圧が数値でない","")&amp;IF(AND(N334&lt;&gt;"",NOT(ISNUMBER(N334))),"／電流が数値でない","")&amp;IF(AND(C334&lt;&gt;"",C334&lt;1),"／開始Uが1未満","")&amp;IF(AND(E334&lt;&gt;"",E334&gt;IFERROR(VLOOKUP(A334,ラック定義!$A:$B,2,FALSE),47)),"／総Uをはみ出す","")&amp;IF(AND(A334&lt;&gt;"",COUNTIF(ラック定義!$A:$A,A334)=0),"／ラックが定義にない","")&amp;IF(AND(SUMPRODUCT((機器台帳!$A$2:$A$400=$A334)*((機器台帳!$B$2:$B$400=$B334)+(機器台帳!$B$2:$B$400="両面")+($B334="両面")&gt;0)*(機器台帳!$C$2:$C$400&lt;=$C334+$D334-1)*(機器台帳!$C$2:$C$400+機器台帳!$D$2:$D$400-1&gt;=$C334)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334&amp;"")))&gt;0)),"／同じUに他の機器(横並びなら正常)","")&amp;IF(AND(M334&lt;&gt;"",COUNTIFS(回路定義!$A:$A,A334,回路定義!$B:$B,M334)=0),"／回路1が定義にない","")&amp;IF(AND(P334&lt;&gt;"",COUNTIFS(回路定義!$A:$A,A334,回路定義!$B:$B,P334)=0),"／回路2が定義にない","")&amp;IF(AND(S334&lt;&gt;"",COUNTIFS(回路定義!$A:$A,A334,回路定義!$B:$B,S334)=0),"／回路3が定義にない",""))="","",MID(IF(AND(Y334=0,NOT(SUMPRODUCT(--ISNUMBER(SEARCH({"棚板","棚","アングル","ｱﾝｸﾞﾙ","使用不可","ケーブル","ｹｰﾌﾞﾙ","PatchPnael","パッチ","引き出し","引出","ブランク","ﾌﾞﾗﾝｸ","マネージ","ﾏﾈｰｼﾞ","PDU","ONU"},$F334&amp;"")))&gt;0),NOT(SUMPRODUCT(--ISNUMBER(SEARCH({"電源オフ","未投入","停止","未使用","撤去"},$X334&amp;"")))&gt;0)),"／電力が未記入","")&amp;IF(AND(NOT(ISNUMBER(J334)),NOT(SUMPRODUCT(--ISNUMBER(SEARCH({"棚板","棚","アングル","ｱﾝｸﾞﾙ","使用不可","ケーブル","ｹｰﾌﾞﾙ","PatchPnael","パッチ","引き出し","引出","ブランク","ﾌﾞﾗﾝｸ","マネージ","ﾏﾈｰｼﾞ","PDU","ONU"},$F334&amp;"")))&gt;0)),"／重量が未記入","")&amp;IF(AND(K334&lt;&gt;"",NOT(ISNUMBER(K334))),"／電圧が数値でない","")&amp;IF(AND(N334&lt;&gt;"",NOT(ISNUMBER(N334))),"／電流が数値でない","")&amp;IF(AND(C334&lt;&gt;"",C334&lt;1),"／開始Uが1未満","")&amp;IF(AND(E334&lt;&gt;"",E334&gt;IFERROR(VLOOKUP(A334,ラック定義!$A:$B,2,FALSE),47)),"／総Uをはみ出す","")&amp;IF(AND(A334&lt;&gt;"",COUNTIF(ラック定義!$A:$A,A334)=0),"／ラックが定義にない","")&amp;IF(AND(SUMPRODUCT((機器台帳!$A$2:$A$400=$A334)*((機器台帳!$B$2:$B$400=$B334)+(機器台帳!$B$2:$B$400="両面")+($B334="両面")&gt;0)*(機器台帳!$C$2:$C$400&lt;=$C334+$D334-1)*(機器台帳!$C$2:$C$400+機器台帳!$D$2:$D$400-1&gt;=$C334)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334&amp;"")))&gt;0)),"／同じUに他の機器(横並びなら正常)","")&amp;IF(AND(M334&lt;&gt;"",COUNTIFS(回路定義!$A:$A,A334,回路定義!$B:$B,M334)=0),"／回路1が定義にない","")&amp;IF(AND(P334&lt;&gt;"",COUNTIFS(回路定義!$A:$A,A334,回路定義!$B:$B,P334)=0),"／回路2が定義にない","")&amp;IF(AND(S334&lt;&gt;"",COUNTIFS(回路定義!$A:$A,A334,回路定義!$B:$B,S334)=0),"／回路3が定義にない",""),2,300)))</f>
        <v/>
      </c>
    </row>
    <row r="335">
      <c r="A335" s="5" t="n"/>
      <c r="B335" s="5" t="n"/>
      <c r="C335" s="5" t="n"/>
      <c r="D335" s="5" t="n"/>
      <c r="E335" s="6">
        <f>IF(C335="","",C335+D335-1)</f>
        <v/>
      </c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6">
        <f>COUNT(N335,Q335,T335)</f>
        <v/>
      </c>
      <c r="Z335" s="6">
        <f>IF(OR(K335="",NOT(ISNUMBER(K335))),"",K335*SUM(N335,Q335,T335))</f>
        <v/>
      </c>
      <c r="AA335" s="6">
        <f>IF(OR(Y335=0,N335=""),"",N335/Y335)</f>
        <v/>
      </c>
      <c r="AB335" s="6">
        <f>IF(OR(Y335=0,Q335=""),"",Q335/Y335)</f>
        <v/>
      </c>
      <c r="AC335" s="6">
        <f>IF(OR(Y335=0,T335=""),"",T335/Y335)</f>
        <v/>
      </c>
      <c r="AD335" s="6">
        <f>IF(F335="","",IF((IF(AND(Y335=0,NOT(SUMPRODUCT(--ISNUMBER(SEARCH({"棚板","棚","アングル","ｱﾝｸﾞﾙ","使用不可","ケーブル","ｹｰﾌﾞﾙ","PatchPnael","パッチ","引き出し","引出","ブランク","ﾌﾞﾗﾝｸ","マネージ","ﾏﾈｰｼﾞ","PDU","ONU"},$F335&amp;"")))&gt;0),NOT(SUMPRODUCT(--ISNUMBER(SEARCH({"電源オフ","未投入","停止","未使用","撤去"},$X335&amp;"")))&gt;0)),"／電力が未記入","")&amp;IF(AND(NOT(ISNUMBER(J335)),NOT(SUMPRODUCT(--ISNUMBER(SEARCH({"棚板","棚","アングル","ｱﾝｸﾞﾙ","使用不可","ケーブル","ｹｰﾌﾞﾙ","PatchPnael","パッチ","引き出し","引出","ブランク","ﾌﾞﾗﾝｸ","マネージ","ﾏﾈｰｼﾞ","PDU","ONU"},$F335&amp;"")))&gt;0)),"／重量が未記入","")&amp;IF(AND(K335&lt;&gt;"",NOT(ISNUMBER(K335))),"／電圧が数値でない","")&amp;IF(AND(N335&lt;&gt;"",NOT(ISNUMBER(N335))),"／電流が数値でない","")&amp;IF(AND(C335&lt;&gt;"",C335&lt;1),"／開始Uが1未満","")&amp;IF(AND(E335&lt;&gt;"",E335&gt;IFERROR(VLOOKUP(A335,ラック定義!$A:$B,2,FALSE),47)),"／総Uをはみ出す","")&amp;IF(AND(A335&lt;&gt;"",COUNTIF(ラック定義!$A:$A,A335)=0),"／ラックが定義にない","")&amp;IF(AND(SUMPRODUCT((機器台帳!$A$2:$A$400=$A335)*((機器台帳!$B$2:$B$400=$B335)+(機器台帳!$B$2:$B$400="両面")+($B335="両面")&gt;0)*(機器台帳!$C$2:$C$400&lt;=$C335+$D335-1)*(機器台帳!$C$2:$C$400+機器台帳!$D$2:$D$400-1&gt;=$C335)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335&amp;"")))&gt;0)),"／同じUに他の機器(横並びなら正常)","")&amp;IF(AND(M335&lt;&gt;"",COUNTIFS(回路定義!$A:$A,A335,回路定義!$B:$B,M335)=0),"／回路1が定義にない","")&amp;IF(AND(P335&lt;&gt;"",COUNTIFS(回路定義!$A:$A,A335,回路定義!$B:$B,P335)=0),"／回路2が定義にない","")&amp;IF(AND(S335&lt;&gt;"",COUNTIFS(回路定義!$A:$A,A335,回路定義!$B:$B,S335)=0),"／回路3が定義にない",""))="","",MID(IF(AND(Y335=0,NOT(SUMPRODUCT(--ISNUMBER(SEARCH({"棚板","棚","アングル","ｱﾝｸﾞﾙ","使用不可","ケーブル","ｹｰﾌﾞﾙ","PatchPnael","パッチ","引き出し","引出","ブランク","ﾌﾞﾗﾝｸ","マネージ","ﾏﾈｰｼﾞ","PDU","ONU"},$F335&amp;"")))&gt;0),NOT(SUMPRODUCT(--ISNUMBER(SEARCH({"電源オフ","未投入","停止","未使用","撤去"},$X335&amp;"")))&gt;0)),"／電力が未記入","")&amp;IF(AND(NOT(ISNUMBER(J335)),NOT(SUMPRODUCT(--ISNUMBER(SEARCH({"棚板","棚","アングル","ｱﾝｸﾞﾙ","使用不可","ケーブル","ｹｰﾌﾞﾙ","PatchPnael","パッチ","引き出し","引出","ブランク","ﾌﾞﾗﾝｸ","マネージ","ﾏﾈｰｼﾞ","PDU","ONU"},$F335&amp;"")))&gt;0)),"／重量が未記入","")&amp;IF(AND(K335&lt;&gt;"",NOT(ISNUMBER(K335))),"／電圧が数値でない","")&amp;IF(AND(N335&lt;&gt;"",NOT(ISNUMBER(N335))),"／電流が数値でない","")&amp;IF(AND(C335&lt;&gt;"",C335&lt;1),"／開始Uが1未満","")&amp;IF(AND(E335&lt;&gt;"",E335&gt;IFERROR(VLOOKUP(A335,ラック定義!$A:$B,2,FALSE),47)),"／総Uをはみ出す","")&amp;IF(AND(A335&lt;&gt;"",COUNTIF(ラック定義!$A:$A,A335)=0),"／ラックが定義にない","")&amp;IF(AND(SUMPRODUCT((機器台帳!$A$2:$A$400=$A335)*((機器台帳!$B$2:$B$400=$B335)+(機器台帳!$B$2:$B$400="両面")+($B335="両面")&gt;0)*(機器台帳!$C$2:$C$400&lt;=$C335+$D335-1)*(機器台帳!$C$2:$C$400+機器台帳!$D$2:$D$400-1&gt;=$C335)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335&amp;"")))&gt;0)),"／同じUに他の機器(横並びなら正常)","")&amp;IF(AND(M335&lt;&gt;"",COUNTIFS(回路定義!$A:$A,A335,回路定義!$B:$B,M335)=0),"／回路1が定義にない","")&amp;IF(AND(P335&lt;&gt;"",COUNTIFS(回路定義!$A:$A,A335,回路定義!$B:$B,P335)=0),"／回路2が定義にない","")&amp;IF(AND(S335&lt;&gt;"",COUNTIFS(回路定義!$A:$A,A335,回路定義!$B:$B,S335)=0),"／回路3が定義にない",""),2,300)))</f>
        <v/>
      </c>
    </row>
    <row r="336">
      <c r="A336" s="5" t="n"/>
      <c r="B336" s="5" t="n"/>
      <c r="C336" s="5" t="n"/>
      <c r="D336" s="5" t="n"/>
      <c r="E336" s="6">
        <f>IF(C336="","",C336+D336-1)</f>
        <v/>
      </c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6">
        <f>COUNT(N336,Q336,T336)</f>
        <v/>
      </c>
      <c r="Z336" s="6">
        <f>IF(OR(K336="",NOT(ISNUMBER(K336))),"",K336*SUM(N336,Q336,T336))</f>
        <v/>
      </c>
      <c r="AA336" s="6">
        <f>IF(OR(Y336=0,N336=""),"",N336/Y336)</f>
        <v/>
      </c>
      <c r="AB336" s="6">
        <f>IF(OR(Y336=0,Q336=""),"",Q336/Y336)</f>
        <v/>
      </c>
      <c r="AC336" s="6">
        <f>IF(OR(Y336=0,T336=""),"",T336/Y336)</f>
        <v/>
      </c>
      <c r="AD336" s="6">
        <f>IF(F336="","",IF((IF(AND(Y336=0,NOT(SUMPRODUCT(--ISNUMBER(SEARCH({"棚板","棚","アングル","ｱﾝｸﾞﾙ","使用不可","ケーブル","ｹｰﾌﾞﾙ","PatchPnael","パッチ","引き出し","引出","ブランク","ﾌﾞﾗﾝｸ","マネージ","ﾏﾈｰｼﾞ","PDU","ONU"},$F336&amp;"")))&gt;0),NOT(SUMPRODUCT(--ISNUMBER(SEARCH({"電源オフ","未投入","停止","未使用","撤去"},$X336&amp;"")))&gt;0)),"／電力が未記入","")&amp;IF(AND(NOT(ISNUMBER(J336)),NOT(SUMPRODUCT(--ISNUMBER(SEARCH({"棚板","棚","アングル","ｱﾝｸﾞﾙ","使用不可","ケーブル","ｹｰﾌﾞﾙ","PatchPnael","パッチ","引き出し","引出","ブランク","ﾌﾞﾗﾝｸ","マネージ","ﾏﾈｰｼﾞ","PDU","ONU"},$F336&amp;"")))&gt;0)),"／重量が未記入","")&amp;IF(AND(K336&lt;&gt;"",NOT(ISNUMBER(K336))),"／電圧が数値でない","")&amp;IF(AND(N336&lt;&gt;"",NOT(ISNUMBER(N336))),"／電流が数値でない","")&amp;IF(AND(C336&lt;&gt;"",C336&lt;1),"／開始Uが1未満","")&amp;IF(AND(E336&lt;&gt;"",E336&gt;IFERROR(VLOOKUP(A336,ラック定義!$A:$B,2,FALSE),47)),"／総Uをはみ出す","")&amp;IF(AND(A336&lt;&gt;"",COUNTIF(ラック定義!$A:$A,A336)=0),"／ラックが定義にない","")&amp;IF(AND(SUMPRODUCT((機器台帳!$A$2:$A$400=$A336)*((機器台帳!$B$2:$B$400=$B336)+(機器台帳!$B$2:$B$400="両面")+($B336="両面")&gt;0)*(機器台帳!$C$2:$C$400&lt;=$C336+$D336-1)*(機器台帳!$C$2:$C$400+機器台帳!$D$2:$D$400-1&gt;=$C336)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336&amp;"")))&gt;0)),"／同じUに他の機器(横並びなら正常)","")&amp;IF(AND(M336&lt;&gt;"",COUNTIFS(回路定義!$A:$A,A336,回路定義!$B:$B,M336)=0),"／回路1が定義にない","")&amp;IF(AND(P336&lt;&gt;"",COUNTIFS(回路定義!$A:$A,A336,回路定義!$B:$B,P336)=0),"／回路2が定義にない","")&amp;IF(AND(S336&lt;&gt;"",COUNTIFS(回路定義!$A:$A,A336,回路定義!$B:$B,S336)=0),"／回路3が定義にない",""))="","",MID(IF(AND(Y336=0,NOT(SUMPRODUCT(--ISNUMBER(SEARCH({"棚板","棚","アングル","ｱﾝｸﾞﾙ","使用不可","ケーブル","ｹｰﾌﾞﾙ","PatchPnael","パッチ","引き出し","引出","ブランク","ﾌﾞﾗﾝｸ","マネージ","ﾏﾈｰｼﾞ","PDU","ONU"},$F336&amp;"")))&gt;0),NOT(SUMPRODUCT(--ISNUMBER(SEARCH({"電源オフ","未投入","停止","未使用","撤去"},$X336&amp;"")))&gt;0)),"／電力が未記入","")&amp;IF(AND(NOT(ISNUMBER(J336)),NOT(SUMPRODUCT(--ISNUMBER(SEARCH({"棚板","棚","アングル","ｱﾝｸﾞﾙ","使用不可","ケーブル","ｹｰﾌﾞﾙ","PatchPnael","パッチ","引き出し","引出","ブランク","ﾌﾞﾗﾝｸ","マネージ","ﾏﾈｰｼﾞ","PDU","ONU"},$F336&amp;"")))&gt;0)),"／重量が未記入","")&amp;IF(AND(K336&lt;&gt;"",NOT(ISNUMBER(K336))),"／電圧が数値でない","")&amp;IF(AND(N336&lt;&gt;"",NOT(ISNUMBER(N336))),"／電流が数値でない","")&amp;IF(AND(C336&lt;&gt;"",C336&lt;1),"／開始Uが1未満","")&amp;IF(AND(E336&lt;&gt;"",E336&gt;IFERROR(VLOOKUP(A336,ラック定義!$A:$B,2,FALSE),47)),"／総Uをはみ出す","")&amp;IF(AND(A336&lt;&gt;"",COUNTIF(ラック定義!$A:$A,A336)=0),"／ラックが定義にない","")&amp;IF(AND(SUMPRODUCT((機器台帳!$A$2:$A$400=$A336)*((機器台帳!$B$2:$B$400=$B336)+(機器台帳!$B$2:$B$400="両面")+($B336="両面")&gt;0)*(機器台帳!$C$2:$C$400&lt;=$C336+$D336-1)*(機器台帳!$C$2:$C$400+機器台帳!$D$2:$D$400-1&gt;=$C336)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336&amp;"")))&gt;0)),"／同じUに他の機器(横並びなら正常)","")&amp;IF(AND(M336&lt;&gt;"",COUNTIFS(回路定義!$A:$A,A336,回路定義!$B:$B,M336)=0),"／回路1が定義にない","")&amp;IF(AND(P336&lt;&gt;"",COUNTIFS(回路定義!$A:$A,A336,回路定義!$B:$B,P336)=0),"／回路2が定義にない","")&amp;IF(AND(S336&lt;&gt;"",COUNTIFS(回路定義!$A:$A,A336,回路定義!$B:$B,S336)=0),"／回路3が定義にない",""),2,300)))</f>
        <v/>
      </c>
    </row>
    <row r="337">
      <c r="A337" s="5" t="n"/>
      <c r="B337" s="5" t="n"/>
      <c r="C337" s="5" t="n"/>
      <c r="D337" s="5" t="n"/>
      <c r="E337" s="6">
        <f>IF(C337="","",C337+D337-1)</f>
        <v/>
      </c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6">
        <f>COUNT(N337,Q337,T337)</f>
        <v/>
      </c>
      <c r="Z337" s="6">
        <f>IF(OR(K337="",NOT(ISNUMBER(K337))),"",K337*SUM(N337,Q337,T337))</f>
        <v/>
      </c>
      <c r="AA337" s="6">
        <f>IF(OR(Y337=0,N337=""),"",N337/Y337)</f>
        <v/>
      </c>
      <c r="AB337" s="6">
        <f>IF(OR(Y337=0,Q337=""),"",Q337/Y337)</f>
        <v/>
      </c>
      <c r="AC337" s="6">
        <f>IF(OR(Y337=0,T337=""),"",T337/Y337)</f>
        <v/>
      </c>
      <c r="AD337" s="6">
        <f>IF(F337="","",IF((IF(AND(Y337=0,NOT(SUMPRODUCT(--ISNUMBER(SEARCH({"棚板","棚","アングル","ｱﾝｸﾞﾙ","使用不可","ケーブル","ｹｰﾌﾞﾙ","PatchPnael","パッチ","引き出し","引出","ブランク","ﾌﾞﾗﾝｸ","マネージ","ﾏﾈｰｼﾞ","PDU","ONU"},$F337&amp;"")))&gt;0),NOT(SUMPRODUCT(--ISNUMBER(SEARCH({"電源オフ","未投入","停止","未使用","撤去"},$X337&amp;"")))&gt;0)),"／電力が未記入","")&amp;IF(AND(NOT(ISNUMBER(J337)),NOT(SUMPRODUCT(--ISNUMBER(SEARCH({"棚板","棚","アングル","ｱﾝｸﾞﾙ","使用不可","ケーブル","ｹｰﾌﾞﾙ","PatchPnael","パッチ","引き出し","引出","ブランク","ﾌﾞﾗﾝｸ","マネージ","ﾏﾈｰｼﾞ","PDU","ONU"},$F337&amp;"")))&gt;0)),"／重量が未記入","")&amp;IF(AND(K337&lt;&gt;"",NOT(ISNUMBER(K337))),"／電圧が数値でない","")&amp;IF(AND(N337&lt;&gt;"",NOT(ISNUMBER(N337))),"／電流が数値でない","")&amp;IF(AND(C337&lt;&gt;"",C337&lt;1),"／開始Uが1未満","")&amp;IF(AND(E337&lt;&gt;"",E337&gt;IFERROR(VLOOKUP(A337,ラック定義!$A:$B,2,FALSE),47)),"／総Uをはみ出す","")&amp;IF(AND(A337&lt;&gt;"",COUNTIF(ラック定義!$A:$A,A337)=0),"／ラックが定義にない","")&amp;IF(AND(SUMPRODUCT((機器台帳!$A$2:$A$400=$A337)*((機器台帳!$B$2:$B$400=$B337)+(機器台帳!$B$2:$B$400="両面")+($B337="両面")&gt;0)*(機器台帳!$C$2:$C$400&lt;=$C337+$D337-1)*(機器台帳!$C$2:$C$400+機器台帳!$D$2:$D$400-1&gt;=$C337)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337&amp;"")))&gt;0)),"／同じUに他の機器(横並びなら正常)","")&amp;IF(AND(M337&lt;&gt;"",COUNTIFS(回路定義!$A:$A,A337,回路定義!$B:$B,M337)=0),"／回路1が定義にない","")&amp;IF(AND(P337&lt;&gt;"",COUNTIFS(回路定義!$A:$A,A337,回路定義!$B:$B,P337)=0),"／回路2が定義にない","")&amp;IF(AND(S337&lt;&gt;"",COUNTIFS(回路定義!$A:$A,A337,回路定義!$B:$B,S337)=0),"／回路3が定義にない",""))="","",MID(IF(AND(Y337=0,NOT(SUMPRODUCT(--ISNUMBER(SEARCH({"棚板","棚","アングル","ｱﾝｸﾞﾙ","使用不可","ケーブル","ｹｰﾌﾞﾙ","PatchPnael","パッチ","引き出し","引出","ブランク","ﾌﾞﾗﾝｸ","マネージ","ﾏﾈｰｼﾞ","PDU","ONU"},$F337&amp;"")))&gt;0),NOT(SUMPRODUCT(--ISNUMBER(SEARCH({"電源オフ","未投入","停止","未使用","撤去"},$X337&amp;"")))&gt;0)),"／電力が未記入","")&amp;IF(AND(NOT(ISNUMBER(J337)),NOT(SUMPRODUCT(--ISNUMBER(SEARCH({"棚板","棚","アングル","ｱﾝｸﾞﾙ","使用不可","ケーブル","ｹｰﾌﾞﾙ","PatchPnael","パッチ","引き出し","引出","ブランク","ﾌﾞﾗﾝｸ","マネージ","ﾏﾈｰｼﾞ","PDU","ONU"},$F337&amp;"")))&gt;0)),"／重量が未記入","")&amp;IF(AND(K337&lt;&gt;"",NOT(ISNUMBER(K337))),"／電圧が数値でない","")&amp;IF(AND(N337&lt;&gt;"",NOT(ISNUMBER(N337))),"／電流が数値でない","")&amp;IF(AND(C337&lt;&gt;"",C337&lt;1),"／開始Uが1未満","")&amp;IF(AND(E337&lt;&gt;"",E337&gt;IFERROR(VLOOKUP(A337,ラック定義!$A:$B,2,FALSE),47)),"／総Uをはみ出す","")&amp;IF(AND(A337&lt;&gt;"",COUNTIF(ラック定義!$A:$A,A337)=0),"／ラックが定義にない","")&amp;IF(AND(SUMPRODUCT((機器台帳!$A$2:$A$400=$A337)*((機器台帳!$B$2:$B$400=$B337)+(機器台帳!$B$2:$B$400="両面")+($B337="両面")&gt;0)*(機器台帳!$C$2:$C$400&lt;=$C337+$D337-1)*(機器台帳!$C$2:$C$400+機器台帳!$D$2:$D$400-1&gt;=$C337)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337&amp;"")))&gt;0)),"／同じUに他の機器(横並びなら正常)","")&amp;IF(AND(M337&lt;&gt;"",COUNTIFS(回路定義!$A:$A,A337,回路定義!$B:$B,M337)=0),"／回路1が定義にない","")&amp;IF(AND(P337&lt;&gt;"",COUNTIFS(回路定義!$A:$A,A337,回路定義!$B:$B,P337)=0),"／回路2が定義にない","")&amp;IF(AND(S337&lt;&gt;"",COUNTIFS(回路定義!$A:$A,A337,回路定義!$B:$B,S337)=0),"／回路3が定義にない",""),2,300)))</f>
        <v/>
      </c>
    </row>
    <row r="338">
      <c r="A338" s="5" t="n"/>
      <c r="B338" s="5" t="n"/>
      <c r="C338" s="5" t="n"/>
      <c r="D338" s="5" t="n"/>
      <c r="E338" s="6">
        <f>IF(C338="","",C338+D338-1)</f>
        <v/>
      </c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6">
        <f>COUNT(N338,Q338,T338)</f>
        <v/>
      </c>
      <c r="Z338" s="6">
        <f>IF(OR(K338="",NOT(ISNUMBER(K338))),"",K338*SUM(N338,Q338,T338))</f>
        <v/>
      </c>
      <c r="AA338" s="6">
        <f>IF(OR(Y338=0,N338=""),"",N338/Y338)</f>
        <v/>
      </c>
      <c r="AB338" s="6">
        <f>IF(OR(Y338=0,Q338=""),"",Q338/Y338)</f>
        <v/>
      </c>
      <c r="AC338" s="6">
        <f>IF(OR(Y338=0,T338=""),"",T338/Y338)</f>
        <v/>
      </c>
      <c r="AD338" s="6">
        <f>IF(F338="","",IF((IF(AND(Y338=0,NOT(SUMPRODUCT(--ISNUMBER(SEARCH({"棚板","棚","アングル","ｱﾝｸﾞﾙ","使用不可","ケーブル","ｹｰﾌﾞﾙ","PatchPnael","パッチ","引き出し","引出","ブランク","ﾌﾞﾗﾝｸ","マネージ","ﾏﾈｰｼﾞ","PDU","ONU"},$F338&amp;"")))&gt;0),NOT(SUMPRODUCT(--ISNUMBER(SEARCH({"電源オフ","未投入","停止","未使用","撤去"},$X338&amp;"")))&gt;0)),"／電力が未記入","")&amp;IF(AND(NOT(ISNUMBER(J338)),NOT(SUMPRODUCT(--ISNUMBER(SEARCH({"棚板","棚","アングル","ｱﾝｸﾞﾙ","使用不可","ケーブル","ｹｰﾌﾞﾙ","PatchPnael","パッチ","引き出し","引出","ブランク","ﾌﾞﾗﾝｸ","マネージ","ﾏﾈｰｼﾞ","PDU","ONU"},$F338&amp;"")))&gt;0)),"／重量が未記入","")&amp;IF(AND(K338&lt;&gt;"",NOT(ISNUMBER(K338))),"／電圧が数値でない","")&amp;IF(AND(N338&lt;&gt;"",NOT(ISNUMBER(N338))),"／電流が数値でない","")&amp;IF(AND(C338&lt;&gt;"",C338&lt;1),"／開始Uが1未満","")&amp;IF(AND(E338&lt;&gt;"",E338&gt;IFERROR(VLOOKUP(A338,ラック定義!$A:$B,2,FALSE),47)),"／総Uをはみ出す","")&amp;IF(AND(A338&lt;&gt;"",COUNTIF(ラック定義!$A:$A,A338)=0),"／ラックが定義にない","")&amp;IF(AND(SUMPRODUCT((機器台帳!$A$2:$A$400=$A338)*((機器台帳!$B$2:$B$400=$B338)+(機器台帳!$B$2:$B$400="両面")+($B338="両面")&gt;0)*(機器台帳!$C$2:$C$400&lt;=$C338+$D338-1)*(機器台帳!$C$2:$C$400+機器台帳!$D$2:$D$400-1&gt;=$C338)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338&amp;"")))&gt;0)),"／同じUに他の機器(横並びなら正常)","")&amp;IF(AND(M338&lt;&gt;"",COUNTIFS(回路定義!$A:$A,A338,回路定義!$B:$B,M338)=0),"／回路1が定義にない","")&amp;IF(AND(P338&lt;&gt;"",COUNTIFS(回路定義!$A:$A,A338,回路定義!$B:$B,P338)=0),"／回路2が定義にない","")&amp;IF(AND(S338&lt;&gt;"",COUNTIFS(回路定義!$A:$A,A338,回路定義!$B:$B,S338)=0),"／回路3が定義にない",""))="","",MID(IF(AND(Y338=0,NOT(SUMPRODUCT(--ISNUMBER(SEARCH({"棚板","棚","アングル","ｱﾝｸﾞﾙ","使用不可","ケーブル","ｹｰﾌﾞﾙ","PatchPnael","パッチ","引き出し","引出","ブランク","ﾌﾞﾗﾝｸ","マネージ","ﾏﾈｰｼﾞ","PDU","ONU"},$F338&amp;"")))&gt;0),NOT(SUMPRODUCT(--ISNUMBER(SEARCH({"電源オフ","未投入","停止","未使用","撤去"},$X338&amp;"")))&gt;0)),"／電力が未記入","")&amp;IF(AND(NOT(ISNUMBER(J338)),NOT(SUMPRODUCT(--ISNUMBER(SEARCH({"棚板","棚","アングル","ｱﾝｸﾞﾙ","使用不可","ケーブル","ｹｰﾌﾞﾙ","PatchPnael","パッチ","引き出し","引出","ブランク","ﾌﾞﾗﾝｸ","マネージ","ﾏﾈｰｼﾞ","PDU","ONU"},$F338&amp;"")))&gt;0)),"／重量が未記入","")&amp;IF(AND(K338&lt;&gt;"",NOT(ISNUMBER(K338))),"／電圧が数値でない","")&amp;IF(AND(N338&lt;&gt;"",NOT(ISNUMBER(N338))),"／電流が数値でない","")&amp;IF(AND(C338&lt;&gt;"",C338&lt;1),"／開始Uが1未満","")&amp;IF(AND(E338&lt;&gt;"",E338&gt;IFERROR(VLOOKUP(A338,ラック定義!$A:$B,2,FALSE),47)),"／総Uをはみ出す","")&amp;IF(AND(A338&lt;&gt;"",COUNTIF(ラック定義!$A:$A,A338)=0),"／ラックが定義にない","")&amp;IF(AND(SUMPRODUCT((機器台帳!$A$2:$A$400=$A338)*((機器台帳!$B$2:$B$400=$B338)+(機器台帳!$B$2:$B$400="両面")+($B338="両面")&gt;0)*(機器台帳!$C$2:$C$400&lt;=$C338+$D338-1)*(機器台帳!$C$2:$C$400+機器台帳!$D$2:$D$400-1&gt;=$C338)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338&amp;"")))&gt;0)),"／同じUに他の機器(横並びなら正常)","")&amp;IF(AND(M338&lt;&gt;"",COUNTIFS(回路定義!$A:$A,A338,回路定義!$B:$B,M338)=0),"／回路1が定義にない","")&amp;IF(AND(P338&lt;&gt;"",COUNTIFS(回路定義!$A:$A,A338,回路定義!$B:$B,P338)=0),"／回路2が定義にない","")&amp;IF(AND(S338&lt;&gt;"",COUNTIFS(回路定義!$A:$A,A338,回路定義!$B:$B,S338)=0),"／回路3が定義にない",""),2,300)))</f>
        <v/>
      </c>
    </row>
    <row r="339">
      <c r="A339" s="5" t="n"/>
      <c r="B339" s="5" t="n"/>
      <c r="C339" s="5" t="n"/>
      <c r="D339" s="5" t="n"/>
      <c r="E339" s="6">
        <f>IF(C339="","",C339+D339-1)</f>
        <v/>
      </c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6">
        <f>COUNT(N339,Q339,T339)</f>
        <v/>
      </c>
      <c r="Z339" s="6">
        <f>IF(OR(K339="",NOT(ISNUMBER(K339))),"",K339*SUM(N339,Q339,T339))</f>
        <v/>
      </c>
      <c r="AA339" s="6">
        <f>IF(OR(Y339=0,N339=""),"",N339/Y339)</f>
        <v/>
      </c>
      <c r="AB339" s="6">
        <f>IF(OR(Y339=0,Q339=""),"",Q339/Y339)</f>
        <v/>
      </c>
      <c r="AC339" s="6">
        <f>IF(OR(Y339=0,T339=""),"",T339/Y339)</f>
        <v/>
      </c>
      <c r="AD339" s="6">
        <f>IF(F339="","",IF((IF(AND(Y339=0,NOT(SUMPRODUCT(--ISNUMBER(SEARCH({"棚板","棚","アングル","ｱﾝｸﾞﾙ","使用不可","ケーブル","ｹｰﾌﾞﾙ","PatchPnael","パッチ","引き出し","引出","ブランク","ﾌﾞﾗﾝｸ","マネージ","ﾏﾈｰｼﾞ","PDU","ONU"},$F339&amp;"")))&gt;0),NOT(SUMPRODUCT(--ISNUMBER(SEARCH({"電源オフ","未投入","停止","未使用","撤去"},$X339&amp;"")))&gt;0)),"／電力が未記入","")&amp;IF(AND(NOT(ISNUMBER(J339)),NOT(SUMPRODUCT(--ISNUMBER(SEARCH({"棚板","棚","アングル","ｱﾝｸﾞﾙ","使用不可","ケーブル","ｹｰﾌﾞﾙ","PatchPnael","パッチ","引き出し","引出","ブランク","ﾌﾞﾗﾝｸ","マネージ","ﾏﾈｰｼﾞ","PDU","ONU"},$F339&amp;"")))&gt;0)),"／重量が未記入","")&amp;IF(AND(K339&lt;&gt;"",NOT(ISNUMBER(K339))),"／電圧が数値でない","")&amp;IF(AND(N339&lt;&gt;"",NOT(ISNUMBER(N339))),"／電流が数値でない","")&amp;IF(AND(C339&lt;&gt;"",C339&lt;1),"／開始Uが1未満","")&amp;IF(AND(E339&lt;&gt;"",E339&gt;IFERROR(VLOOKUP(A339,ラック定義!$A:$B,2,FALSE),47)),"／総Uをはみ出す","")&amp;IF(AND(A339&lt;&gt;"",COUNTIF(ラック定義!$A:$A,A339)=0),"／ラックが定義にない","")&amp;IF(AND(SUMPRODUCT((機器台帳!$A$2:$A$400=$A339)*((機器台帳!$B$2:$B$400=$B339)+(機器台帳!$B$2:$B$400="両面")+($B339="両面")&gt;0)*(機器台帳!$C$2:$C$400&lt;=$C339+$D339-1)*(機器台帳!$C$2:$C$400+機器台帳!$D$2:$D$400-1&gt;=$C339)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339&amp;"")))&gt;0)),"／同じUに他の機器(横並びなら正常)","")&amp;IF(AND(M339&lt;&gt;"",COUNTIFS(回路定義!$A:$A,A339,回路定義!$B:$B,M339)=0),"／回路1が定義にない","")&amp;IF(AND(P339&lt;&gt;"",COUNTIFS(回路定義!$A:$A,A339,回路定義!$B:$B,P339)=0),"／回路2が定義にない","")&amp;IF(AND(S339&lt;&gt;"",COUNTIFS(回路定義!$A:$A,A339,回路定義!$B:$B,S339)=0),"／回路3が定義にない",""))="","",MID(IF(AND(Y339=0,NOT(SUMPRODUCT(--ISNUMBER(SEARCH({"棚板","棚","アングル","ｱﾝｸﾞﾙ","使用不可","ケーブル","ｹｰﾌﾞﾙ","PatchPnael","パッチ","引き出し","引出","ブランク","ﾌﾞﾗﾝｸ","マネージ","ﾏﾈｰｼﾞ","PDU","ONU"},$F339&amp;"")))&gt;0),NOT(SUMPRODUCT(--ISNUMBER(SEARCH({"電源オフ","未投入","停止","未使用","撤去"},$X339&amp;"")))&gt;0)),"／電力が未記入","")&amp;IF(AND(NOT(ISNUMBER(J339)),NOT(SUMPRODUCT(--ISNUMBER(SEARCH({"棚板","棚","アングル","ｱﾝｸﾞﾙ","使用不可","ケーブル","ｹｰﾌﾞﾙ","PatchPnael","パッチ","引き出し","引出","ブランク","ﾌﾞﾗﾝｸ","マネージ","ﾏﾈｰｼﾞ","PDU","ONU"},$F339&amp;"")))&gt;0)),"／重量が未記入","")&amp;IF(AND(K339&lt;&gt;"",NOT(ISNUMBER(K339))),"／電圧が数値でない","")&amp;IF(AND(N339&lt;&gt;"",NOT(ISNUMBER(N339))),"／電流が数値でない","")&amp;IF(AND(C339&lt;&gt;"",C339&lt;1),"／開始Uが1未満","")&amp;IF(AND(E339&lt;&gt;"",E339&gt;IFERROR(VLOOKUP(A339,ラック定義!$A:$B,2,FALSE),47)),"／総Uをはみ出す","")&amp;IF(AND(A339&lt;&gt;"",COUNTIF(ラック定義!$A:$A,A339)=0),"／ラックが定義にない","")&amp;IF(AND(SUMPRODUCT((機器台帳!$A$2:$A$400=$A339)*((機器台帳!$B$2:$B$400=$B339)+(機器台帳!$B$2:$B$400="両面")+($B339="両面")&gt;0)*(機器台帳!$C$2:$C$400&lt;=$C339+$D339-1)*(機器台帳!$C$2:$C$400+機器台帳!$D$2:$D$400-1&gt;=$C339)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339&amp;"")))&gt;0)),"／同じUに他の機器(横並びなら正常)","")&amp;IF(AND(M339&lt;&gt;"",COUNTIFS(回路定義!$A:$A,A339,回路定義!$B:$B,M339)=0),"／回路1が定義にない","")&amp;IF(AND(P339&lt;&gt;"",COUNTIFS(回路定義!$A:$A,A339,回路定義!$B:$B,P339)=0),"／回路2が定義にない","")&amp;IF(AND(S339&lt;&gt;"",COUNTIFS(回路定義!$A:$A,A339,回路定義!$B:$B,S339)=0),"／回路3が定義にない",""),2,300)))</f>
        <v/>
      </c>
    </row>
    <row r="340">
      <c r="A340" s="5" t="n"/>
      <c r="B340" s="5" t="n"/>
      <c r="C340" s="5" t="n"/>
      <c r="D340" s="5" t="n"/>
      <c r="E340" s="6">
        <f>IF(C340="","",C340+D340-1)</f>
        <v/>
      </c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6">
        <f>COUNT(N340,Q340,T340)</f>
        <v/>
      </c>
      <c r="Z340" s="6">
        <f>IF(OR(K340="",NOT(ISNUMBER(K340))),"",K340*SUM(N340,Q340,T340))</f>
        <v/>
      </c>
      <c r="AA340" s="6">
        <f>IF(OR(Y340=0,N340=""),"",N340/Y340)</f>
        <v/>
      </c>
      <c r="AB340" s="6">
        <f>IF(OR(Y340=0,Q340=""),"",Q340/Y340)</f>
        <v/>
      </c>
      <c r="AC340" s="6">
        <f>IF(OR(Y340=0,T340=""),"",T340/Y340)</f>
        <v/>
      </c>
      <c r="AD340" s="6">
        <f>IF(F340="","",IF((IF(AND(Y340=0,NOT(SUMPRODUCT(--ISNUMBER(SEARCH({"棚板","棚","アングル","ｱﾝｸﾞﾙ","使用不可","ケーブル","ｹｰﾌﾞﾙ","PatchPnael","パッチ","引き出し","引出","ブランク","ﾌﾞﾗﾝｸ","マネージ","ﾏﾈｰｼﾞ","PDU","ONU"},$F340&amp;"")))&gt;0),NOT(SUMPRODUCT(--ISNUMBER(SEARCH({"電源オフ","未投入","停止","未使用","撤去"},$X340&amp;"")))&gt;0)),"／電力が未記入","")&amp;IF(AND(NOT(ISNUMBER(J340)),NOT(SUMPRODUCT(--ISNUMBER(SEARCH({"棚板","棚","アングル","ｱﾝｸﾞﾙ","使用不可","ケーブル","ｹｰﾌﾞﾙ","PatchPnael","パッチ","引き出し","引出","ブランク","ﾌﾞﾗﾝｸ","マネージ","ﾏﾈｰｼﾞ","PDU","ONU"},$F340&amp;"")))&gt;0)),"／重量が未記入","")&amp;IF(AND(K340&lt;&gt;"",NOT(ISNUMBER(K340))),"／電圧が数値でない","")&amp;IF(AND(N340&lt;&gt;"",NOT(ISNUMBER(N340))),"／電流が数値でない","")&amp;IF(AND(C340&lt;&gt;"",C340&lt;1),"／開始Uが1未満","")&amp;IF(AND(E340&lt;&gt;"",E340&gt;IFERROR(VLOOKUP(A340,ラック定義!$A:$B,2,FALSE),47)),"／総Uをはみ出す","")&amp;IF(AND(A340&lt;&gt;"",COUNTIF(ラック定義!$A:$A,A340)=0),"／ラックが定義にない","")&amp;IF(AND(SUMPRODUCT((機器台帳!$A$2:$A$400=$A340)*((機器台帳!$B$2:$B$400=$B340)+(機器台帳!$B$2:$B$400="両面")+($B340="両面")&gt;0)*(機器台帳!$C$2:$C$400&lt;=$C340+$D340-1)*(機器台帳!$C$2:$C$400+機器台帳!$D$2:$D$400-1&gt;=$C340)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340&amp;"")))&gt;0)),"／同じUに他の機器(横並びなら正常)","")&amp;IF(AND(M340&lt;&gt;"",COUNTIFS(回路定義!$A:$A,A340,回路定義!$B:$B,M340)=0),"／回路1が定義にない","")&amp;IF(AND(P340&lt;&gt;"",COUNTIFS(回路定義!$A:$A,A340,回路定義!$B:$B,P340)=0),"／回路2が定義にない","")&amp;IF(AND(S340&lt;&gt;"",COUNTIFS(回路定義!$A:$A,A340,回路定義!$B:$B,S340)=0),"／回路3が定義にない",""))="","",MID(IF(AND(Y340=0,NOT(SUMPRODUCT(--ISNUMBER(SEARCH({"棚板","棚","アングル","ｱﾝｸﾞﾙ","使用不可","ケーブル","ｹｰﾌﾞﾙ","PatchPnael","パッチ","引き出し","引出","ブランク","ﾌﾞﾗﾝｸ","マネージ","ﾏﾈｰｼﾞ","PDU","ONU"},$F340&amp;"")))&gt;0),NOT(SUMPRODUCT(--ISNUMBER(SEARCH({"電源オフ","未投入","停止","未使用","撤去"},$X340&amp;"")))&gt;0)),"／電力が未記入","")&amp;IF(AND(NOT(ISNUMBER(J340)),NOT(SUMPRODUCT(--ISNUMBER(SEARCH({"棚板","棚","アングル","ｱﾝｸﾞﾙ","使用不可","ケーブル","ｹｰﾌﾞﾙ","PatchPnael","パッチ","引き出し","引出","ブランク","ﾌﾞﾗﾝｸ","マネージ","ﾏﾈｰｼﾞ","PDU","ONU"},$F340&amp;"")))&gt;0)),"／重量が未記入","")&amp;IF(AND(K340&lt;&gt;"",NOT(ISNUMBER(K340))),"／電圧が数値でない","")&amp;IF(AND(N340&lt;&gt;"",NOT(ISNUMBER(N340))),"／電流が数値でない","")&amp;IF(AND(C340&lt;&gt;"",C340&lt;1),"／開始Uが1未満","")&amp;IF(AND(E340&lt;&gt;"",E340&gt;IFERROR(VLOOKUP(A340,ラック定義!$A:$B,2,FALSE),47)),"／総Uをはみ出す","")&amp;IF(AND(A340&lt;&gt;"",COUNTIF(ラック定義!$A:$A,A340)=0),"／ラックが定義にない","")&amp;IF(AND(SUMPRODUCT((機器台帳!$A$2:$A$400=$A340)*((機器台帳!$B$2:$B$400=$B340)+(機器台帳!$B$2:$B$400="両面")+($B340="両面")&gt;0)*(機器台帳!$C$2:$C$400&lt;=$C340+$D340-1)*(機器台帳!$C$2:$C$400+機器台帳!$D$2:$D$400-1&gt;=$C340)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340&amp;"")))&gt;0)),"／同じUに他の機器(横並びなら正常)","")&amp;IF(AND(M340&lt;&gt;"",COUNTIFS(回路定義!$A:$A,A340,回路定義!$B:$B,M340)=0),"／回路1が定義にない","")&amp;IF(AND(P340&lt;&gt;"",COUNTIFS(回路定義!$A:$A,A340,回路定義!$B:$B,P340)=0),"／回路2が定義にない","")&amp;IF(AND(S340&lt;&gt;"",COUNTIFS(回路定義!$A:$A,A340,回路定義!$B:$B,S340)=0),"／回路3が定義にない",""),2,300)))</f>
        <v/>
      </c>
    </row>
    <row r="341">
      <c r="A341" s="5" t="n"/>
      <c r="B341" s="5" t="n"/>
      <c r="C341" s="5" t="n"/>
      <c r="D341" s="5" t="n"/>
      <c r="E341" s="6">
        <f>IF(C341="","",C341+D341-1)</f>
        <v/>
      </c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6">
        <f>COUNT(N341,Q341,T341)</f>
        <v/>
      </c>
      <c r="Z341" s="6">
        <f>IF(OR(K341="",NOT(ISNUMBER(K341))),"",K341*SUM(N341,Q341,T341))</f>
        <v/>
      </c>
      <c r="AA341" s="6">
        <f>IF(OR(Y341=0,N341=""),"",N341/Y341)</f>
        <v/>
      </c>
      <c r="AB341" s="6">
        <f>IF(OR(Y341=0,Q341=""),"",Q341/Y341)</f>
        <v/>
      </c>
      <c r="AC341" s="6">
        <f>IF(OR(Y341=0,T341=""),"",T341/Y341)</f>
        <v/>
      </c>
      <c r="AD341" s="6">
        <f>IF(F341="","",IF((IF(AND(Y341=0,NOT(SUMPRODUCT(--ISNUMBER(SEARCH({"棚板","棚","アングル","ｱﾝｸﾞﾙ","使用不可","ケーブル","ｹｰﾌﾞﾙ","PatchPnael","パッチ","引き出し","引出","ブランク","ﾌﾞﾗﾝｸ","マネージ","ﾏﾈｰｼﾞ","PDU","ONU"},$F341&amp;"")))&gt;0),NOT(SUMPRODUCT(--ISNUMBER(SEARCH({"電源オフ","未投入","停止","未使用","撤去"},$X341&amp;"")))&gt;0)),"／電力が未記入","")&amp;IF(AND(NOT(ISNUMBER(J341)),NOT(SUMPRODUCT(--ISNUMBER(SEARCH({"棚板","棚","アングル","ｱﾝｸﾞﾙ","使用不可","ケーブル","ｹｰﾌﾞﾙ","PatchPnael","パッチ","引き出し","引出","ブランク","ﾌﾞﾗﾝｸ","マネージ","ﾏﾈｰｼﾞ","PDU","ONU"},$F341&amp;"")))&gt;0)),"／重量が未記入","")&amp;IF(AND(K341&lt;&gt;"",NOT(ISNUMBER(K341))),"／電圧が数値でない","")&amp;IF(AND(N341&lt;&gt;"",NOT(ISNUMBER(N341))),"／電流が数値でない","")&amp;IF(AND(C341&lt;&gt;"",C341&lt;1),"／開始Uが1未満","")&amp;IF(AND(E341&lt;&gt;"",E341&gt;IFERROR(VLOOKUP(A341,ラック定義!$A:$B,2,FALSE),47)),"／総Uをはみ出す","")&amp;IF(AND(A341&lt;&gt;"",COUNTIF(ラック定義!$A:$A,A341)=0),"／ラックが定義にない","")&amp;IF(AND(SUMPRODUCT((機器台帳!$A$2:$A$400=$A341)*((機器台帳!$B$2:$B$400=$B341)+(機器台帳!$B$2:$B$400="両面")+($B341="両面")&gt;0)*(機器台帳!$C$2:$C$400&lt;=$C341+$D341-1)*(機器台帳!$C$2:$C$400+機器台帳!$D$2:$D$400-1&gt;=$C341)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341&amp;"")))&gt;0)),"／同じUに他の機器(横並びなら正常)","")&amp;IF(AND(M341&lt;&gt;"",COUNTIFS(回路定義!$A:$A,A341,回路定義!$B:$B,M341)=0),"／回路1が定義にない","")&amp;IF(AND(P341&lt;&gt;"",COUNTIFS(回路定義!$A:$A,A341,回路定義!$B:$B,P341)=0),"／回路2が定義にない","")&amp;IF(AND(S341&lt;&gt;"",COUNTIFS(回路定義!$A:$A,A341,回路定義!$B:$B,S341)=0),"／回路3が定義にない",""))="","",MID(IF(AND(Y341=0,NOT(SUMPRODUCT(--ISNUMBER(SEARCH({"棚板","棚","アングル","ｱﾝｸﾞﾙ","使用不可","ケーブル","ｹｰﾌﾞﾙ","PatchPnael","パッチ","引き出し","引出","ブランク","ﾌﾞﾗﾝｸ","マネージ","ﾏﾈｰｼﾞ","PDU","ONU"},$F341&amp;"")))&gt;0),NOT(SUMPRODUCT(--ISNUMBER(SEARCH({"電源オフ","未投入","停止","未使用","撤去"},$X341&amp;"")))&gt;0)),"／電力が未記入","")&amp;IF(AND(NOT(ISNUMBER(J341)),NOT(SUMPRODUCT(--ISNUMBER(SEARCH({"棚板","棚","アングル","ｱﾝｸﾞﾙ","使用不可","ケーブル","ｹｰﾌﾞﾙ","PatchPnael","パッチ","引き出し","引出","ブランク","ﾌﾞﾗﾝｸ","マネージ","ﾏﾈｰｼﾞ","PDU","ONU"},$F341&amp;"")))&gt;0)),"／重量が未記入","")&amp;IF(AND(K341&lt;&gt;"",NOT(ISNUMBER(K341))),"／電圧が数値でない","")&amp;IF(AND(N341&lt;&gt;"",NOT(ISNUMBER(N341))),"／電流が数値でない","")&amp;IF(AND(C341&lt;&gt;"",C341&lt;1),"／開始Uが1未満","")&amp;IF(AND(E341&lt;&gt;"",E341&gt;IFERROR(VLOOKUP(A341,ラック定義!$A:$B,2,FALSE),47)),"／総Uをはみ出す","")&amp;IF(AND(A341&lt;&gt;"",COUNTIF(ラック定義!$A:$A,A341)=0),"／ラックが定義にない","")&amp;IF(AND(SUMPRODUCT((機器台帳!$A$2:$A$400=$A341)*((機器台帳!$B$2:$B$400=$B341)+(機器台帳!$B$2:$B$400="両面")+($B341="両面")&gt;0)*(機器台帳!$C$2:$C$400&lt;=$C341+$D341-1)*(機器台帳!$C$2:$C$400+機器台帳!$D$2:$D$400-1&gt;=$C341)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341&amp;"")))&gt;0)),"／同じUに他の機器(横並びなら正常)","")&amp;IF(AND(M341&lt;&gt;"",COUNTIFS(回路定義!$A:$A,A341,回路定義!$B:$B,M341)=0),"／回路1が定義にない","")&amp;IF(AND(P341&lt;&gt;"",COUNTIFS(回路定義!$A:$A,A341,回路定義!$B:$B,P341)=0),"／回路2が定義にない","")&amp;IF(AND(S341&lt;&gt;"",COUNTIFS(回路定義!$A:$A,A341,回路定義!$B:$B,S341)=0),"／回路3が定義にない",""),2,300)))</f>
        <v/>
      </c>
    </row>
    <row r="342">
      <c r="A342" s="5" t="n"/>
      <c r="B342" s="5" t="n"/>
      <c r="C342" s="5" t="n"/>
      <c r="D342" s="5" t="n"/>
      <c r="E342" s="6">
        <f>IF(C342="","",C342+D342-1)</f>
        <v/>
      </c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6">
        <f>COUNT(N342,Q342,T342)</f>
        <v/>
      </c>
      <c r="Z342" s="6">
        <f>IF(OR(K342="",NOT(ISNUMBER(K342))),"",K342*SUM(N342,Q342,T342))</f>
        <v/>
      </c>
      <c r="AA342" s="6">
        <f>IF(OR(Y342=0,N342=""),"",N342/Y342)</f>
        <v/>
      </c>
      <c r="AB342" s="6">
        <f>IF(OR(Y342=0,Q342=""),"",Q342/Y342)</f>
        <v/>
      </c>
      <c r="AC342" s="6">
        <f>IF(OR(Y342=0,T342=""),"",T342/Y342)</f>
        <v/>
      </c>
      <c r="AD342" s="6">
        <f>IF(F342="","",IF((IF(AND(Y342=0,NOT(SUMPRODUCT(--ISNUMBER(SEARCH({"棚板","棚","アングル","ｱﾝｸﾞﾙ","使用不可","ケーブル","ｹｰﾌﾞﾙ","PatchPnael","パッチ","引き出し","引出","ブランク","ﾌﾞﾗﾝｸ","マネージ","ﾏﾈｰｼﾞ","PDU","ONU"},$F342&amp;"")))&gt;0),NOT(SUMPRODUCT(--ISNUMBER(SEARCH({"電源オフ","未投入","停止","未使用","撤去"},$X342&amp;"")))&gt;0)),"／電力が未記入","")&amp;IF(AND(NOT(ISNUMBER(J342)),NOT(SUMPRODUCT(--ISNUMBER(SEARCH({"棚板","棚","アングル","ｱﾝｸﾞﾙ","使用不可","ケーブル","ｹｰﾌﾞﾙ","PatchPnael","パッチ","引き出し","引出","ブランク","ﾌﾞﾗﾝｸ","マネージ","ﾏﾈｰｼﾞ","PDU","ONU"},$F342&amp;"")))&gt;0)),"／重量が未記入","")&amp;IF(AND(K342&lt;&gt;"",NOT(ISNUMBER(K342))),"／電圧が数値でない","")&amp;IF(AND(N342&lt;&gt;"",NOT(ISNUMBER(N342))),"／電流が数値でない","")&amp;IF(AND(C342&lt;&gt;"",C342&lt;1),"／開始Uが1未満","")&amp;IF(AND(E342&lt;&gt;"",E342&gt;IFERROR(VLOOKUP(A342,ラック定義!$A:$B,2,FALSE),47)),"／総Uをはみ出す","")&amp;IF(AND(A342&lt;&gt;"",COUNTIF(ラック定義!$A:$A,A342)=0),"／ラックが定義にない","")&amp;IF(AND(SUMPRODUCT((機器台帳!$A$2:$A$400=$A342)*((機器台帳!$B$2:$B$400=$B342)+(機器台帳!$B$2:$B$400="両面")+($B342="両面")&gt;0)*(機器台帳!$C$2:$C$400&lt;=$C342+$D342-1)*(機器台帳!$C$2:$C$400+機器台帳!$D$2:$D$400-1&gt;=$C342)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342&amp;"")))&gt;0)),"／同じUに他の機器(横並びなら正常)","")&amp;IF(AND(M342&lt;&gt;"",COUNTIFS(回路定義!$A:$A,A342,回路定義!$B:$B,M342)=0),"／回路1が定義にない","")&amp;IF(AND(P342&lt;&gt;"",COUNTIFS(回路定義!$A:$A,A342,回路定義!$B:$B,P342)=0),"／回路2が定義にない","")&amp;IF(AND(S342&lt;&gt;"",COUNTIFS(回路定義!$A:$A,A342,回路定義!$B:$B,S342)=0),"／回路3が定義にない",""))="","",MID(IF(AND(Y342=0,NOT(SUMPRODUCT(--ISNUMBER(SEARCH({"棚板","棚","アングル","ｱﾝｸﾞﾙ","使用不可","ケーブル","ｹｰﾌﾞﾙ","PatchPnael","パッチ","引き出し","引出","ブランク","ﾌﾞﾗﾝｸ","マネージ","ﾏﾈｰｼﾞ","PDU","ONU"},$F342&amp;"")))&gt;0),NOT(SUMPRODUCT(--ISNUMBER(SEARCH({"電源オフ","未投入","停止","未使用","撤去"},$X342&amp;"")))&gt;0)),"／電力が未記入","")&amp;IF(AND(NOT(ISNUMBER(J342)),NOT(SUMPRODUCT(--ISNUMBER(SEARCH({"棚板","棚","アングル","ｱﾝｸﾞﾙ","使用不可","ケーブル","ｹｰﾌﾞﾙ","PatchPnael","パッチ","引き出し","引出","ブランク","ﾌﾞﾗﾝｸ","マネージ","ﾏﾈｰｼﾞ","PDU","ONU"},$F342&amp;"")))&gt;0)),"／重量が未記入","")&amp;IF(AND(K342&lt;&gt;"",NOT(ISNUMBER(K342))),"／電圧が数値でない","")&amp;IF(AND(N342&lt;&gt;"",NOT(ISNUMBER(N342))),"／電流が数値でない","")&amp;IF(AND(C342&lt;&gt;"",C342&lt;1),"／開始Uが1未満","")&amp;IF(AND(E342&lt;&gt;"",E342&gt;IFERROR(VLOOKUP(A342,ラック定義!$A:$B,2,FALSE),47)),"／総Uをはみ出す","")&amp;IF(AND(A342&lt;&gt;"",COUNTIF(ラック定義!$A:$A,A342)=0),"／ラックが定義にない","")&amp;IF(AND(SUMPRODUCT((機器台帳!$A$2:$A$400=$A342)*((機器台帳!$B$2:$B$400=$B342)+(機器台帳!$B$2:$B$400="両面")+($B342="両面")&gt;0)*(機器台帳!$C$2:$C$400&lt;=$C342+$D342-1)*(機器台帳!$C$2:$C$400+機器台帳!$D$2:$D$400-1&gt;=$C342)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342&amp;"")))&gt;0)),"／同じUに他の機器(横並びなら正常)","")&amp;IF(AND(M342&lt;&gt;"",COUNTIFS(回路定義!$A:$A,A342,回路定義!$B:$B,M342)=0),"／回路1が定義にない","")&amp;IF(AND(P342&lt;&gt;"",COUNTIFS(回路定義!$A:$A,A342,回路定義!$B:$B,P342)=0),"／回路2が定義にない","")&amp;IF(AND(S342&lt;&gt;"",COUNTIFS(回路定義!$A:$A,A342,回路定義!$B:$B,S342)=0),"／回路3が定義にない",""),2,300)))</f>
        <v/>
      </c>
    </row>
    <row r="343">
      <c r="A343" s="5" t="n"/>
      <c r="B343" s="5" t="n"/>
      <c r="C343" s="5" t="n"/>
      <c r="D343" s="5" t="n"/>
      <c r="E343" s="6">
        <f>IF(C343="","",C343+D343-1)</f>
        <v/>
      </c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6">
        <f>COUNT(N343,Q343,T343)</f>
        <v/>
      </c>
      <c r="Z343" s="6">
        <f>IF(OR(K343="",NOT(ISNUMBER(K343))),"",K343*SUM(N343,Q343,T343))</f>
        <v/>
      </c>
      <c r="AA343" s="6">
        <f>IF(OR(Y343=0,N343=""),"",N343/Y343)</f>
        <v/>
      </c>
      <c r="AB343" s="6">
        <f>IF(OR(Y343=0,Q343=""),"",Q343/Y343)</f>
        <v/>
      </c>
      <c r="AC343" s="6">
        <f>IF(OR(Y343=0,T343=""),"",T343/Y343)</f>
        <v/>
      </c>
      <c r="AD343" s="6">
        <f>IF(F343="","",IF((IF(AND(Y343=0,NOT(SUMPRODUCT(--ISNUMBER(SEARCH({"棚板","棚","アングル","ｱﾝｸﾞﾙ","使用不可","ケーブル","ｹｰﾌﾞﾙ","PatchPnael","パッチ","引き出し","引出","ブランク","ﾌﾞﾗﾝｸ","マネージ","ﾏﾈｰｼﾞ","PDU","ONU"},$F343&amp;"")))&gt;0),NOT(SUMPRODUCT(--ISNUMBER(SEARCH({"電源オフ","未投入","停止","未使用","撤去"},$X343&amp;"")))&gt;0)),"／電力が未記入","")&amp;IF(AND(NOT(ISNUMBER(J343)),NOT(SUMPRODUCT(--ISNUMBER(SEARCH({"棚板","棚","アングル","ｱﾝｸﾞﾙ","使用不可","ケーブル","ｹｰﾌﾞﾙ","PatchPnael","パッチ","引き出し","引出","ブランク","ﾌﾞﾗﾝｸ","マネージ","ﾏﾈｰｼﾞ","PDU","ONU"},$F343&amp;"")))&gt;0)),"／重量が未記入","")&amp;IF(AND(K343&lt;&gt;"",NOT(ISNUMBER(K343))),"／電圧が数値でない","")&amp;IF(AND(N343&lt;&gt;"",NOT(ISNUMBER(N343))),"／電流が数値でない","")&amp;IF(AND(C343&lt;&gt;"",C343&lt;1),"／開始Uが1未満","")&amp;IF(AND(E343&lt;&gt;"",E343&gt;IFERROR(VLOOKUP(A343,ラック定義!$A:$B,2,FALSE),47)),"／総Uをはみ出す","")&amp;IF(AND(A343&lt;&gt;"",COUNTIF(ラック定義!$A:$A,A343)=0),"／ラックが定義にない","")&amp;IF(AND(SUMPRODUCT((機器台帳!$A$2:$A$400=$A343)*((機器台帳!$B$2:$B$400=$B343)+(機器台帳!$B$2:$B$400="両面")+($B343="両面")&gt;0)*(機器台帳!$C$2:$C$400&lt;=$C343+$D343-1)*(機器台帳!$C$2:$C$400+機器台帳!$D$2:$D$400-1&gt;=$C343)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343&amp;"")))&gt;0)),"／同じUに他の機器(横並びなら正常)","")&amp;IF(AND(M343&lt;&gt;"",COUNTIFS(回路定義!$A:$A,A343,回路定義!$B:$B,M343)=0),"／回路1が定義にない","")&amp;IF(AND(P343&lt;&gt;"",COUNTIFS(回路定義!$A:$A,A343,回路定義!$B:$B,P343)=0),"／回路2が定義にない","")&amp;IF(AND(S343&lt;&gt;"",COUNTIFS(回路定義!$A:$A,A343,回路定義!$B:$B,S343)=0),"／回路3が定義にない",""))="","",MID(IF(AND(Y343=0,NOT(SUMPRODUCT(--ISNUMBER(SEARCH({"棚板","棚","アングル","ｱﾝｸﾞﾙ","使用不可","ケーブル","ｹｰﾌﾞﾙ","PatchPnael","パッチ","引き出し","引出","ブランク","ﾌﾞﾗﾝｸ","マネージ","ﾏﾈｰｼﾞ","PDU","ONU"},$F343&amp;"")))&gt;0),NOT(SUMPRODUCT(--ISNUMBER(SEARCH({"電源オフ","未投入","停止","未使用","撤去"},$X343&amp;"")))&gt;0)),"／電力が未記入","")&amp;IF(AND(NOT(ISNUMBER(J343)),NOT(SUMPRODUCT(--ISNUMBER(SEARCH({"棚板","棚","アングル","ｱﾝｸﾞﾙ","使用不可","ケーブル","ｹｰﾌﾞﾙ","PatchPnael","パッチ","引き出し","引出","ブランク","ﾌﾞﾗﾝｸ","マネージ","ﾏﾈｰｼﾞ","PDU","ONU"},$F343&amp;"")))&gt;0)),"／重量が未記入","")&amp;IF(AND(K343&lt;&gt;"",NOT(ISNUMBER(K343))),"／電圧が数値でない","")&amp;IF(AND(N343&lt;&gt;"",NOT(ISNUMBER(N343))),"／電流が数値でない","")&amp;IF(AND(C343&lt;&gt;"",C343&lt;1),"／開始Uが1未満","")&amp;IF(AND(E343&lt;&gt;"",E343&gt;IFERROR(VLOOKUP(A343,ラック定義!$A:$B,2,FALSE),47)),"／総Uをはみ出す","")&amp;IF(AND(A343&lt;&gt;"",COUNTIF(ラック定義!$A:$A,A343)=0),"／ラックが定義にない","")&amp;IF(AND(SUMPRODUCT((機器台帳!$A$2:$A$400=$A343)*((機器台帳!$B$2:$B$400=$B343)+(機器台帳!$B$2:$B$400="両面")+($B343="両面")&gt;0)*(機器台帳!$C$2:$C$400&lt;=$C343+$D343-1)*(機器台帳!$C$2:$C$400+機器台帳!$D$2:$D$400-1&gt;=$C343)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343&amp;"")))&gt;0)),"／同じUに他の機器(横並びなら正常)","")&amp;IF(AND(M343&lt;&gt;"",COUNTIFS(回路定義!$A:$A,A343,回路定義!$B:$B,M343)=0),"／回路1が定義にない","")&amp;IF(AND(P343&lt;&gt;"",COUNTIFS(回路定義!$A:$A,A343,回路定義!$B:$B,P343)=0),"／回路2が定義にない","")&amp;IF(AND(S343&lt;&gt;"",COUNTIFS(回路定義!$A:$A,A343,回路定義!$B:$B,S343)=0),"／回路3が定義にない",""),2,300)))</f>
        <v/>
      </c>
    </row>
    <row r="344">
      <c r="A344" s="5" t="n"/>
      <c r="B344" s="5" t="n"/>
      <c r="C344" s="5" t="n"/>
      <c r="D344" s="5" t="n"/>
      <c r="E344" s="6">
        <f>IF(C344="","",C344+D344-1)</f>
        <v/>
      </c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6">
        <f>COUNT(N344,Q344,T344)</f>
        <v/>
      </c>
      <c r="Z344" s="6">
        <f>IF(OR(K344="",NOT(ISNUMBER(K344))),"",K344*SUM(N344,Q344,T344))</f>
        <v/>
      </c>
      <c r="AA344" s="6">
        <f>IF(OR(Y344=0,N344=""),"",N344/Y344)</f>
        <v/>
      </c>
      <c r="AB344" s="6">
        <f>IF(OR(Y344=0,Q344=""),"",Q344/Y344)</f>
        <v/>
      </c>
      <c r="AC344" s="6">
        <f>IF(OR(Y344=0,T344=""),"",T344/Y344)</f>
        <v/>
      </c>
      <c r="AD344" s="6">
        <f>IF(F344="","",IF((IF(AND(Y344=0,NOT(SUMPRODUCT(--ISNUMBER(SEARCH({"棚板","棚","アングル","ｱﾝｸﾞﾙ","使用不可","ケーブル","ｹｰﾌﾞﾙ","PatchPnael","パッチ","引き出し","引出","ブランク","ﾌﾞﾗﾝｸ","マネージ","ﾏﾈｰｼﾞ","PDU","ONU"},$F344&amp;"")))&gt;0),NOT(SUMPRODUCT(--ISNUMBER(SEARCH({"電源オフ","未投入","停止","未使用","撤去"},$X344&amp;"")))&gt;0)),"／電力が未記入","")&amp;IF(AND(NOT(ISNUMBER(J344)),NOT(SUMPRODUCT(--ISNUMBER(SEARCH({"棚板","棚","アングル","ｱﾝｸﾞﾙ","使用不可","ケーブル","ｹｰﾌﾞﾙ","PatchPnael","パッチ","引き出し","引出","ブランク","ﾌﾞﾗﾝｸ","マネージ","ﾏﾈｰｼﾞ","PDU","ONU"},$F344&amp;"")))&gt;0)),"／重量が未記入","")&amp;IF(AND(K344&lt;&gt;"",NOT(ISNUMBER(K344))),"／電圧が数値でない","")&amp;IF(AND(N344&lt;&gt;"",NOT(ISNUMBER(N344))),"／電流が数値でない","")&amp;IF(AND(C344&lt;&gt;"",C344&lt;1),"／開始Uが1未満","")&amp;IF(AND(E344&lt;&gt;"",E344&gt;IFERROR(VLOOKUP(A344,ラック定義!$A:$B,2,FALSE),47)),"／総Uをはみ出す","")&amp;IF(AND(A344&lt;&gt;"",COUNTIF(ラック定義!$A:$A,A344)=0),"／ラックが定義にない","")&amp;IF(AND(SUMPRODUCT((機器台帳!$A$2:$A$400=$A344)*((機器台帳!$B$2:$B$400=$B344)+(機器台帳!$B$2:$B$400="両面")+($B344="両面")&gt;0)*(機器台帳!$C$2:$C$400&lt;=$C344+$D344-1)*(機器台帳!$C$2:$C$400+機器台帳!$D$2:$D$400-1&gt;=$C344)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344&amp;"")))&gt;0)),"／同じUに他の機器(横並びなら正常)","")&amp;IF(AND(M344&lt;&gt;"",COUNTIFS(回路定義!$A:$A,A344,回路定義!$B:$B,M344)=0),"／回路1が定義にない","")&amp;IF(AND(P344&lt;&gt;"",COUNTIFS(回路定義!$A:$A,A344,回路定義!$B:$B,P344)=0),"／回路2が定義にない","")&amp;IF(AND(S344&lt;&gt;"",COUNTIFS(回路定義!$A:$A,A344,回路定義!$B:$B,S344)=0),"／回路3が定義にない",""))="","",MID(IF(AND(Y344=0,NOT(SUMPRODUCT(--ISNUMBER(SEARCH({"棚板","棚","アングル","ｱﾝｸﾞﾙ","使用不可","ケーブル","ｹｰﾌﾞﾙ","PatchPnael","パッチ","引き出し","引出","ブランク","ﾌﾞﾗﾝｸ","マネージ","ﾏﾈｰｼﾞ","PDU","ONU"},$F344&amp;"")))&gt;0),NOT(SUMPRODUCT(--ISNUMBER(SEARCH({"電源オフ","未投入","停止","未使用","撤去"},$X344&amp;"")))&gt;0)),"／電力が未記入","")&amp;IF(AND(NOT(ISNUMBER(J344)),NOT(SUMPRODUCT(--ISNUMBER(SEARCH({"棚板","棚","アングル","ｱﾝｸﾞﾙ","使用不可","ケーブル","ｹｰﾌﾞﾙ","PatchPnael","パッチ","引き出し","引出","ブランク","ﾌﾞﾗﾝｸ","マネージ","ﾏﾈｰｼﾞ","PDU","ONU"},$F344&amp;"")))&gt;0)),"／重量が未記入","")&amp;IF(AND(K344&lt;&gt;"",NOT(ISNUMBER(K344))),"／電圧が数値でない","")&amp;IF(AND(N344&lt;&gt;"",NOT(ISNUMBER(N344))),"／電流が数値でない","")&amp;IF(AND(C344&lt;&gt;"",C344&lt;1),"／開始Uが1未満","")&amp;IF(AND(E344&lt;&gt;"",E344&gt;IFERROR(VLOOKUP(A344,ラック定義!$A:$B,2,FALSE),47)),"／総Uをはみ出す","")&amp;IF(AND(A344&lt;&gt;"",COUNTIF(ラック定義!$A:$A,A344)=0),"／ラックが定義にない","")&amp;IF(AND(SUMPRODUCT((機器台帳!$A$2:$A$400=$A344)*((機器台帳!$B$2:$B$400=$B344)+(機器台帳!$B$2:$B$400="両面")+($B344="両面")&gt;0)*(機器台帳!$C$2:$C$400&lt;=$C344+$D344-1)*(機器台帳!$C$2:$C$400+機器台帳!$D$2:$D$400-1&gt;=$C344)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344&amp;"")))&gt;0)),"／同じUに他の機器(横並びなら正常)","")&amp;IF(AND(M344&lt;&gt;"",COUNTIFS(回路定義!$A:$A,A344,回路定義!$B:$B,M344)=0),"／回路1が定義にない","")&amp;IF(AND(P344&lt;&gt;"",COUNTIFS(回路定義!$A:$A,A344,回路定義!$B:$B,P344)=0),"／回路2が定義にない","")&amp;IF(AND(S344&lt;&gt;"",COUNTIFS(回路定義!$A:$A,A344,回路定義!$B:$B,S344)=0),"／回路3が定義にない",""),2,300)))</f>
        <v/>
      </c>
    </row>
    <row r="345">
      <c r="A345" s="5" t="n"/>
      <c r="B345" s="5" t="n"/>
      <c r="C345" s="5" t="n"/>
      <c r="D345" s="5" t="n"/>
      <c r="E345" s="6">
        <f>IF(C345="","",C345+D345-1)</f>
        <v/>
      </c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6">
        <f>COUNT(N345,Q345,T345)</f>
        <v/>
      </c>
      <c r="Z345" s="6">
        <f>IF(OR(K345="",NOT(ISNUMBER(K345))),"",K345*SUM(N345,Q345,T345))</f>
        <v/>
      </c>
      <c r="AA345" s="6">
        <f>IF(OR(Y345=0,N345=""),"",N345/Y345)</f>
        <v/>
      </c>
      <c r="AB345" s="6">
        <f>IF(OR(Y345=0,Q345=""),"",Q345/Y345)</f>
        <v/>
      </c>
      <c r="AC345" s="6">
        <f>IF(OR(Y345=0,T345=""),"",T345/Y345)</f>
        <v/>
      </c>
      <c r="AD345" s="6">
        <f>IF(F345="","",IF((IF(AND(Y345=0,NOT(SUMPRODUCT(--ISNUMBER(SEARCH({"棚板","棚","アングル","ｱﾝｸﾞﾙ","使用不可","ケーブル","ｹｰﾌﾞﾙ","PatchPnael","パッチ","引き出し","引出","ブランク","ﾌﾞﾗﾝｸ","マネージ","ﾏﾈｰｼﾞ","PDU","ONU"},$F345&amp;"")))&gt;0),NOT(SUMPRODUCT(--ISNUMBER(SEARCH({"電源オフ","未投入","停止","未使用","撤去"},$X345&amp;"")))&gt;0)),"／電力が未記入","")&amp;IF(AND(NOT(ISNUMBER(J345)),NOT(SUMPRODUCT(--ISNUMBER(SEARCH({"棚板","棚","アングル","ｱﾝｸﾞﾙ","使用不可","ケーブル","ｹｰﾌﾞﾙ","PatchPnael","パッチ","引き出し","引出","ブランク","ﾌﾞﾗﾝｸ","マネージ","ﾏﾈｰｼﾞ","PDU","ONU"},$F345&amp;"")))&gt;0)),"／重量が未記入","")&amp;IF(AND(K345&lt;&gt;"",NOT(ISNUMBER(K345))),"／電圧が数値でない","")&amp;IF(AND(N345&lt;&gt;"",NOT(ISNUMBER(N345))),"／電流が数値でない","")&amp;IF(AND(C345&lt;&gt;"",C345&lt;1),"／開始Uが1未満","")&amp;IF(AND(E345&lt;&gt;"",E345&gt;IFERROR(VLOOKUP(A345,ラック定義!$A:$B,2,FALSE),47)),"／総Uをはみ出す","")&amp;IF(AND(A345&lt;&gt;"",COUNTIF(ラック定義!$A:$A,A345)=0),"／ラックが定義にない","")&amp;IF(AND(SUMPRODUCT((機器台帳!$A$2:$A$400=$A345)*((機器台帳!$B$2:$B$400=$B345)+(機器台帳!$B$2:$B$400="両面")+($B345="両面")&gt;0)*(機器台帳!$C$2:$C$400&lt;=$C345+$D345-1)*(機器台帳!$C$2:$C$400+機器台帳!$D$2:$D$400-1&gt;=$C345)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345&amp;"")))&gt;0)),"／同じUに他の機器(横並びなら正常)","")&amp;IF(AND(M345&lt;&gt;"",COUNTIFS(回路定義!$A:$A,A345,回路定義!$B:$B,M345)=0),"／回路1が定義にない","")&amp;IF(AND(P345&lt;&gt;"",COUNTIFS(回路定義!$A:$A,A345,回路定義!$B:$B,P345)=0),"／回路2が定義にない","")&amp;IF(AND(S345&lt;&gt;"",COUNTIFS(回路定義!$A:$A,A345,回路定義!$B:$B,S345)=0),"／回路3が定義にない",""))="","",MID(IF(AND(Y345=0,NOT(SUMPRODUCT(--ISNUMBER(SEARCH({"棚板","棚","アングル","ｱﾝｸﾞﾙ","使用不可","ケーブル","ｹｰﾌﾞﾙ","PatchPnael","パッチ","引き出し","引出","ブランク","ﾌﾞﾗﾝｸ","マネージ","ﾏﾈｰｼﾞ","PDU","ONU"},$F345&amp;"")))&gt;0),NOT(SUMPRODUCT(--ISNUMBER(SEARCH({"電源オフ","未投入","停止","未使用","撤去"},$X345&amp;"")))&gt;0)),"／電力が未記入","")&amp;IF(AND(NOT(ISNUMBER(J345)),NOT(SUMPRODUCT(--ISNUMBER(SEARCH({"棚板","棚","アングル","ｱﾝｸﾞﾙ","使用不可","ケーブル","ｹｰﾌﾞﾙ","PatchPnael","パッチ","引き出し","引出","ブランク","ﾌﾞﾗﾝｸ","マネージ","ﾏﾈｰｼﾞ","PDU","ONU"},$F345&amp;"")))&gt;0)),"／重量が未記入","")&amp;IF(AND(K345&lt;&gt;"",NOT(ISNUMBER(K345))),"／電圧が数値でない","")&amp;IF(AND(N345&lt;&gt;"",NOT(ISNUMBER(N345))),"／電流が数値でない","")&amp;IF(AND(C345&lt;&gt;"",C345&lt;1),"／開始Uが1未満","")&amp;IF(AND(E345&lt;&gt;"",E345&gt;IFERROR(VLOOKUP(A345,ラック定義!$A:$B,2,FALSE),47)),"／総Uをはみ出す","")&amp;IF(AND(A345&lt;&gt;"",COUNTIF(ラック定義!$A:$A,A345)=0),"／ラックが定義にない","")&amp;IF(AND(SUMPRODUCT((機器台帳!$A$2:$A$400=$A345)*((機器台帳!$B$2:$B$400=$B345)+(機器台帳!$B$2:$B$400="両面")+($B345="両面")&gt;0)*(機器台帳!$C$2:$C$400&lt;=$C345+$D345-1)*(機器台帳!$C$2:$C$400+機器台帳!$D$2:$D$400-1&gt;=$C345)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345&amp;"")))&gt;0)),"／同じUに他の機器(横並びなら正常)","")&amp;IF(AND(M345&lt;&gt;"",COUNTIFS(回路定義!$A:$A,A345,回路定義!$B:$B,M345)=0),"／回路1が定義にない","")&amp;IF(AND(P345&lt;&gt;"",COUNTIFS(回路定義!$A:$A,A345,回路定義!$B:$B,P345)=0),"／回路2が定義にない","")&amp;IF(AND(S345&lt;&gt;"",COUNTIFS(回路定義!$A:$A,A345,回路定義!$B:$B,S345)=0),"／回路3が定義にない",""),2,300)))</f>
        <v/>
      </c>
    </row>
    <row r="346">
      <c r="A346" s="5" t="n"/>
      <c r="B346" s="5" t="n"/>
      <c r="C346" s="5" t="n"/>
      <c r="D346" s="5" t="n"/>
      <c r="E346" s="6">
        <f>IF(C346="","",C346+D346-1)</f>
        <v/>
      </c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6">
        <f>COUNT(N346,Q346,T346)</f>
        <v/>
      </c>
      <c r="Z346" s="6">
        <f>IF(OR(K346="",NOT(ISNUMBER(K346))),"",K346*SUM(N346,Q346,T346))</f>
        <v/>
      </c>
      <c r="AA346" s="6">
        <f>IF(OR(Y346=0,N346=""),"",N346/Y346)</f>
        <v/>
      </c>
      <c r="AB346" s="6">
        <f>IF(OR(Y346=0,Q346=""),"",Q346/Y346)</f>
        <v/>
      </c>
      <c r="AC346" s="6">
        <f>IF(OR(Y346=0,T346=""),"",T346/Y346)</f>
        <v/>
      </c>
      <c r="AD346" s="6">
        <f>IF(F346="","",IF((IF(AND(Y346=0,NOT(SUMPRODUCT(--ISNUMBER(SEARCH({"棚板","棚","アングル","ｱﾝｸﾞﾙ","使用不可","ケーブル","ｹｰﾌﾞﾙ","PatchPnael","パッチ","引き出し","引出","ブランク","ﾌﾞﾗﾝｸ","マネージ","ﾏﾈｰｼﾞ","PDU","ONU"},$F346&amp;"")))&gt;0),NOT(SUMPRODUCT(--ISNUMBER(SEARCH({"電源オフ","未投入","停止","未使用","撤去"},$X346&amp;"")))&gt;0)),"／電力が未記入","")&amp;IF(AND(NOT(ISNUMBER(J346)),NOT(SUMPRODUCT(--ISNUMBER(SEARCH({"棚板","棚","アングル","ｱﾝｸﾞﾙ","使用不可","ケーブル","ｹｰﾌﾞﾙ","PatchPnael","パッチ","引き出し","引出","ブランク","ﾌﾞﾗﾝｸ","マネージ","ﾏﾈｰｼﾞ","PDU","ONU"},$F346&amp;"")))&gt;0)),"／重量が未記入","")&amp;IF(AND(K346&lt;&gt;"",NOT(ISNUMBER(K346))),"／電圧が数値でない","")&amp;IF(AND(N346&lt;&gt;"",NOT(ISNUMBER(N346))),"／電流が数値でない","")&amp;IF(AND(C346&lt;&gt;"",C346&lt;1),"／開始Uが1未満","")&amp;IF(AND(E346&lt;&gt;"",E346&gt;IFERROR(VLOOKUP(A346,ラック定義!$A:$B,2,FALSE),47)),"／総Uをはみ出す","")&amp;IF(AND(A346&lt;&gt;"",COUNTIF(ラック定義!$A:$A,A346)=0),"／ラックが定義にない","")&amp;IF(AND(SUMPRODUCT((機器台帳!$A$2:$A$400=$A346)*((機器台帳!$B$2:$B$400=$B346)+(機器台帳!$B$2:$B$400="両面")+($B346="両面")&gt;0)*(機器台帳!$C$2:$C$400&lt;=$C346+$D346-1)*(機器台帳!$C$2:$C$400+機器台帳!$D$2:$D$400-1&gt;=$C346)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346&amp;"")))&gt;0)),"／同じUに他の機器(横並びなら正常)","")&amp;IF(AND(M346&lt;&gt;"",COUNTIFS(回路定義!$A:$A,A346,回路定義!$B:$B,M346)=0),"／回路1が定義にない","")&amp;IF(AND(P346&lt;&gt;"",COUNTIFS(回路定義!$A:$A,A346,回路定義!$B:$B,P346)=0),"／回路2が定義にない","")&amp;IF(AND(S346&lt;&gt;"",COUNTIFS(回路定義!$A:$A,A346,回路定義!$B:$B,S346)=0),"／回路3が定義にない",""))="","",MID(IF(AND(Y346=0,NOT(SUMPRODUCT(--ISNUMBER(SEARCH({"棚板","棚","アングル","ｱﾝｸﾞﾙ","使用不可","ケーブル","ｹｰﾌﾞﾙ","PatchPnael","パッチ","引き出し","引出","ブランク","ﾌﾞﾗﾝｸ","マネージ","ﾏﾈｰｼﾞ","PDU","ONU"},$F346&amp;"")))&gt;0),NOT(SUMPRODUCT(--ISNUMBER(SEARCH({"電源オフ","未投入","停止","未使用","撤去"},$X346&amp;"")))&gt;0)),"／電力が未記入","")&amp;IF(AND(NOT(ISNUMBER(J346)),NOT(SUMPRODUCT(--ISNUMBER(SEARCH({"棚板","棚","アングル","ｱﾝｸﾞﾙ","使用不可","ケーブル","ｹｰﾌﾞﾙ","PatchPnael","パッチ","引き出し","引出","ブランク","ﾌﾞﾗﾝｸ","マネージ","ﾏﾈｰｼﾞ","PDU","ONU"},$F346&amp;"")))&gt;0)),"／重量が未記入","")&amp;IF(AND(K346&lt;&gt;"",NOT(ISNUMBER(K346))),"／電圧が数値でない","")&amp;IF(AND(N346&lt;&gt;"",NOT(ISNUMBER(N346))),"／電流が数値でない","")&amp;IF(AND(C346&lt;&gt;"",C346&lt;1),"／開始Uが1未満","")&amp;IF(AND(E346&lt;&gt;"",E346&gt;IFERROR(VLOOKUP(A346,ラック定義!$A:$B,2,FALSE),47)),"／総Uをはみ出す","")&amp;IF(AND(A346&lt;&gt;"",COUNTIF(ラック定義!$A:$A,A346)=0),"／ラックが定義にない","")&amp;IF(AND(SUMPRODUCT((機器台帳!$A$2:$A$400=$A346)*((機器台帳!$B$2:$B$400=$B346)+(機器台帳!$B$2:$B$400="両面")+($B346="両面")&gt;0)*(機器台帳!$C$2:$C$400&lt;=$C346+$D346-1)*(機器台帳!$C$2:$C$400+機器台帳!$D$2:$D$400-1&gt;=$C346)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346&amp;"")))&gt;0)),"／同じUに他の機器(横並びなら正常)","")&amp;IF(AND(M346&lt;&gt;"",COUNTIFS(回路定義!$A:$A,A346,回路定義!$B:$B,M346)=0),"／回路1が定義にない","")&amp;IF(AND(P346&lt;&gt;"",COUNTIFS(回路定義!$A:$A,A346,回路定義!$B:$B,P346)=0),"／回路2が定義にない","")&amp;IF(AND(S346&lt;&gt;"",COUNTIFS(回路定義!$A:$A,A346,回路定義!$B:$B,S346)=0),"／回路3が定義にない",""),2,300)))</f>
        <v/>
      </c>
    </row>
    <row r="347">
      <c r="A347" s="5" t="n"/>
      <c r="B347" s="5" t="n"/>
      <c r="C347" s="5" t="n"/>
      <c r="D347" s="5" t="n"/>
      <c r="E347" s="6">
        <f>IF(C347="","",C347+D347-1)</f>
        <v/>
      </c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6">
        <f>COUNT(N347,Q347,T347)</f>
        <v/>
      </c>
      <c r="Z347" s="6">
        <f>IF(OR(K347="",NOT(ISNUMBER(K347))),"",K347*SUM(N347,Q347,T347))</f>
        <v/>
      </c>
      <c r="AA347" s="6">
        <f>IF(OR(Y347=0,N347=""),"",N347/Y347)</f>
        <v/>
      </c>
      <c r="AB347" s="6">
        <f>IF(OR(Y347=0,Q347=""),"",Q347/Y347)</f>
        <v/>
      </c>
      <c r="AC347" s="6">
        <f>IF(OR(Y347=0,T347=""),"",T347/Y347)</f>
        <v/>
      </c>
      <c r="AD347" s="6">
        <f>IF(F347="","",IF((IF(AND(Y347=0,NOT(SUMPRODUCT(--ISNUMBER(SEARCH({"棚板","棚","アングル","ｱﾝｸﾞﾙ","使用不可","ケーブル","ｹｰﾌﾞﾙ","PatchPnael","パッチ","引き出し","引出","ブランク","ﾌﾞﾗﾝｸ","マネージ","ﾏﾈｰｼﾞ","PDU","ONU"},$F347&amp;"")))&gt;0),NOT(SUMPRODUCT(--ISNUMBER(SEARCH({"電源オフ","未投入","停止","未使用","撤去"},$X347&amp;"")))&gt;0)),"／電力が未記入","")&amp;IF(AND(NOT(ISNUMBER(J347)),NOT(SUMPRODUCT(--ISNUMBER(SEARCH({"棚板","棚","アングル","ｱﾝｸﾞﾙ","使用不可","ケーブル","ｹｰﾌﾞﾙ","PatchPnael","パッチ","引き出し","引出","ブランク","ﾌﾞﾗﾝｸ","マネージ","ﾏﾈｰｼﾞ","PDU","ONU"},$F347&amp;"")))&gt;0)),"／重量が未記入","")&amp;IF(AND(K347&lt;&gt;"",NOT(ISNUMBER(K347))),"／電圧が数値でない","")&amp;IF(AND(N347&lt;&gt;"",NOT(ISNUMBER(N347))),"／電流が数値でない","")&amp;IF(AND(C347&lt;&gt;"",C347&lt;1),"／開始Uが1未満","")&amp;IF(AND(E347&lt;&gt;"",E347&gt;IFERROR(VLOOKUP(A347,ラック定義!$A:$B,2,FALSE),47)),"／総Uをはみ出す","")&amp;IF(AND(A347&lt;&gt;"",COUNTIF(ラック定義!$A:$A,A347)=0),"／ラックが定義にない","")&amp;IF(AND(SUMPRODUCT((機器台帳!$A$2:$A$400=$A347)*((機器台帳!$B$2:$B$400=$B347)+(機器台帳!$B$2:$B$400="両面")+($B347="両面")&gt;0)*(機器台帳!$C$2:$C$400&lt;=$C347+$D347-1)*(機器台帳!$C$2:$C$400+機器台帳!$D$2:$D$400-1&gt;=$C347)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347&amp;"")))&gt;0)),"／同じUに他の機器(横並びなら正常)","")&amp;IF(AND(M347&lt;&gt;"",COUNTIFS(回路定義!$A:$A,A347,回路定義!$B:$B,M347)=0),"／回路1が定義にない","")&amp;IF(AND(P347&lt;&gt;"",COUNTIFS(回路定義!$A:$A,A347,回路定義!$B:$B,P347)=0),"／回路2が定義にない","")&amp;IF(AND(S347&lt;&gt;"",COUNTIFS(回路定義!$A:$A,A347,回路定義!$B:$B,S347)=0),"／回路3が定義にない",""))="","",MID(IF(AND(Y347=0,NOT(SUMPRODUCT(--ISNUMBER(SEARCH({"棚板","棚","アングル","ｱﾝｸﾞﾙ","使用不可","ケーブル","ｹｰﾌﾞﾙ","PatchPnael","パッチ","引き出し","引出","ブランク","ﾌﾞﾗﾝｸ","マネージ","ﾏﾈｰｼﾞ","PDU","ONU"},$F347&amp;"")))&gt;0),NOT(SUMPRODUCT(--ISNUMBER(SEARCH({"電源オフ","未投入","停止","未使用","撤去"},$X347&amp;"")))&gt;0)),"／電力が未記入","")&amp;IF(AND(NOT(ISNUMBER(J347)),NOT(SUMPRODUCT(--ISNUMBER(SEARCH({"棚板","棚","アングル","ｱﾝｸﾞﾙ","使用不可","ケーブル","ｹｰﾌﾞﾙ","PatchPnael","パッチ","引き出し","引出","ブランク","ﾌﾞﾗﾝｸ","マネージ","ﾏﾈｰｼﾞ","PDU","ONU"},$F347&amp;"")))&gt;0)),"／重量が未記入","")&amp;IF(AND(K347&lt;&gt;"",NOT(ISNUMBER(K347))),"／電圧が数値でない","")&amp;IF(AND(N347&lt;&gt;"",NOT(ISNUMBER(N347))),"／電流が数値でない","")&amp;IF(AND(C347&lt;&gt;"",C347&lt;1),"／開始Uが1未満","")&amp;IF(AND(E347&lt;&gt;"",E347&gt;IFERROR(VLOOKUP(A347,ラック定義!$A:$B,2,FALSE),47)),"／総Uをはみ出す","")&amp;IF(AND(A347&lt;&gt;"",COUNTIF(ラック定義!$A:$A,A347)=0),"／ラックが定義にない","")&amp;IF(AND(SUMPRODUCT((機器台帳!$A$2:$A$400=$A347)*((機器台帳!$B$2:$B$400=$B347)+(機器台帳!$B$2:$B$400="両面")+($B347="両面")&gt;0)*(機器台帳!$C$2:$C$400&lt;=$C347+$D347-1)*(機器台帳!$C$2:$C$400+機器台帳!$D$2:$D$400-1&gt;=$C347)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347&amp;"")))&gt;0)),"／同じUに他の機器(横並びなら正常)","")&amp;IF(AND(M347&lt;&gt;"",COUNTIFS(回路定義!$A:$A,A347,回路定義!$B:$B,M347)=0),"／回路1が定義にない","")&amp;IF(AND(P347&lt;&gt;"",COUNTIFS(回路定義!$A:$A,A347,回路定義!$B:$B,P347)=0),"／回路2が定義にない","")&amp;IF(AND(S347&lt;&gt;"",COUNTIFS(回路定義!$A:$A,A347,回路定義!$B:$B,S347)=0),"／回路3が定義にない",""),2,300)))</f>
        <v/>
      </c>
    </row>
    <row r="348">
      <c r="A348" s="5" t="n"/>
      <c r="B348" s="5" t="n"/>
      <c r="C348" s="5" t="n"/>
      <c r="D348" s="5" t="n"/>
      <c r="E348" s="6">
        <f>IF(C348="","",C348+D348-1)</f>
        <v/>
      </c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6">
        <f>COUNT(N348,Q348,T348)</f>
        <v/>
      </c>
      <c r="Z348" s="6">
        <f>IF(OR(K348="",NOT(ISNUMBER(K348))),"",K348*SUM(N348,Q348,T348))</f>
        <v/>
      </c>
      <c r="AA348" s="6">
        <f>IF(OR(Y348=0,N348=""),"",N348/Y348)</f>
        <v/>
      </c>
      <c r="AB348" s="6">
        <f>IF(OR(Y348=0,Q348=""),"",Q348/Y348)</f>
        <v/>
      </c>
      <c r="AC348" s="6">
        <f>IF(OR(Y348=0,T348=""),"",T348/Y348)</f>
        <v/>
      </c>
      <c r="AD348" s="6">
        <f>IF(F348="","",IF((IF(AND(Y348=0,NOT(SUMPRODUCT(--ISNUMBER(SEARCH({"棚板","棚","アングル","ｱﾝｸﾞﾙ","使用不可","ケーブル","ｹｰﾌﾞﾙ","PatchPnael","パッチ","引き出し","引出","ブランク","ﾌﾞﾗﾝｸ","マネージ","ﾏﾈｰｼﾞ","PDU","ONU"},$F348&amp;"")))&gt;0),NOT(SUMPRODUCT(--ISNUMBER(SEARCH({"電源オフ","未投入","停止","未使用","撤去"},$X348&amp;"")))&gt;0)),"／電力が未記入","")&amp;IF(AND(NOT(ISNUMBER(J348)),NOT(SUMPRODUCT(--ISNUMBER(SEARCH({"棚板","棚","アングル","ｱﾝｸﾞﾙ","使用不可","ケーブル","ｹｰﾌﾞﾙ","PatchPnael","パッチ","引き出し","引出","ブランク","ﾌﾞﾗﾝｸ","マネージ","ﾏﾈｰｼﾞ","PDU","ONU"},$F348&amp;"")))&gt;0)),"／重量が未記入","")&amp;IF(AND(K348&lt;&gt;"",NOT(ISNUMBER(K348))),"／電圧が数値でない","")&amp;IF(AND(N348&lt;&gt;"",NOT(ISNUMBER(N348))),"／電流が数値でない","")&amp;IF(AND(C348&lt;&gt;"",C348&lt;1),"／開始Uが1未満","")&amp;IF(AND(E348&lt;&gt;"",E348&gt;IFERROR(VLOOKUP(A348,ラック定義!$A:$B,2,FALSE),47)),"／総Uをはみ出す","")&amp;IF(AND(A348&lt;&gt;"",COUNTIF(ラック定義!$A:$A,A348)=0),"／ラックが定義にない","")&amp;IF(AND(SUMPRODUCT((機器台帳!$A$2:$A$400=$A348)*((機器台帳!$B$2:$B$400=$B348)+(機器台帳!$B$2:$B$400="両面")+($B348="両面")&gt;0)*(機器台帳!$C$2:$C$400&lt;=$C348+$D348-1)*(機器台帳!$C$2:$C$400+機器台帳!$D$2:$D$400-1&gt;=$C348)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348&amp;"")))&gt;0)),"／同じUに他の機器(横並びなら正常)","")&amp;IF(AND(M348&lt;&gt;"",COUNTIFS(回路定義!$A:$A,A348,回路定義!$B:$B,M348)=0),"／回路1が定義にない","")&amp;IF(AND(P348&lt;&gt;"",COUNTIFS(回路定義!$A:$A,A348,回路定義!$B:$B,P348)=0),"／回路2が定義にない","")&amp;IF(AND(S348&lt;&gt;"",COUNTIFS(回路定義!$A:$A,A348,回路定義!$B:$B,S348)=0),"／回路3が定義にない",""))="","",MID(IF(AND(Y348=0,NOT(SUMPRODUCT(--ISNUMBER(SEARCH({"棚板","棚","アングル","ｱﾝｸﾞﾙ","使用不可","ケーブル","ｹｰﾌﾞﾙ","PatchPnael","パッチ","引き出し","引出","ブランク","ﾌﾞﾗﾝｸ","マネージ","ﾏﾈｰｼﾞ","PDU","ONU"},$F348&amp;"")))&gt;0),NOT(SUMPRODUCT(--ISNUMBER(SEARCH({"電源オフ","未投入","停止","未使用","撤去"},$X348&amp;"")))&gt;0)),"／電力が未記入","")&amp;IF(AND(NOT(ISNUMBER(J348)),NOT(SUMPRODUCT(--ISNUMBER(SEARCH({"棚板","棚","アングル","ｱﾝｸﾞﾙ","使用不可","ケーブル","ｹｰﾌﾞﾙ","PatchPnael","パッチ","引き出し","引出","ブランク","ﾌﾞﾗﾝｸ","マネージ","ﾏﾈｰｼﾞ","PDU","ONU"},$F348&amp;"")))&gt;0)),"／重量が未記入","")&amp;IF(AND(K348&lt;&gt;"",NOT(ISNUMBER(K348))),"／電圧が数値でない","")&amp;IF(AND(N348&lt;&gt;"",NOT(ISNUMBER(N348))),"／電流が数値でない","")&amp;IF(AND(C348&lt;&gt;"",C348&lt;1),"／開始Uが1未満","")&amp;IF(AND(E348&lt;&gt;"",E348&gt;IFERROR(VLOOKUP(A348,ラック定義!$A:$B,2,FALSE),47)),"／総Uをはみ出す","")&amp;IF(AND(A348&lt;&gt;"",COUNTIF(ラック定義!$A:$A,A348)=0),"／ラックが定義にない","")&amp;IF(AND(SUMPRODUCT((機器台帳!$A$2:$A$400=$A348)*((機器台帳!$B$2:$B$400=$B348)+(機器台帳!$B$2:$B$400="両面")+($B348="両面")&gt;0)*(機器台帳!$C$2:$C$400&lt;=$C348+$D348-1)*(機器台帳!$C$2:$C$400+機器台帳!$D$2:$D$400-1&gt;=$C348)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348&amp;"")))&gt;0)),"／同じUに他の機器(横並びなら正常)","")&amp;IF(AND(M348&lt;&gt;"",COUNTIFS(回路定義!$A:$A,A348,回路定義!$B:$B,M348)=0),"／回路1が定義にない","")&amp;IF(AND(P348&lt;&gt;"",COUNTIFS(回路定義!$A:$A,A348,回路定義!$B:$B,P348)=0),"／回路2が定義にない","")&amp;IF(AND(S348&lt;&gt;"",COUNTIFS(回路定義!$A:$A,A348,回路定義!$B:$B,S348)=0),"／回路3が定義にない",""),2,300)))</f>
        <v/>
      </c>
    </row>
    <row r="349">
      <c r="A349" s="5" t="n"/>
      <c r="B349" s="5" t="n"/>
      <c r="C349" s="5" t="n"/>
      <c r="D349" s="5" t="n"/>
      <c r="E349" s="6">
        <f>IF(C349="","",C349+D349-1)</f>
        <v/>
      </c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6">
        <f>COUNT(N349,Q349,T349)</f>
        <v/>
      </c>
      <c r="Z349" s="6">
        <f>IF(OR(K349="",NOT(ISNUMBER(K349))),"",K349*SUM(N349,Q349,T349))</f>
        <v/>
      </c>
      <c r="AA349" s="6">
        <f>IF(OR(Y349=0,N349=""),"",N349/Y349)</f>
        <v/>
      </c>
      <c r="AB349" s="6">
        <f>IF(OR(Y349=0,Q349=""),"",Q349/Y349)</f>
        <v/>
      </c>
      <c r="AC349" s="6">
        <f>IF(OR(Y349=0,T349=""),"",T349/Y349)</f>
        <v/>
      </c>
      <c r="AD349" s="6">
        <f>IF(F349="","",IF((IF(AND(Y349=0,NOT(SUMPRODUCT(--ISNUMBER(SEARCH({"棚板","棚","アングル","ｱﾝｸﾞﾙ","使用不可","ケーブル","ｹｰﾌﾞﾙ","PatchPnael","パッチ","引き出し","引出","ブランク","ﾌﾞﾗﾝｸ","マネージ","ﾏﾈｰｼﾞ","PDU","ONU"},$F349&amp;"")))&gt;0),NOT(SUMPRODUCT(--ISNUMBER(SEARCH({"電源オフ","未投入","停止","未使用","撤去"},$X349&amp;"")))&gt;0)),"／電力が未記入","")&amp;IF(AND(NOT(ISNUMBER(J349)),NOT(SUMPRODUCT(--ISNUMBER(SEARCH({"棚板","棚","アングル","ｱﾝｸﾞﾙ","使用不可","ケーブル","ｹｰﾌﾞﾙ","PatchPnael","パッチ","引き出し","引出","ブランク","ﾌﾞﾗﾝｸ","マネージ","ﾏﾈｰｼﾞ","PDU","ONU"},$F349&amp;"")))&gt;0)),"／重量が未記入","")&amp;IF(AND(K349&lt;&gt;"",NOT(ISNUMBER(K349))),"／電圧が数値でない","")&amp;IF(AND(N349&lt;&gt;"",NOT(ISNUMBER(N349))),"／電流が数値でない","")&amp;IF(AND(C349&lt;&gt;"",C349&lt;1),"／開始Uが1未満","")&amp;IF(AND(E349&lt;&gt;"",E349&gt;IFERROR(VLOOKUP(A349,ラック定義!$A:$B,2,FALSE),47)),"／総Uをはみ出す","")&amp;IF(AND(A349&lt;&gt;"",COUNTIF(ラック定義!$A:$A,A349)=0),"／ラックが定義にない","")&amp;IF(AND(SUMPRODUCT((機器台帳!$A$2:$A$400=$A349)*((機器台帳!$B$2:$B$400=$B349)+(機器台帳!$B$2:$B$400="両面")+($B349="両面")&gt;0)*(機器台帳!$C$2:$C$400&lt;=$C349+$D349-1)*(機器台帳!$C$2:$C$400+機器台帳!$D$2:$D$400-1&gt;=$C349)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349&amp;"")))&gt;0)),"／同じUに他の機器(横並びなら正常)","")&amp;IF(AND(M349&lt;&gt;"",COUNTIFS(回路定義!$A:$A,A349,回路定義!$B:$B,M349)=0),"／回路1が定義にない","")&amp;IF(AND(P349&lt;&gt;"",COUNTIFS(回路定義!$A:$A,A349,回路定義!$B:$B,P349)=0),"／回路2が定義にない","")&amp;IF(AND(S349&lt;&gt;"",COUNTIFS(回路定義!$A:$A,A349,回路定義!$B:$B,S349)=0),"／回路3が定義にない",""))="","",MID(IF(AND(Y349=0,NOT(SUMPRODUCT(--ISNUMBER(SEARCH({"棚板","棚","アングル","ｱﾝｸﾞﾙ","使用不可","ケーブル","ｹｰﾌﾞﾙ","PatchPnael","パッチ","引き出し","引出","ブランク","ﾌﾞﾗﾝｸ","マネージ","ﾏﾈｰｼﾞ","PDU","ONU"},$F349&amp;"")))&gt;0),NOT(SUMPRODUCT(--ISNUMBER(SEARCH({"電源オフ","未投入","停止","未使用","撤去"},$X349&amp;"")))&gt;0)),"／電力が未記入","")&amp;IF(AND(NOT(ISNUMBER(J349)),NOT(SUMPRODUCT(--ISNUMBER(SEARCH({"棚板","棚","アングル","ｱﾝｸﾞﾙ","使用不可","ケーブル","ｹｰﾌﾞﾙ","PatchPnael","パッチ","引き出し","引出","ブランク","ﾌﾞﾗﾝｸ","マネージ","ﾏﾈｰｼﾞ","PDU","ONU"},$F349&amp;"")))&gt;0)),"／重量が未記入","")&amp;IF(AND(K349&lt;&gt;"",NOT(ISNUMBER(K349))),"／電圧が数値でない","")&amp;IF(AND(N349&lt;&gt;"",NOT(ISNUMBER(N349))),"／電流が数値でない","")&amp;IF(AND(C349&lt;&gt;"",C349&lt;1),"／開始Uが1未満","")&amp;IF(AND(E349&lt;&gt;"",E349&gt;IFERROR(VLOOKUP(A349,ラック定義!$A:$B,2,FALSE),47)),"／総Uをはみ出す","")&amp;IF(AND(A349&lt;&gt;"",COUNTIF(ラック定義!$A:$A,A349)=0),"／ラックが定義にない","")&amp;IF(AND(SUMPRODUCT((機器台帳!$A$2:$A$400=$A349)*((機器台帳!$B$2:$B$400=$B349)+(機器台帳!$B$2:$B$400="両面")+($B349="両面")&gt;0)*(機器台帳!$C$2:$C$400&lt;=$C349+$D349-1)*(機器台帳!$C$2:$C$400+機器台帳!$D$2:$D$400-1&gt;=$C349)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349&amp;"")))&gt;0)),"／同じUに他の機器(横並びなら正常)","")&amp;IF(AND(M349&lt;&gt;"",COUNTIFS(回路定義!$A:$A,A349,回路定義!$B:$B,M349)=0),"／回路1が定義にない","")&amp;IF(AND(P349&lt;&gt;"",COUNTIFS(回路定義!$A:$A,A349,回路定義!$B:$B,P349)=0),"／回路2が定義にない","")&amp;IF(AND(S349&lt;&gt;"",COUNTIFS(回路定義!$A:$A,A349,回路定義!$B:$B,S349)=0),"／回路3が定義にない",""),2,300)))</f>
        <v/>
      </c>
    </row>
    <row r="350">
      <c r="A350" s="5" t="n"/>
      <c r="B350" s="5" t="n"/>
      <c r="C350" s="5" t="n"/>
      <c r="D350" s="5" t="n"/>
      <c r="E350" s="6">
        <f>IF(C350="","",C350+D350-1)</f>
        <v/>
      </c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6">
        <f>COUNT(N350,Q350,T350)</f>
        <v/>
      </c>
      <c r="Z350" s="6">
        <f>IF(OR(K350="",NOT(ISNUMBER(K350))),"",K350*SUM(N350,Q350,T350))</f>
        <v/>
      </c>
      <c r="AA350" s="6">
        <f>IF(OR(Y350=0,N350=""),"",N350/Y350)</f>
        <v/>
      </c>
      <c r="AB350" s="6">
        <f>IF(OR(Y350=0,Q350=""),"",Q350/Y350)</f>
        <v/>
      </c>
      <c r="AC350" s="6">
        <f>IF(OR(Y350=0,T350=""),"",T350/Y350)</f>
        <v/>
      </c>
      <c r="AD350" s="6">
        <f>IF(F350="","",IF((IF(AND(Y350=0,NOT(SUMPRODUCT(--ISNUMBER(SEARCH({"棚板","棚","アングル","ｱﾝｸﾞﾙ","使用不可","ケーブル","ｹｰﾌﾞﾙ","PatchPnael","パッチ","引き出し","引出","ブランク","ﾌﾞﾗﾝｸ","マネージ","ﾏﾈｰｼﾞ","PDU","ONU"},$F350&amp;"")))&gt;0),NOT(SUMPRODUCT(--ISNUMBER(SEARCH({"電源オフ","未投入","停止","未使用","撤去"},$X350&amp;"")))&gt;0)),"／電力が未記入","")&amp;IF(AND(NOT(ISNUMBER(J350)),NOT(SUMPRODUCT(--ISNUMBER(SEARCH({"棚板","棚","アングル","ｱﾝｸﾞﾙ","使用不可","ケーブル","ｹｰﾌﾞﾙ","PatchPnael","パッチ","引き出し","引出","ブランク","ﾌﾞﾗﾝｸ","マネージ","ﾏﾈｰｼﾞ","PDU","ONU"},$F350&amp;"")))&gt;0)),"／重量が未記入","")&amp;IF(AND(K350&lt;&gt;"",NOT(ISNUMBER(K350))),"／電圧が数値でない","")&amp;IF(AND(N350&lt;&gt;"",NOT(ISNUMBER(N350))),"／電流が数値でない","")&amp;IF(AND(C350&lt;&gt;"",C350&lt;1),"／開始Uが1未満","")&amp;IF(AND(E350&lt;&gt;"",E350&gt;IFERROR(VLOOKUP(A350,ラック定義!$A:$B,2,FALSE),47)),"／総Uをはみ出す","")&amp;IF(AND(A350&lt;&gt;"",COUNTIF(ラック定義!$A:$A,A350)=0),"／ラックが定義にない","")&amp;IF(AND(SUMPRODUCT((機器台帳!$A$2:$A$400=$A350)*((機器台帳!$B$2:$B$400=$B350)+(機器台帳!$B$2:$B$400="両面")+($B350="両面")&gt;0)*(機器台帳!$C$2:$C$400&lt;=$C350+$D350-1)*(機器台帳!$C$2:$C$400+機器台帳!$D$2:$D$400-1&gt;=$C350)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350&amp;"")))&gt;0)),"／同じUに他の機器(横並びなら正常)","")&amp;IF(AND(M350&lt;&gt;"",COUNTIFS(回路定義!$A:$A,A350,回路定義!$B:$B,M350)=0),"／回路1が定義にない","")&amp;IF(AND(P350&lt;&gt;"",COUNTIFS(回路定義!$A:$A,A350,回路定義!$B:$B,P350)=0),"／回路2が定義にない","")&amp;IF(AND(S350&lt;&gt;"",COUNTIFS(回路定義!$A:$A,A350,回路定義!$B:$B,S350)=0),"／回路3が定義にない",""))="","",MID(IF(AND(Y350=0,NOT(SUMPRODUCT(--ISNUMBER(SEARCH({"棚板","棚","アングル","ｱﾝｸﾞﾙ","使用不可","ケーブル","ｹｰﾌﾞﾙ","PatchPnael","パッチ","引き出し","引出","ブランク","ﾌﾞﾗﾝｸ","マネージ","ﾏﾈｰｼﾞ","PDU","ONU"},$F350&amp;"")))&gt;0),NOT(SUMPRODUCT(--ISNUMBER(SEARCH({"電源オフ","未投入","停止","未使用","撤去"},$X350&amp;"")))&gt;0)),"／電力が未記入","")&amp;IF(AND(NOT(ISNUMBER(J350)),NOT(SUMPRODUCT(--ISNUMBER(SEARCH({"棚板","棚","アングル","ｱﾝｸﾞﾙ","使用不可","ケーブル","ｹｰﾌﾞﾙ","PatchPnael","パッチ","引き出し","引出","ブランク","ﾌﾞﾗﾝｸ","マネージ","ﾏﾈｰｼﾞ","PDU","ONU"},$F350&amp;"")))&gt;0)),"／重量が未記入","")&amp;IF(AND(K350&lt;&gt;"",NOT(ISNUMBER(K350))),"／電圧が数値でない","")&amp;IF(AND(N350&lt;&gt;"",NOT(ISNUMBER(N350))),"／電流が数値でない","")&amp;IF(AND(C350&lt;&gt;"",C350&lt;1),"／開始Uが1未満","")&amp;IF(AND(E350&lt;&gt;"",E350&gt;IFERROR(VLOOKUP(A350,ラック定義!$A:$B,2,FALSE),47)),"／総Uをはみ出す","")&amp;IF(AND(A350&lt;&gt;"",COUNTIF(ラック定義!$A:$A,A350)=0),"／ラックが定義にない","")&amp;IF(AND(SUMPRODUCT((機器台帳!$A$2:$A$400=$A350)*((機器台帳!$B$2:$B$400=$B350)+(機器台帳!$B$2:$B$400="両面")+($B350="両面")&gt;0)*(機器台帳!$C$2:$C$400&lt;=$C350+$D350-1)*(機器台帳!$C$2:$C$400+機器台帳!$D$2:$D$400-1&gt;=$C350)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350&amp;"")))&gt;0)),"／同じUに他の機器(横並びなら正常)","")&amp;IF(AND(M350&lt;&gt;"",COUNTIFS(回路定義!$A:$A,A350,回路定義!$B:$B,M350)=0),"／回路1が定義にない","")&amp;IF(AND(P350&lt;&gt;"",COUNTIFS(回路定義!$A:$A,A350,回路定義!$B:$B,P350)=0),"／回路2が定義にない","")&amp;IF(AND(S350&lt;&gt;"",COUNTIFS(回路定義!$A:$A,A350,回路定義!$B:$B,S350)=0),"／回路3が定義にない",""),2,300)))</f>
        <v/>
      </c>
    </row>
    <row r="351">
      <c r="A351" s="5" t="n"/>
      <c r="B351" s="5" t="n"/>
      <c r="C351" s="5" t="n"/>
      <c r="D351" s="5" t="n"/>
      <c r="E351" s="6">
        <f>IF(C351="","",C351+D351-1)</f>
        <v/>
      </c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6">
        <f>COUNT(N351,Q351,T351)</f>
        <v/>
      </c>
      <c r="Z351" s="6">
        <f>IF(OR(K351="",NOT(ISNUMBER(K351))),"",K351*SUM(N351,Q351,T351))</f>
        <v/>
      </c>
      <c r="AA351" s="6">
        <f>IF(OR(Y351=0,N351=""),"",N351/Y351)</f>
        <v/>
      </c>
      <c r="AB351" s="6">
        <f>IF(OR(Y351=0,Q351=""),"",Q351/Y351)</f>
        <v/>
      </c>
      <c r="AC351" s="6">
        <f>IF(OR(Y351=0,T351=""),"",T351/Y351)</f>
        <v/>
      </c>
      <c r="AD351" s="6">
        <f>IF(F351="","",IF((IF(AND(Y351=0,NOT(SUMPRODUCT(--ISNUMBER(SEARCH({"棚板","棚","アングル","ｱﾝｸﾞﾙ","使用不可","ケーブル","ｹｰﾌﾞﾙ","PatchPnael","パッチ","引き出し","引出","ブランク","ﾌﾞﾗﾝｸ","マネージ","ﾏﾈｰｼﾞ","PDU","ONU"},$F351&amp;"")))&gt;0),NOT(SUMPRODUCT(--ISNUMBER(SEARCH({"電源オフ","未投入","停止","未使用","撤去"},$X351&amp;"")))&gt;0)),"／電力が未記入","")&amp;IF(AND(NOT(ISNUMBER(J351)),NOT(SUMPRODUCT(--ISNUMBER(SEARCH({"棚板","棚","アングル","ｱﾝｸﾞﾙ","使用不可","ケーブル","ｹｰﾌﾞﾙ","PatchPnael","パッチ","引き出し","引出","ブランク","ﾌﾞﾗﾝｸ","マネージ","ﾏﾈｰｼﾞ","PDU","ONU"},$F351&amp;"")))&gt;0)),"／重量が未記入","")&amp;IF(AND(K351&lt;&gt;"",NOT(ISNUMBER(K351))),"／電圧が数値でない","")&amp;IF(AND(N351&lt;&gt;"",NOT(ISNUMBER(N351))),"／電流が数値でない","")&amp;IF(AND(C351&lt;&gt;"",C351&lt;1),"／開始Uが1未満","")&amp;IF(AND(E351&lt;&gt;"",E351&gt;IFERROR(VLOOKUP(A351,ラック定義!$A:$B,2,FALSE),47)),"／総Uをはみ出す","")&amp;IF(AND(A351&lt;&gt;"",COUNTIF(ラック定義!$A:$A,A351)=0),"／ラックが定義にない","")&amp;IF(AND(SUMPRODUCT((機器台帳!$A$2:$A$400=$A351)*((機器台帳!$B$2:$B$400=$B351)+(機器台帳!$B$2:$B$400="両面")+($B351="両面")&gt;0)*(機器台帳!$C$2:$C$400&lt;=$C351+$D351-1)*(機器台帳!$C$2:$C$400+機器台帳!$D$2:$D$400-1&gt;=$C351)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351&amp;"")))&gt;0)),"／同じUに他の機器(横並びなら正常)","")&amp;IF(AND(M351&lt;&gt;"",COUNTIFS(回路定義!$A:$A,A351,回路定義!$B:$B,M351)=0),"／回路1が定義にない","")&amp;IF(AND(P351&lt;&gt;"",COUNTIFS(回路定義!$A:$A,A351,回路定義!$B:$B,P351)=0),"／回路2が定義にない","")&amp;IF(AND(S351&lt;&gt;"",COUNTIFS(回路定義!$A:$A,A351,回路定義!$B:$B,S351)=0),"／回路3が定義にない",""))="","",MID(IF(AND(Y351=0,NOT(SUMPRODUCT(--ISNUMBER(SEARCH({"棚板","棚","アングル","ｱﾝｸﾞﾙ","使用不可","ケーブル","ｹｰﾌﾞﾙ","PatchPnael","パッチ","引き出し","引出","ブランク","ﾌﾞﾗﾝｸ","マネージ","ﾏﾈｰｼﾞ","PDU","ONU"},$F351&amp;"")))&gt;0),NOT(SUMPRODUCT(--ISNUMBER(SEARCH({"電源オフ","未投入","停止","未使用","撤去"},$X351&amp;"")))&gt;0)),"／電力が未記入","")&amp;IF(AND(NOT(ISNUMBER(J351)),NOT(SUMPRODUCT(--ISNUMBER(SEARCH({"棚板","棚","アングル","ｱﾝｸﾞﾙ","使用不可","ケーブル","ｹｰﾌﾞﾙ","PatchPnael","パッチ","引き出し","引出","ブランク","ﾌﾞﾗﾝｸ","マネージ","ﾏﾈｰｼﾞ","PDU","ONU"},$F351&amp;"")))&gt;0)),"／重量が未記入","")&amp;IF(AND(K351&lt;&gt;"",NOT(ISNUMBER(K351))),"／電圧が数値でない","")&amp;IF(AND(N351&lt;&gt;"",NOT(ISNUMBER(N351))),"／電流が数値でない","")&amp;IF(AND(C351&lt;&gt;"",C351&lt;1),"／開始Uが1未満","")&amp;IF(AND(E351&lt;&gt;"",E351&gt;IFERROR(VLOOKUP(A351,ラック定義!$A:$B,2,FALSE),47)),"／総Uをはみ出す","")&amp;IF(AND(A351&lt;&gt;"",COUNTIF(ラック定義!$A:$A,A351)=0),"／ラックが定義にない","")&amp;IF(AND(SUMPRODUCT((機器台帳!$A$2:$A$400=$A351)*((機器台帳!$B$2:$B$400=$B351)+(機器台帳!$B$2:$B$400="両面")+($B351="両面")&gt;0)*(機器台帳!$C$2:$C$400&lt;=$C351+$D351-1)*(機器台帳!$C$2:$C$400+機器台帳!$D$2:$D$400-1&gt;=$C351)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351&amp;"")))&gt;0)),"／同じUに他の機器(横並びなら正常)","")&amp;IF(AND(M351&lt;&gt;"",COUNTIFS(回路定義!$A:$A,A351,回路定義!$B:$B,M351)=0),"／回路1が定義にない","")&amp;IF(AND(P351&lt;&gt;"",COUNTIFS(回路定義!$A:$A,A351,回路定義!$B:$B,P351)=0),"／回路2が定義にない","")&amp;IF(AND(S351&lt;&gt;"",COUNTIFS(回路定義!$A:$A,A351,回路定義!$B:$B,S351)=0),"／回路3が定義にない",""),2,300)))</f>
        <v/>
      </c>
    </row>
    <row r="352">
      <c r="A352" s="5" t="n"/>
      <c r="B352" s="5" t="n"/>
      <c r="C352" s="5" t="n"/>
      <c r="D352" s="5" t="n"/>
      <c r="E352" s="6">
        <f>IF(C352="","",C352+D352-1)</f>
        <v/>
      </c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6">
        <f>COUNT(N352,Q352,T352)</f>
        <v/>
      </c>
      <c r="Z352" s="6">
        <f>IF(OR(K352="",NOT(ISNUMBER(K352))),"",K352*SUM(N352,Q352,T352))</f>
        <v/>
      </c>
      <c r="AA352" s="6">
        <f>IF(OR(Y352=0,N352=""),"",N352/Y352)</f>
        <v/>
      </c>
      <c r="AB352" s="6">
        <f>IF(OR(Y352=0,Q352=""),"",Q352/Y352)</f>
        <v/>
      </c>
      <c r="AC352" s="6">
        <f>IF(OR(Y352=0,T352=""),"",T352/Y352)</f>
        <v/>
      </c>
      <c r="AD352" s="6">
        <f>IF(F352="","",IF((IF(AND(Y352=0,NOT(SUMPRODUCT(--ISNUMBER(SEARCH({"棚板","棚","アングル","ｱﾝｸﾞﾙ","使用不可","ケーブル","ｹｰﾌﾞﾙ","PatchPnael","パッチ","引き出し","引出","ブランク","ﾌﾞﾗﾝｸ","マネージ","ﾏﾈｰｼﾞ","PDU","ONU"},$F352&amp;"")))&gt;0),NOT(SUMPRODUCT(--ISNUMBER(SEARCH({"電源オフ","未投入","停止","未使用","撤去"},$X352&amp;"")))&gt;0)),"／電力が未記入","")&amp;IF(AND(NOT(ISNUMBER(J352)),NOT(SUMPRODUCT(--ISNUMBER(SEARCH({"棚板","棚","アングル","ｱﾝｸﾞﾙ","使用不可","ケーブル","ｹｰﾌﾞﾙ","PatchPnael","パッチ","引き出し","引出","ブランク","ﾌﾞﾗﾝｸ","マネージ","ﾏﾈｰｼﾞ","PDU","ONU"},$F352&amp;"")))&gt;0)),"／重量が未記入","")&amp;IF(AND(K352&lt;&gt;"",NOT(ISNUMBER(K352))),"／電圧が数値でない","")&amp;IF(AND(N352&lt;&gt;"",NOT(ISNUMBER(N352))),"／電流が数値でない","")&amp;IF(AND(C352&lt;&gt;"",C352&lt;1),"／開始Uが1未満","")&amp;IF(AND(E352&lt;&gt;"",E352&gt;IFERROR(VLOOKUP(A352,ラック定義!$A:$B,2,FALSE),47)),"／総Uをはみ出す","")&amp;IF(AND(A352&lt;&gt;"",COUNTIF(ラック定義!$A:$A,A352)=0),"／ラックが定義にない","")&amp;IF(AND(SUMPRODUCT((機器台帳!$A$2:$A$400=$A352)*((機器台帳!$B$2:$B$400=$B352)+(機器台帳!$B$2:$B$400="両面")+($B352="両面")&gt;0)*(機器台帳!$C$2:$C$400&lt;=$C352+$D352-1)*(機器台帳!$C$2:$C$400+機器台帳!$D$2:$D$400-1&gt;=$C352)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352&amp;"")))&gt;0)),"／同じUに他の機器(横並びなら正常)","")&amp;IF(AND(M352&lt;&gt;"",COUNTIFS(回路定義!$A:$A,A352,回路定義!$B:$B,M352)=0),"／回路1が定義にない","")&amp;IF(AND(P352&lt;&gt;"",COUNTIFS(回路定義!$A:$A,A352,回路定義!$B:$B,P352)=0),"／回路2が定義にない","")&amp;IF(AND(S352&lt;&gt;"",COUNTIFS(回路定義!$A:$A,A352,回路定義!$B:$B,S352)=0),"／回路3が定義にない",""))="","",MID(IF(AND(Y352=0,NOT(SUMPRODUCT(--ISNUMBER(SEARCH({"棚板","棚","アングル","ｱﾝｸﾞﾙ","使用不可","ケーブル","ｹｰﾌﾞﾙ","PatchPnael","パッチ","引き出し","引出","ブランク","ﾌﾞﾗﾝｸ","マネージ","ﾏﾈｰｼﾞ","PDU","ONU"},$F352&amp;"")))&gt;0),NOT(SUMPRODUCT(--ISNUMBER(SEARCH({"電源オフ","未投入","停止","未使用","撤去"},$X352&amp;"")))&gt;0)),"／電力が未記入","")&amp;IF(AND(NOT(ISNUMBER(J352)),NOT(SUMPRODUCT(--ISNUMBER(SEARCH({"棚板","棚","アングル","ｱﾝｸﾞﾙ","使用不可","ケーブル","ｹｰﾌﾞﾙ","PatchPnael","パッチ","引き出し","引出","ブランク","ﾌﾞﾗﾝｸ","マネージ","ﾏﾈｰｼﾞ","PDU","ONU"},$F352&amp;"")))&gt;0)),"／重量が未記入","")&amp;IF(AND(K352&lt;&gt;"",NOT(ISNUMBER(K352))),"／電圧が数値でない","")&amp;IF(AND(N352&lt;&gt;"",NOT(ISNUMBER(N352))),"／電流が数値でない","")&amp;IF(AND(C352&lt;&gt;"",C352&lt;1),"／開始Uが1未満","")&amp;IF(AND(E352&lt;&gt;"",E352&gt;IFERROR(VLOOKUP(A352,ラック定義!$A:$B,2,FALSE),47)),"／総Uをはみ出す","")&amp;IF(AND(A352&lt;&gt;"",COUNTIF(ラック定義!$A:$A,A352)=0),"／ラックが定義にない","")&amp;IF(AND(SUMPRODUCT((機器台帳!$A$2:$A$400=$A352)*((機器台帳!$B$2:$B$400=$B352)+(機器台帳!$B$2:$B$400="両面")+($B352="両面")&gt;0)*(機器台帳!$C$2:$C$400&lt;=$C352+$D352-1)*(機器台帳!$C$2:$C$400+機器台帳!$D$2:$D$400-1&gt;=$C352)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352&amp;"")))&gt;0)),"／同じUに他の機器(横並びなら正常)","")&amp;IF(AND(M352&lt;&gt;"",COUNTIFS(回路定義!$A:$A,A352,回路定義!$B:$B,M352)=0),"／回路1が定義にない","")&amp;IF(AND(P352&lt;&gt;"",COUNTIFS(回路定義!$A:$A,A352,回路定義!$B:$B,P352)=0),"／回路2が定義にない","")&amp;IF(AND(S352&lt;&gt;"",COUNTIFS(回路定義!$A:$A,A352,回路定義!$B:$B,S352)=0),"／回路3が定義にない",""),2,300)))</f>
        <v/>
      </c>
    </row>
    <row r="353">
      <c r="A353" s="5" t="n"/>
      <c r="B353" s="5" t="n"/>
      <c r="C353" s="5" t="n"/>
      <c r="D353" s="5" t="n"/>
      <c r="E353" s="6">
        <f>IF(C353="","",C353+D353-1)</f>
        <v/>
      </c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6">
        <f>COUNT(N353,Q353,T353)</f>
        <v/>
      </c>
      <c r="Z353" s="6">
        <f>IF(OR(K353="",NOT(ISNUMBER(K353))),"",K353*SUM(N353,Q353,T353))</f>
        <v/>
      </c>
      <c r="AA353" s="6">
        <f>IF(OR(Y353=0,N353=""),"",N353/Y353)</f>
        <v/>
      </c>
      <c r="AB353" s="6">
        <f>IF(OR(Y353=0,Q353=""),"",Q353/Y353)</f>
        <v/>
      </c>
      <c r="AC353" s="6">
        <f>IF(OR(Y353=0,T353=""),"",T353/Y353)</f>
        <v/>
      </c>
      <c r="AD353" s="6">
        <f>IF(F353="","",IF((IF(AND(Y353=0,NOT(SUMPRODUCT(--ISNUMBER(SEARCH({"棚板","棚","アングル","ｱﾝｸﾞﾙ","使用不可","ケーブル","ｹｰﾌﾞﾙ","PatchPnael","パッチ","引き出し","引出","ブランク","ﾌﾞﾗﾝｸ","マネージ","ﾏﾈｰｼﾞ","PDU","ONU"},$F353&amp;"")))&gt;0),NOT(SUMPRODUCT(--ISNUMBER(SEARCH({"電源オフ","未投入","停止","未使用","撤去"},$X353&amp;"")))&gt;0)),"／電力が未記入","")&amp;IF(AND(NOT(ISNUMBER(J353)),NOT(SUMPRODUCT(--ISNUMBER(SEARCH({"棚板","棚","アングル","ｱﾝｸﾞﾙ","使用不可","ケーブル","ｹｰﾌﾞﾙ","PatchPnael","パッチ","引き出し","引出","ブランク","ﾌﾞﾗﾝｸ","マネージ","ﾏﾈｰｼﾞ","PDU","ONU"},$F353&amp;"")))&gt;0)),"／重量が未記入","")&amp;IF(AND(K353&lt;&gt;"",NOT(ISNUMBER(K353))),"／電圧が数値でない","")&amp;IF(AND(N353&lt;&gt;"",NOT(ISNUMBER(N353))),"／電流が数値でない","")&amp;IF(AND(C353&lt;&gt;"",C353&lt;1),"／開始Uが1未満","")&amp;IF(AND(E353&lt;&gt;"",E353&gt;IFERROR(VLOOKUP(A353,ラック定義!$A:$B,2,FALSE),47)),"／総Uをはみ出す","")&amp;IF(AND(A353&lt;&gt;"",COUNTIF(ラック定義!$A:$A,A353)=0),"／ラックが定義にない","")&amp;IF(AND(SUMPRODUCT((機器台帳!$A$2:$A$400=$A353)*((機器台帳!$B$2:$B$400=$B353)+(機器台帳!$B$2:$B$400="両面")+($B353="両面")&gt;0)*(機器台帳!$C$2:$C$400&lt;=$C353+$D353-1)*(機器台帳!$C$2:$C$400+機器台帳!$D$2:$D$400-1&gt;=$C353)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353&amp;"")))&gt;0)),"／同じUに他の機器(横並びなら正常)","")&amp;IF(AND(M353&lt;&gt;"",COUNTIFS(回路定義!$A:$A,A353,回路定義!$B:$B,M353)=0),"／回路1が定義にない","")&amp;IF(AND(P353&lt;&gt;"",COUNTIFS(回路定義!$A:$A,A353,回路定義!$B:$B,P353)=0),"／回路2が定義にない","")&amp;IF(AND(S353&lt;&gt;"",COUNTIFS(回路定義!$A:$A,A353,回路定義!$B:$B,S353)=0),"／回路3が定義にない",""))="","",MID(IF(AND(Y353=0,NOT(SUMPRODUCT(--ISNUMBER(SEARCH({"棚板","棚","アングル","ｱﾝｸﾞﾙ","使用不可","ケーブル","ｹｰﾌﾞﾙ","PatchPnael","パッチ","引き出し","引出","ブランク","ﾌﾞﾗﾝｸ","マネージ","ﾏﾈｰｼﾞ","PDU","ONU"},$F353&amp;"")))&gt;0),NOT(SUMPRODUCT(--ISNUMBER(SEARCH({"電源オフ","未投入","停止","未使用","撤去"},$X353&amp;"")))&gt;0)),"／電力が未記入","")&amp;IF(AND(NOT(ISNUMBER(J353)),NOT(SUMPRODUCT(--ISNUMBER(SEARCH({"棚板","棚","アングル","ｱﾝｸﾞﾙ","使用不可","ケーブル","ｹｰﾌﾞﾙ","PatchPnael","パッチ","引き出し","引出","ブランク","ﾌﾞﾗﾝｸ","マネージ","ﾏﾈｰｼﾞ","PDU","ONU"},$F353&amp;"")))&gt;0)),"／重量が未記入","")&amp;IF(AND(K353&lt;&gt;"",NOT(ISNUMBER(K353))),"／電圧が数値でない","")&amp;IF(AND(N353&lt;&gt;"",NOT(ISNUMBER(N353))),"／電流が数値でない","")&amp;IF(AND(C353&lt;&gt;"",C353&lt;1),"／開始Uが1未満","")&amp;IF(AND(E353&lt;&gt;"",E353&gt;IFERROR(VLOOKUP(A353,ラック定義!$A:$B,2,FALSE),47)),"／総Uをはみ出す","")&amp;IF(AND(A353&lt;&gt;"",COUNTIF(ラック定義!$A:$A,A353)=0),"／ラックが定義にない","")&amp;IF(AND(SUMPRODUCT((機器台帳!$A$2:$A$400=$A353)*((機器台帳!$B$2:$B$400=$B353)+(機器台帳!$B$2:$B$400="両面")+($B353="両面")&gt;0)*(機器台帳!$C$2:$C$400&lt;=$C353+$D353-1)*(機器台帳!$C$2:$C$400+機器台帳!$D$2:$D$400-1&gt;=$C353)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353&amp;"")))&gt;0)),"／同じUに他の機器(横並びなら正常)","")&amp;IF(AND(M353&lt;&gt;"",COUNTIFS(回路定義!$A:$A,A353,回路定義!$B:$B,M353)=0),"／回路1が定義にない","")&amp;IF(AND(P353&lt;&gt;"",COUNTIFS(回路定義!$A:$A,A353,回路定義!$B:$B,P353)=0),"／回路2が定義にない","")&amp;IF(AND(S353&lt;&gt;"",COUNTIFS(回路定義!$A:$A,A353,回路定義!$B:$B,S353)=0),"／回路3が定義にない",""),2,300)))</f>
        <v/>
      </c>
    </row>
    <row r="354">
      <c r="A354" s="5" t="n"/>
      <c r="B354" s="5" t="n"/>
      <c r="C354" s="5" t="n"/>
      <c r="D354" s="5" t="n"/>
      <c r="E354" s="6">
        <f>IF(C354="","",C354+D354-1)</f>
        <v/>
      </c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6">
        <f>COUNT(N354,Q354,T354)</f>
        <v/>
      </c>
      <c r="Z354" s="6">
        <f>IF(OR(K354="",NOT(ISNUMBER(K354))),"",K354*SUM(N354,Q354,T354))</f>
        <v/>
      </c>
      <c r="AA354" s="6">
        <f>IF(OR(Y354=0,N354=""),"",N354/Y354)</f>
        <v/>
      </c>
      <c r="AB354" s="6">
        <f>IF(OR(Y354=0,Q354=""),"",Q354/Y354)</f>
        <v/>
      </c>
      <c r="AC354" s="6">
        <f>IF(OR(Y354=0,T354=""),"",T354/Y354)</f>
        <v/>
      </c>
      <c r="AD354" s="6">
        <f>IF(F354="","",IF((IF(AND(Y354=0,NOT(SUMPRODUCT(--ISNUMBER(SEARCH({"棚板","棚","アングル","ｱﾝｸﾞﾙ","使用不可","ケーブル","ｹｰﾌﾞﾙ","PatchPnael","パッチ","引き出し","引出","ブランク","ﾌﾞﾗﾝｸ","マネージ","ﾏﾈｰｼﾞ","PDU","ONU"},$F354&amp;"")))&gt;0),NOT(SUMPRODUCT(--ISNUMBER(SEARCH({"電源オフ","未投入","停止","未使用","撤去"},$X354&amp;"")))&gt;0)),"／電力が未記入","")&amp;IF(AND(NOT(ISNUMBER(J354)),NOT(SUMPRODUCT(--ISNUMBER(SEARCH({"棚板","棚","アングル","ｱﾝｸﾞﾙ","使用不可","ケーブル","ｹｰﾌﾞﾙ","PatchPnael","パッチ","引き出し","引出","ブランク","ﾌﾞﾗﾝｸ","マネージ","ﾏﾈｰｼﾞ","PDU","ONU"},$F354&amp;"")))&gt;0)),"／重量が未記入","")&amp;IF(AND(K354&lt;&gt;"",NOT(ISNUMBER(K354))),"／電圧が数値でない","")&amp;IF(AND(N354&lt;&gt;"",NOT(ISNUMBER(N354))),"／電流が数値でない","")&amp;IF(AND(C354&lt;&gt;"",C354&lt;1),"／開始Uが1未満","")&amp;IF(AND(E354&lt;&gt;"",E354&gt;IFERROR(VLOOKUP(A354,ラック定義!$A:$B,2,FALSE),47)),"／総Uをはみ出す","")&amp;IF(AND(A354&lt;&gt;"",COUNTIF(ラック定義!$A:$A,A354)=0),"／ラックが定義にない","")&amp;IF(AND(SUMPRODUCT((機器台帳!$A$2:$A$400=$A354)*((機器台帳!$B$2:$B$400=$B354)+(機器台帳!$B$2:$B$400="両面")+($B354="両面")&gt;0)*(機器台帳!$C$2:$C$400&lt;=$C354+$D354-1)*(機器台帳!$C$2:$C$400+機器台帳!$D$2:$D$400-1&gt;=$C354)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354&amp;"")))&gt;0)),"／同じUに他の機器(横並びなら正常)","")&amp;IF(AND(M354&lt;&gt;"",COUNTIFS(回路定義!$A:$A,A354,回路定義!$B:$B,M354)=0),"／回路1が定義にない","")&amp;IF(AND(P354&lt;&gt;"",COUNTIFS(回路定義!$A:$A,A354,回路定義!$B:$B,P354)=0),"／回路2が定義にない","")&amp;IF(AND(S354&lt;&gt;"",COUNTIFS(回路定義!$A:$A,A354,回路定義!$B:$B,S354)=0),"／回路3が定義にない",""))="","",MID(IF(AND(Y354=0,NOT(SUMPRODUCT(--ISNUMBER(SEARCH({"棚板","棚","アングル","ｱﾝｸﾞﾙ","使用不可","ケーブル","ｹｰﾌﾞﾙ","PatchPnael","パッチ","引き出し","引出","ブランク","ﾌﾞﾗﾝｸ","マネージ","ﾏﾈｰｼﾞ","PDU","ONU"},$F354&amp;"")))&gt;0),NOT(SUMPRODUCT(--ISNUMBER(SEARCH({"電源オフ","未投入","停止","未使用","撤去"},$X354&amp;"")))&gt;0)),"／電力が未記入","")&amp;IF(AND(NOT(ISNUMBER(J354)),NOT(SUMPRODUCT(--ISNUMBER(SEARCH({"棚板","棚","アングル","ｱﾝｸﾞﾙ","使用不可","ケーブル","ｹｰﾌﾞﾙ","PatchPnael","パッチ","引き出し","引出","ブランク","ﾌﾞﾗﾝｸ","マネージ","ﾏﾈｰｼﾞ","PDU","ONU"},$F354&amp;"")))&gt;0)),"／重量が未記入","")&amp;IF(AND(K354&lt;&gt;"",NOT(ISNUMBER(K354))),"／電圧が数値でない","")&amp;IF(AND(N354&lt;&gt;"",NOT(ISNUMBER(N354))),"／電流が数値でない","")&amp;IF(AND(C354&lt;&gt;"",C354&lt;1),"／開始Uが1未満","")&amp;IF(AND(E354&lt;&gt;"",E354&gt;IFERROR(VLOOKUP(A354,ラック定義!$A:$B,2,FALSE),47)),"／総Uをはみ出す","")&amp;IF(AND(A354&lt;&gt;"",COUNTIF(ラック定義!$A:$A,A354)=0),"／ラックが定義にない","")&amp;IF(AND(SUMPRODUCT((機器台帳!$A$2:$A$400=$A354)*((機器台帳!$B$2:$B$400=$B354)+(機器台帳!$B$2:$B$400="両面")+($B354="両面")&gt;0)*(機器台帳!$C$2:$C$400&lt;=$C354+$D354-1)*(機器台帳!$C$2:$C$400+機器台帳!$D$2:$D$400-1&gt;=$C354)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354&amp;"")))&gt;0)),"／同じUに他の機器(横並びなら正常)","")&amp;IF(AND(M354&lt;&gt;"",COUNTIFS(回路定義!$A:$A,A354,回路定義!$B:$B,M354)=0),"／回路1が定義にない","")&amp;IF(AND(P354&lt;&gt;"",COUNTIFS(回路定義!$A:$A,A354,回路定義!$B:$B,P354)=0),"／回路2が定義にない","")&amp;IF(AND(S354&lt;&gt;"",COUNTIFS(回路定義!$A:$A,A354,回路定義!$B:$B,S354)=0),"／回路3が定義にない",""),2,300)))</f>
        <v/>
      </c>
    </row>
    <row r="355">
      <c r="A355" s="5" t="n"/>
      <c r="B355" s="5" t="n"/>
      <c r="C355" s="5" t="n"/>
      <c r="D355" s="5" t="n"/>
      <c r="E355" s="6">
        <f>IF(C355="","",C355+D355-1)</f>
        <v/>
      </c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6">
        <f>COUNT(N355,Q355,T355)</f>
        <v/>
      </c>
      <c r="Z355" s="6">
        <f>IF(OR(K355="",NOT(ISNUMBER(K355))),"",K355*SUM(N355,Q355,T355))</f>
        <v/>
      </c>
      <c r="AA355" s="6">
        <f>IF(OR(Y355=0,N355=""),"",N355/Y355)</f>
        <v/>
      </c>
      <c r="AB355" s="6">
        <f>IF(OR(Y355=0,Q355=""),"",Q355/Y355)</f>
        <v/>
      </c>
      <c r="AC355" s="6">
        <f>IF(OR(Y355=0,T355=""),"",T355/Y355)</f>
        <v/>
      </c>
      <c r="AD355" s="6">
        <f>IF(F355="","",IF((IF(AND(Y355=0,NOT(SUMPRODUCT(--ISNUMBER(SEARCH({"棚板","棚","アングル","ｱﾝｸﾞﾙ","使用不可","ケーブル","ｹｰﾌﾞﾙ","PatchPnael","パッチ","引き出し","引出","ブランク","ﾌﾞﾗﾝｸ","マネージ","ﾏﾈｰｼﾞ","PDU","ONU"},$F355&amp;"")))&gt;0),NOT(SUMPRODUCT(--ISNUMBER(SEARCH({"電源オフ","未投入","停止","未使用","撤去"},$X355&amp;"")))&gt;0)),"／電力が未記入","")&amp;IF(AND(NOT(ISNUMBER(J355)),NOT(SUMPRODUCT(--ISNUMBER(SEARCH({"棚板","棚","アングル","ｱﾝｸﾞﾙ","使用不可","ケーブル","ｹｰﾌﾞﾙ","PatchPnael","パッチ","引き出し","引出","ブランク","ﾌﾞﾗﾝｸ","マネージ","ﾏﾈｰｼﾞ","PDU","ONU"},$F355&amp;"")))&gt;0)),"／重量が未記入","")&amp;IF(AND(K355&lt;&gt;"",NOT(ISNUMBER(K355))),"／電圧が数値でない","")&amp;IF(AND(N355&lt;&gt;"",NOT(ISNUMBER(N355))),"／電流が数値でない","")&amp;IF(AND(C355&lt;&gt;"",C355&lt;1),"／開始Uが1未満","")&amp;IF(AND(E355&lt;&gt;"",E355&gt;IFERROR(VLOOKUP(A355,ラック定義!$A:$B,2,FALSE),47)),"／総Uをはみ出す","")&amp;IF(AND(A355&lt;&gt;"",COUNTIF(ラック定義!$A:$A,A355)=0),"／ラックが定義にない","")&amp;IF(AND(SUMPRODUCT((機器台帳!$A$2:$A$400=$A355)*((機器台帳!$B$2:$B$400=$B355)+(機器台帳!$B$2:$B$400="両面")+($B355="両面")&gt;0)*(機器台帳!$C$2:$C$400&lt;=$C355+$D355-1)*(機器台帳!$C$2:$C$400+機器台帳!$D$2:$D$400-1&gt;=$C355)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355&amp;"")))&gt;0)),"／同じUに他の機器(横並びなら正常)","")&amp;IF(AND(M355&lt;&gt;"",COUNTIFS(回路定義!$A:$A,A355,回路定義!$B:$B,M355)=0),"／回路1が定義にない","")&amp;IF(AND(P355&lt;&gt;"",COUNTIFS(回路定義!$A:$A,A355,回路定義!$B:$B,P355)=0),"／回路2が定義にない","")&amp;IF(AND(S355&lt;&gt;"",COUNTIFS(回路定義!$A:$A,A355,回路定義!$B:$B,S355)=0),"／回路3が定義にない",""))="","",MID(IF(AND(Y355=0,NOT(SUMPRODUCT(--ISNUMBER(SEARCH({"棚板","棚","アングル","ｱﾝｸﾞﾙ","使用不可","ケーブル","ｹｰﾌﾞﾙ","PatchPnael","パッチ","引き出し","引出","ブランク","ﾌﾞﾗﾝｸ","マネージ","ﾏﾈｰｼﾞ","PDU","ONU"},$F355&amp;"")))&gt;0),NOT(SUMPRODUCT(--ISNUMBER(SEARCH({"電源オフ","未投入","停止","未使用","撤去"},$X355&amp;"")))&gt;0)),"／電力が未記入","")&amp;IF(AND(NOT(ISNUMBER(J355)),NOT(SUMPRODUCT(--ISNUMBER(SEARCH({"棚板","棚","アングル","ｱﾝｸﾞﾙ","使用不可","ケーブル","ｹｰﾌﾞﾙ","PatchPnael","パッチ","引き出し","引出","ブランク","ﾌﾞﾗﾝｸ","マネージ","ﾏﾈｰｼﾞ","PDU","ONU"},$F355&amp;"")))&gt;0)),"／重量が未記入","")&amp;IF(AND(K355&lt;&gt;"",NOT(ISNUMBER(K355))),"／電圧が数値でない","")&amp;IF(AND(N355&lt;&gt;"",NOT(ISNUMBER(N355))),"／電流が数値でない","")&amp;IF(AND(C355&lt;&gt;"",C355&lt;1),"／開始Uが1未満","")&amp;IF(AND(E355&lt;&gt;"",E355&gt;IFERROR(VLOOKUP(A355,ラック定義!$A:$B,2,FALSE),47)),"／総Uをはみ出す","")&amp;IF(AND(A355&lt;&gt;"",COUNTIF(ラック定義!$A:$A,A355)=0),"／ラックが定義にない","")&amp;IF(AND(SUMPRODUCT((機器台帳!$A$2:$A$400=$A355)*((機器台帳!$B$2:$B$400=$B355)+(機器台帳!$B$2:$B$400="両面")+($B355="両面")&gt;0)*(機器台帳!$C$2:$C$400&lt;=$C355+$D355-1)*(機器台帳!$C$2:$C$400+機器台帳!$D$2:$D$400-1&gt;=$C355)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355&amp;"")))&gt;0)),"／同じUに他の機器(横並びなら正常)","")&amp;IF(AND(M355&lt;&gt;"",COUNTIFS(回路定義!$A:$A,A355,回路定義!$B:$B,M355)=0),"／回路1が定義にない","")&amp;IF(AND(P355&lt;&gt;"",COUNTIFS(回路定義!$A:$A,A355,回路定義!$B:$B,P355)=0),"／回路2が定義にない","")&amp;IF(AND(S355&lt;&gt;"",COUNTIFS(回路定義!$A:$A,A355,回路定義!$B:$B,S355)=0),"／回路3が定義にない",""),2,300)))</f>
        <v/>
      </c>
    </row>
    <row r="356">
      <c r="A356" s="5" t="n"/>
      <c r="B356" s="5" t="n"/>
      <c r="C356" s="5" t="n"/>
      <c r="D356" s="5" t="n"/>
      <c r="E356" s="6">
        <f>IF(C356="","",C356+D356-1)</f>
        <v/>
      </c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6">
        <f>COUNT(N356,Q356,T356)</f>
        <v/>
      </c>
      <c r="Z356" s="6">
        <f>IF(OR(K356="",NOT(ISNUMBER(K356))),"",K356*SUM(N356,Q356,T356))</f>
        <v/>
      </c>
      <c r="AA356" s="6">
        <f>IF(OR(Y356=0,N356=""),"",N356/Y356)</f>
        <v/>
      </c>
      <c r="AB356" s="6">
        <f>IF(OR(Y356=0,Q356=""),"",Q356/Y356)</f>
        <v/>
      </c>
      <c r="AC356" s="6">
        <f>IF(OR(Y356=0,T356=""),"",T356/Y356)</f>
        <v/>
      </c>
      <c r="AD356" s="6">
        <f>IF(F356="","",IF((IF(AND(Y356=0,NOT(SUMPRODUCT(--ISNUMBER(SEARCH({"棚板","棚","アングル","ｱﾝｸﾞﾙ","使用不可","ケーブル","ｹｰﾌﾞﾙ","PatchPnael","パッチ","引き出し","引出","ブランク","ﾌﾞﾗﾝｸ","マネージ","ﾏﾈｰｼﾞ","PDU","ONU"},$F356&amp;"")))&gt;0),NOT(SUMPRODUCT(--ISNUMBER(SEARCH({"電源オフ","未投入","停止","未使用","撤去"},$X356&amp;"")))&gt;0)),"／電力が未記入","")&amp;IF(AND(NOT(ISNUMBER(J356)),NOT(SUMPRODUCT(--ISNUMBER(SEARCH({"棚板","棚","アングル","ｱﾝｸﾞﾙ","使用不可","ケーブル","ｹｰﾌﾞﾙ","PatchPnael","パッチ","引き出し","引出","ブランク","ﾌﾞﾗﾝｸ","マネージ","ﾏﾈｰｼﾞ","PDU","ONU"},$F356&amp;"")))&gt;0)),"／重量が未記入","")&amp;IF(AND(K356&lt;&gt;"",NOT(ISNUMBER(K356))),"／電圧が数値でない","")&amp;IF(AND(N356&lt;&gt;"",NOT(ISNUMBER(N356))),"／電流が数値でない","")&amp;IF(AND(C356&lt;&gt;"",C356&lt;1),"／開始Uが1未満","")&amp;IF(AND(E356&lt;&gt;"",E356&gt;IFERROR(VLOOKUP(A356,ラック定義!$A:$B,2,FALSE),47)),"／総Uをはみ出す","")&amp;IF(AND(A356&lt;&gt;"",COUNTIF(ラック定義!$A:$A,A356)=0),"／ラックが定義にない","")&amp;IF(AND(SUMPRODUCT((機器台帳!$A$2:$A$400=$A356)*((機器台帳!$B$2:$B$400=$B356)+(機器台帳!$B$2:$B$400="両面")+($B356="両面")&gt;0)*(機器台帳!$C$2:$C$400&lt;=$C356+$D356-1)*(機器台帳!$C$2:$C$400+機器台帳!$D$2:$D$400-1&gt;=$C356)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356&amp;"")))&gt;0)),"／同じUに他の機器(横並びなら正常)","")&amp;IF(AND(M356&lt;&gt;"",COUNTIFS(回路定義!$A:$A,A356,回路定義!$B:$B,M356)=0),"／回路1が定義にない","")&amp;IF(AND(P356&lt;&gt;"",COUNTIFS(回路定義!$A:$A,A356,回路定義!$B:$B,P356)=0),"／回路2が定義にない","")&amp;IF(AND(S356&lt;&gt;"",COUNTIFS(回路定義!$A:$A,A356,回路定義!$B:$B,S356)=0),"／回路3が定義にない",""))="","",MID(IF(AND(Y356=0,NOT(SUMPRODUCT(--ISNUMBER(SEARCH({"棚板","棚","アングル","ｱﾝｸﾞﾙ","使用不可","ケーブル","ｹｰﾌﾞﾙ","PatchPnael","パッチ","引き出し","引出","ブランク","ﾌﾞﾗﾝｸ","マネージ","ﾏﾈｰｼﾞ","PDU","ONU"},$F356&amp;"")))&gt;0),NOT(SUMPRODUCT(--ISNUMBER(SEARCH({"電源オフ","未投入","停止","未使用","撤去"},$X356&amp;"")))&gt;0)),"／電力が未記入","")&amp;IF(AND(NOT(ISNUMBER(J356)),NOT(SUMPRODUCT(--ISNUMBER(SEARCH({"棚板","棚","アングル","ｱﾝｸﾞﾙ","使用不可","ケーブル","ｹｰﾌﾞﾙ","PatchPnael","パッチ","引き出し","引出","ブランク","ﾌﾞﾗﾝｸ","マネージ","ﾏﾈｰｼﾞ","PDU","ONU"},$F356&amp;"")))&gt;0)),"／重量が未記入","")&amp;IF(AND(K356&lt;&gt;"",NOT(ISNUMBER(K356))),"／電圧が数値でない","")&amp;IF(AND(N356&lt;&gt;"",NOT(ISNUMBER(N356))),"／電流が数値でない","")&amp;IF(AND(C356&lt;&gt;"",C356&lt;1),"／開始Uが1未満","")&amp;IF(AND(E356&lt;&gt;"",E356&gt;IFERROR(VLOOKUP(A356,ラック定義!$A:$B,2,FALSE),47)),"／総Uをはみ出す","")&amp;IF(AND(A356&lt;&gt;"",COUNTIF(ラック定義!$A:$A,A356)=0),"／ラックが定義にない","")&amp;IF(AND(SUMPRODUCT((機器台帳!$A$2:$A$400=$A356)*((機器台帳!$B$2:$B$400=$B356)+(機器台帳!$B$2:$B$400="両面")+($B356="両面")&gt;0)*(機器台帳!$C$2:$C$400&lt;=$C356+$D356-1)*(機器台帳!$C$2:$C$400+機器台帳!$D$2:$D$400-1&gt;=$C356)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356&amp;"")))&gt;0)),"／同じUに他の機器(横並びなら正常)","")&amp;IF(AND(M356&lt;&gt;"",COUNTIFS(回路定義!$A:$A,A356,回路定義!$B:$B,M356)=0),"／回路1が定義にない","")&amp;IF(AND(P356&lt;&gt;"",COUNTIFS(回路定義!$A:$A,A356,回路定義!$B:$B,P356)=0),"／回路2が定義にない","")&amp;IF(AND(S356&lt;&gt;"",COUNTIFS(回路定義!$A:$A,A356,回路定義!$B:$B,S356)=0),"／回路3が定義にない",""),2,300)))</f>
        <v/>
      </c>
    </row>
    <row r="357">
      <c r="A357" s="5" t="n"/>
      <c r="B357" s="5" t="n"/>
      <c r="C357" s="5" t="n"/>
      <c r="D357" s="5" t="n"/>
      <c r="E357" s="6">
        <f>IF(C357="","",C357+D357-1)</f>
        <v/>
      </c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6">
        <f>COUNT(N357,Q357,T357)</f>
        <v/>
      </c>
      <c r="Z357" s="6">
        <f>IF(OR(K357="",NOT(ISNUMBER(K357))),"",K357*SUM(N357,Q357,T357))</f>
        <v/>
      </c>
      <c r="AA357" s="6">
        <f>IF(OR(Y357=0,N357=""),"",N357/Y357)</f>
        <v/>
      </c>
      <c r="AB357" s="6">
        <f>IF(OR(Y357=0,Q357=""),"",Q357/Y357)</f>
        <v/>
      </c>
      <c r="AC357" s="6">
        <f>IF(OR(Y357=0,T357=""),"",T357/Y357)</f>
        <v/>
      </c>
      <c r="AD357" s="6">
        <f>IF(F357="","",IF((IF(AND(Y357=0,NOT(SUMPRODUCT(--ISNUMBER(SEARCH({"棚板","棚","アングル","ｱﾝｸﾞﾙ","使用不可","ケーブル","ｹｰﾌﾞﾙ","PatchPnael","パッチ","引き出し","引出","ブランク","ﾌﾞﾗﾝｸ","マネージ","ﾏﾈｰｼﾞ","PDU","ONU"},$F357&amp;"")))&gt;0),NOT(SUMPRODUCT(--ISNUMBER(SEARCH({"電源オフ","未投入","停止","未使用","撤去"},$X357&amp;"")))&gt;0)),"／電力が未記入","")&amp;IF(AND(NOT(ISNUMBER(J357)),NOT(SUMPRODUCT(--ISNUMBER(SEARCH({"棚板","棚","アングル","ｱﾝｸﾞﾙ","使用不可","ケーブル","ｹｰﾌﾞﾙ","PatchPnael","パッチ","引き出し","引出","ブランク","ﾌﾞﾗﾝｸ","マネージ","ﾏﾈｰｼﾞ","PDU","ONU"},$F357&amp;"")))&gt;0)),"／重量が未記入","")&amp;IF(AND(K357&lt;&gt;"",NOT(ISNUMBER(K357))),"／電圧が数値でない","")&amp;IF(AND(N357&lt;&gt;"",NOT(ISNUMBER(N357))),"／電流が数値でない","")&amp;IF(AND(C357&lt;&gt;"",C357&lt;1),"／開始Uが1未満","")&amp;IF(AND(E357&lt;&gt;"",E357&gt;IFERROR(VLOOKUP(A357,ラック定義!$A:$B,2,FALSE),47)),"／総Uをはみ出す","")&amp;IF(AND(A357&lt;&gt;"",COUNTIF(ラック定義!$A:$A,A357)=0),"／ラックが定義にない","")&amp;IF(AND(SUMPRODUCT((機器台帳!$A$2:$A$400=$A357)*((機器台帳!$B$2:$B$400=$B357)+(機器台帳!$B$2:$B$400="両面")+($B357="両面")&gt;0)*(機器台帳!$C$2:$C$400&lt;=$C357+$D357-1)*(機器台帳!$C$2:$C$400+機器台帳!$D$2:$D$400-1&gt;=$C357)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357&amp;"")))&gt;0)),"／同じUに他の機器(横並びなら正常)","")&amp;IF(AND(M357&lt;&gt;"",COUNTIFS(回路定義!$A:$A,A357,回路定義!$B:$B,M357)=0),"／回路1が定義にない","")&amp;IF(AND(P357&lt;&gt;"",COUNTIFS(回路定義!$A:$A,A357,回路定義!$B:$B,P357)=0),"／回路2が定義にない","")&amp;IF(AND(S357&lt;&gt;"",COUNTIFS(回路定義!$A:$A,A357,回路定義!$B:$B,S357)=0),"／回路3が定義にない",""))="","",MID(IF(AND(Y357=0,NOT(SUMPRODUCT(--ISNUMBER(SEARCH({"棚板","棚","アングル","ｱﾝｸﾞﾙ","使用不可","ケーブル","ｹｰﾌﾞﾙ","PatchPnael","パッチ","引き出し","引出","ブランク","ﾌﾞﾗﾝｸ","マネージ","ﾏﾈｰｼﾞ","PDU","ONU"},$F357&amp;"")))&gt;0),NOT(SUMPRODUCT(--ISNUMBER(SEARCH({"電源オフ","未投入","停止","未使用","撤去"},$X357&amp;"")))&gt;0)),"／電力が未記入","")&amp;IF(AND(NOT(ISNUMBER(J357)),NOT(SUMPRODUCT(--ISNUMBER(SEARCH({"棚板","棚","アングル","ｱﾝｸﾞﾙ","使用不可","ケーブル","ｹｰﾌﾞﾙ","PatchPnael","パッチ","引き出し","引出","ブランク","ﾌﾞﾗﾝｸ","マネージ","ﾏﾈｰｼﾞ","PDU","ONU"},$F357&amp;"")))&gt;0)),"／重量が未記入","")&amp;IF(AND(K357&lt;&gt;"",NOT(ISNUMBER(K357))),"／電圧が数値でない","")&amp;IF(AND(N357&lt;&gt;"",NOT(ISNUMBER(N357))),"／電流が数値でない","")&amp;IF(AND(C357&lt;&gt;"",C357&lt;1),"／開始Uが1未満","")&amp;IF(AND(E357&lt;&gt;"",E357&gt;IFERROR(VLOOKUP(A357,ラック定義!$A:$B,2,FALSE),47)),"／総Uをはみ出す","")&amp;IF(AND(A357&lt;&gt;"",COUNTIF(ラック定義!$A:$A,A357)=0),"／ラックが定義にない","")&amp;IF(AND(SUMPRODUCT((機器台帳!$A$2:$A$400=$A357)*((機器台帳!$B$2:$B$400=$B357)+(機器台帳!$B$2:$B$400="両面")+($B357="両面")&gt;0)*(機器台帳!$C$2:$C$400&lt;=$C357+$D357-1)*(機器台帳!$C$2:$C$400+機器台帳!$D$2:$D$400-1&gt;=$C357)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357&amp;"")))&gt;0)),"／同じUに他の機器(横並びなら正常)","")&amp;IF(AND(M357&lt;&gt;"",COUNTIFS(回路定義!$A:$A,A357,回路定義!$B:$B,M357)=0),"／回路1が定義にない","")&amp;IF(AND(P357&lt;&gt;"",COUNTIFS(回路定義!$A:$A,A357,回路定義!$B:$B,P357)=0),"／回路2が定義にない","")&amp;IF(AND(S357&lt;&gt;"",COUNTIFS(回路定義!$A:$A,A357,回路定義!$B:$B,S357)=0),"／回路3が定義にない",""),2,300)))</f>
        <v/>
      </c>
    </row>
    <row r="358">
      <c r="A358" s="5" t="n"/>
      <c r="B358" s="5" t="n"/>
      <c r="C358" s="5" t="n"/>
      <c r="D358" s="5" t="n"/>
      <c r="E358" s="6">
        <f>IF(C358="","",C358+D358-1)</f>
        <v/>
      </c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6">
        <f>COUNT(N358,Q358,T358)</f>
        <v/>
      </c>
      <c r="Z358" s="6">
        <f>IF(OR(K358="",NOT(ISNUMBER(K358))),"",K358*SUM(N358,Q358,T358))</f>
        <v/>
      </c>
      <c r="AA358" s="6">
        <f>IF(OR(Y358=0,N358=""),"",N358/Y358)</f>
        <v/>
      </c>
      <c r="AB358" s="6">
        <f>IF(OR(Y358=0,Q358=""),"",Q358/Y358)</f>
        <v/>
      </c>
      <c r="AC358" s="6">
        <f>IF(OR(Y358=0,T358=""),"",T358/Y358)</f>
        <v/>
      </c>
      <c r="AD358" s="6">
        <f>IF(F358="","",IF((IF(AND(Y358=0,NOT(SUMPRODUCT(--ISNUMBER(SEARCH({"棚板","棚","アングル","ｱﾝｸﾞﾙ","使用不可","ケーブル","ｹｰﾌﾞﾙ","PatchPnael","パッチ","引き出し","引出","ブランク","ﾌﾞﾗﾝｸ","マネージ","ﾏﾈｰｼﾞ","PDU","ONU"},$F358&amp;"")))&gt;0),NOT(SUMPRODUCT(--ISNUMBER(SEARCH({"電源オフ","未投入","停止","未使用","撤去"},$X358&amp;"")))&gt;0)),"／電力が未記入","")&amp;IF(AND(NOT(ISNUMBER(J358)),NOT(SUMPRODUCT(--ISNUMBER(SEARCH({"棚板","棚","アングル","ｱﾝｸﾞﾙ","使用不可","ケーブル","ｹｰﾌﾞﾙ","PatchPnael","パッチ","引き出し","引出","ブランク","ﾌﾞﾗﾝｸ","マネージ","ﾏﾈｰｼﾞ","PDU","ONU"},$F358&amp;"")))&gt;0)),"／重量が未記入","")&amp;IF(AND(K358&lt;&gt;"",NOT(ISNUMBER(K358))),"／電圧が数値でない","")&amp;IF(AND(N358&lt;&gt;"",NOT(ISNUMBER(N358))),"／電流が数値でない","")&amp;IF(AND(C358&lt;&gt;"",C358&lt;1),"／開始Uが1未満","")&amp;IF(AND(E358&lt;&gt;"",E358&gt;IFERROR(VLOOKUP(A358,ラック定義!$A:$B,2,FALSE),47)),"／総Uをはみ出す","")&amp;IF(AND(A358&lt;&gt;"",COUNTIF(ラック定義!$A:$A,A358)=0),"／ラックが定義にない","")&amp;IF(AND(SUMPRODUCT((機器台帳!$A$2:$A$400=$A358)*((機器台帳!$B$2:$B$400=$B358)+(機器台帳!$B$2:$B$400="両面")+($B358="両面")&gt;0)*(機器台帳!$C$2:$C$400&lt;=$C358+$D358-1)*(機器台帳!$C$2:$C$400+機器台帳!$D$2:$D$400-1&gt;=$C358)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358&amp;"")))&gt;0)),"／同じUに他の機器(横並びなら正常)","")&amp;IF(AND(M358&lt;&gt;"",COUNTIFS(回路定義!$A:$A,A358,回路定義!$B:$B,M358)=0),"／回路1が定義にない","")&amp;IF(AND(P358&lt;&gt;"",COUNTIFS(回路定義!$A:$A,A358,回路定義!$B:$B,P358)=0),"／回路2が定義にない","")&amp;IF(AND(S358&lt;&gt;"",COUNTIFS(回路定義!$A:$A,A358,回路定義!$B:$B,S358)=0),"／回路3が定義にない",""))="","",MID(IF(AND(Y358=0,NOT(SUMPRODUCT(--ISNUMBER(SEARCH({"棚板","棚","アングル","ｱﾝｸﾞﾙ","使用不可","ケーブル","ｹｰﾌﾞﾙ","PatchPnael","パッチ","引き出し","引出","ブランク","ﾌﾞﾗﾝｸ","マネージ","ﾏﾈｰｼﾞ","PDU","ONU"},$F358&amp;"")))&gt;0),NOT(SUMPRODUCT(--ISNUMBER(SEARCH({"電源オフ","未投入","停止","未使用","撤去"},$X358&amp;"")))&gt;0)),"／電力が未記入","")&amp;IF(AND(NOT(ISNUMBER(J358)),NOT(SUMPRODUCT(--ISNUMBER(SEARCH({"棚板","棚","アングル","ｱﾝｸﾞﾙ","使用不可","ケーブル","ｹｰﾌﾞﾙ","PatchPnael","パッチ","引き出し","引出","ブランク","ﾌﾞﾗﾝｸ","マネージ","ﾏﾈｰｼﾞ","PDU","ONU"},$F358&amp;"")))&gt;0)),"／重量が未記入","")&amp;IF(AND(K358&lt;&gt;"",NOT(ISNUMBER(K358))),"／電圧が数値でない","")&amp;IF(AND(N358&lt;&gt;"",NOT(ISNUMBER(N358))),"／電流が数値でない","")&amp;IF(AND(C358&lt;&gt;"",C358&lt;1),"／開始Uが1未満","")&amp;IF(AND(E358&lt;&gt;"",E358&gt;IFERROR(VLOOKUP(A358,ラック定義!$A:$B,2,FALSE),47)),"／総Uをはみ出す","")&amp;IF(AND(A358&lt;&gt;"",COUNTIF(ラック定義!$A:$A,A358)=0),"／ラックが定義にない","")&amp;IF(AND(SUMPRODUCT((機器台帳!$A$2:$A$400=$A358)*((機器台帳!$B$2:$B$400=$B358)+(機器台帳!$B$2:$B$400="両面")+($B358="両面")&gt;0)*(機器台帳!$C$2:$C$400&lt;=$C358+$D358-1)*(機器台帳!$C$2:$C$400+機器台帳!$D$2:$D$400-1&gt;=$C358)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358&amp;"")))&gt;0)),"／同じUに他の機器(横並びなら正常)","")&amp;IF(AND(M358&lt;&gt;"",COUNTIFS(回路定義!$A:$A,A358,回路定義!$B:$B,M358)=0),"／回路1が定義にない","")&amp;IF(AND(P358&lt;&gt;"",COUNTIFS(回路定義!$A:$A,A358,回路定義!$B:$B,P358)=0),"／回路2が定義にない","")&amp;IF(AND(S358&lt;&gt;"",COUNTIFS(回路定義!$A:$A,A358,回路定義!$B:$B,S358)=0),"／回路3が定義にない",""),2,300)))</f>
        <v/>
      </c>
    </row>
    <row r="359">
      <c r="A359" s="5" t="n"/>
      <c r="B359" s="5" t="n"/>
      <c r="C359" s="5" t="n"/>
      <c r="D359" s="5" t="n"/>
      <c r="E359" s="6">
        <f>IF(C359="","",C359+D359-1)</f>
        <v/>
      </c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6">
        <f>COUNT(N359,Q359,T359)</f>
        <v/>
      </c>
      <c r="Z359" s="6">
        <f>IF(OR(K359="",NOT(ISNUMBER(K359))),"",K359*SUM(N359,Q359,T359))</f>
        <v/>
      </c>
      <c r="AA359" s="6">
        <f>IF(OR(Y359=0,N359=""),"",N359/Y359)</f>
        <v/>
      </c>
      <c r="AB359" s="6">
        <f>IF(OR(Y359=0,Q359=""),"",Q359/Y359)</f>
        <v/>
      </c>
      <c r="AC359" s="6">
        <f>IF(OR(Y359=0,T359=""),"",T359/Y359)</f>
        <v/>
      </c>
      <c r="AD359" s="6">
        <f>IF(F359="","",IF((IF(AND(Y359=0,NOT(SUMPRODUCT(--ISNUMBER(SEARCH({"棚板","棚","アングル","ｱﾝｸﾞﾙ","使用不可","ケーブル","ｹｰﾌﾞﾙ","PatchPnael","パッチ","引き出し","引出","ブランク","ﾌﾞﾗﾝｸ","マネージ","ﾏﾈｰｼﾞ","PDU","ONU"},$F359&amp;"")))&gt;0),NOT(SUMPRODUCT(--ISNUMBER(SEARCH({"電源オフ","未投入","停止","未使用","撤去"},$X359&amp;"")))&gt;0)),"／電力が未記入","")&amp;IF(AND(NOT(ISNUMBER(J359)),NOT(SUMPRODUCT(--ISNUMBER(SEARCH({"棚板","棚","アングル","ｱﾝｸﾞﾙ","使用不可","ケーブル","ｹｰﾌﾞﾙ","PatchPnael","パッチ","引き出し","引出","ブランク","ﾌﾞﾗﾝｸ","マネージ","ﾏﾈｰｼﾞ","PDU","ONU"},$F359&amp;"")))&gt;0)),"／重量が未記入","")&amp;IF(AND(K359&lt;&gt;"",NOT(ISNUMBER(K359))),"／電圧が数値でない","")&amp;IF(AND(N359&lt;&gt;"",NOT(ISNUMBER(N359))),"／電流が数値でない","")&amp;IF(AND(C359&lt;&gt;"",C359&lt;1),"／開始Uが1未満","")&amp;IF(AND(E359&lt;&gt;"",E359&gt;IFERROR(VLOOKUP(A359,ラック定義!$A:$B,2,FALSE),47)),"／総Uをはみ出す","")&amp;IF(AND(A359&lt;&gt;"",COUNTIF(ラック定義!$A:$A,A359)=0),"／ラックが定義にない","")&amp;IF(AND(SUMPRODUCT((機器台帳!$A$2:$A$400=$A359)*((機器台帳!$B$2:$B$400=$B359)+(機器台帳!$B$2:$B$400="両面")+($B359="両面")&gt;0)*(機器台帳!$C$2:$C$400&lt;=$C359+$D359-1)*(機器台帳!$C$2:$C$400+機器台帳!$D$2:$D$400-1&gt;=$C359)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359&amp;"")))&gt;0)),"／同じUに他の機器(横並びなら正常)","")&amp;IF(AND(M359&lt;&gt;"",COUNTIFS(回路定義!$A:$A,A359,回路定義!$B:$B,M359)=0),"／回路1が定義にない","")&amp;IF(AND(P359&lt;&gt;"",COUNTIFS(回路定義!$A:$A,A359,回路定義!$B:$B,P359)=0),"／回路2が定義にない","")&amp;IF(AND(S359&lt;&gt;"",COUNTIFS(回路定義!$A:$A,A359,回路定義!$B:$B,S359)=0),"／回路3が定義にない",""))="","",MID(IF(AND(Y359=0,NOT(SUMPRODUCT(--ISNUMBER(SEARCH({"棚板","棚","アングル","ｱﾝｸﾞﾙ","使用不可","ケーブル","ｹｰﾌﾞﾙ","PatchPnael","パッチ","引き出し","引出","ブランク","ﾌﾞﾗﾝｸ","マネージ","ﾏﾈｰｼﾞ","PDU","ONU"},$F359&amp;"")))&gt;0),NOT(SUMPRODUCT(--ISNUMBER(SEARCH({"電源オフ","未投入","停止","未使用","撤去"},$X359&amp;"")))&gt;0)),"／電力が未記入","")&amp;IF(AND(NOT(ISNUMBER(J359)),NOT(SUMPRODUCT(--ISNUMBER(SEARCH({"棚板","棚","アングル","ｱﾝｸﾞﾙ","使用不可","ケーブル","ｹｰﾌﾞﾙ","PatchPnael","パッチ","引き出し","引出","ブランク","ﾌﾞﾗﾝｸ","マネージ","ﾏﾈｰｼﾞ","PDU","ONU"},$F359&amp;"")))&gt;0)),"／重量が未記入","")&amp;IF(AND(K359&lt;&gt;"",NOT(ISNUMBER(K359))),"／電圧が数値でない","")&amp;IF(AND(N359&lt;&gt;"",NOT(ISNUMBER(N359))),"／電流が数値でない","")&amp;IF(AND(C359&lt;&gt;"",C359&lt;1),"／開始Uが1未満","")&amp;IF(AND(E359&lt;&gt;"",E359&gt;IFERROR(VLOOKUP(A359,ラック定義!$A:$B,2,FALSE),47)),"／総Uをはみ出す","")&amp;IF(AND(A359&lt;&gt;"",COUNTIF(ラック定義!$A:$A,A359)=0),"／ラックが定義にない","")&amp;IF(AND(SUMPRODUCT((機器台帳!$A$2:$A$400=$A359)*((機器台帳!$B$2:$B$400=$B359)+(機器台帳!$B$2:$B$400="両面")+($B359="両面")&gt;0)*(機器台帳!$C$2:$C$400&lt;=$C359+$D359-1)*(機器台帳!$C$2:$C$400+機器台帳!$D$2:$D$400-1&gt;=$C359)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359&amp;"")))&gt;0)),"／同じUに他の機器(横並びなら正常)","")&amp;IF(AND(M359&lt;&gt;"",COUNTIFS(回路定義!$A:$A,A359,回路定義!$B:$B,M359)=0),"／回路1が定義にない","")&amp;IF(AND(P359&lt;&gt;"",COUNTIFS(回路定義!$A:$A,A359,回路定義!$B:$B,P359)=0),"／回路2が定義にない","")&amp;IF(AND(S359&lt;&gt;"",COUNTIFS(回路定義!$A:$A,A359,回路定義!$B:$B,S359)=0),"／回路3が定義にない",""),2,300)))</f>
        <v/>
      </c>
    </row>
    <row r="360">
      <c r="A360" s="5" t="n"/>
      <c r="B360" s="5" t="n"/>
      <c r="C360" s="5" t="n"/>
      <c r="D360" s="5" t="n"/>
      <c r="E360" s="6">
        <f>IF(C360="","",C360+D360-1)</f>
        <v/>
      </c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6">
        <f>COUNT(N360,Q360,T360)</f>
        <v/>
      </c>
      <c r="Z360" s="6">
        <f>IF(OR(K360="",NOT(ISNUMBER(K360))),"",K360*SUM(N360,Q360,T360))</f>
        <v/>
      </c>
      <c r="AA360" s="6">
        <f>IF(OR(Y360=0,N360=""),"",N360/Y360)</f>
        <v/>
      </c>
      <c r="AB360" s="6">
        <f>IF(OR(Y360=0,Q360=""),"",Q360/Y360)</f>
        <v/>
      </c>
      <c r="AC360" s="6">
        <f>IF(OR(Y360=0,T360=""),"",T360/Y360)</f>
        <v/>
      </c>
      <c r="AD360" s="6">
        <f>IF(F360="","",IF((IF(AND(Y360=0,NOT(SUMPRODUCT(--ISNUMBER(SEARCH({"棚板","棚","アングル","ｱﾝｸﾞﾙ","使用不可","ケーブル","ｹｰﾌﾞﾙ","PatchPnael","パッチ","引き出し","引出","ブランク","ﾌﾞﾗﾝｸ","マネージ","ﾏﾈｰｼﾞ","PDU","ONU"},$F360&amp;"")))&gt;0),NOT(SUMPRODUCT(--ISNUMBER(SEARCH({"電源オフ","未投入","停止","未使用","撤去"},$X360&amp;"")))&gt;0)),"／電力が未記入","")&amp;IF(AND(NOT(ISNUMBER(J360)),NOT(SUMPRODUCT(--ISNUMBER(SEARCH({"棚板","棚","アングル","ｱﾝｸﾞﾙ","使用不可","ケーブル","ｹｰﾌﾞﾙ","PatchPnael","パッチ","引き出し","引出","ブランク","ﾌﾞﾗﾝｸ","マネージ","ﾏﾈｰｼﾞ","PDU","ONU"},$F360&amp;"")))&gt;0)),"／重量が未記入","")&amp;IF(AND(K360&lt;&gt;"",NOT(ISNUMBER(K360))),"／電圧が数値でない","")&amp;IF(AND(N360&lt;&gt;"",NOT(ISNUMBER(N360))),"／電流が数値でない","")&amp;IF(AND(C360&lt;&gt;"",C360&lt;1),"／開始Uが1未満","")&amp;IF(AND(E360&lt;&gt;"",E360&gt;IFERROR(VLOOKUP(A360,ラック定義!$A:$B,2,FALSE),47)),"／総Uをはみ出す","")&amp;IF(AND(A360&lt;&gt;"",COUNTIF(ラック定義!$A:$A,A360)=0),"／ラックが定義にない","")&amp;IF(AND(SUMPRODUCT((機器台帳!$A$2:$A$400=$A360)*((機器台帳!$B$2:$B$400=$B360)+(機器台帳!$B$2:$B$400="両面")+($B360="両面")&gt;0)*(機器台帳!$C$2:$C$400&lt;=$C360+$D360-1)*(機器台帳!$C$2:$C$400+機器台帳!$D$2:$D$400-1&gt;=$C360)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360&amp;"")))&gt;0)),"／同じUに他の機器(横並びなら正常)","")&amp;IF(AND(M360&lt;&gt;"",COUNTIFS(回路定義!$A:$A,A360,回路定義!$B:$B,M360)=0),"／回路1が定義にない","")&amp;IF(AND(P360&lt;&gt;"",COUNTIFS(回路定義!$A:$A,A360,回路定義!$B:$B,P360)=0),"／回路2が定義にない","")&amp;IF(AND(S360&lt;&gt;"",COUNTIFS(回路定義!$A:$A,A360,回路定義!$B:$B,S360)=0),"／回路3が定義にない",""))="","",MID(IF(AND(Y360=0,NOT(SUMPRODUCT(--ISNUMBER(SEARCH({"棚板","棚","アングル","ｱﾝｸﾞﾙ","使用不可","ケーブル","ｹｰﾌﾞﾙ","PatchPnael","パッチ","引き出し","引出","ブランク","ﾌﾞﾗﾝｸ","マネージ","ﾏﾈｰｼﾞ","PDU","ONU"},$F360&amp;"")))&gt;0),NOT(SUMPRODUCT(--ISNUMBER(SEARCH({"電源オフ","未投入","停止","未使用","撤去"},$X360&amp;"")))&gt;0)),"／電力が未記入","")&amp;IF(AND(NOT(ISNUMBER(J360)),NOT(SUMPRODUCT(--ISNUMBER(SEARCH({"棚板","棚","アングル","ｱﾝｸﾞﾙ","使用不可","ケーブル","ｹｰﾌﾞﾙ","PatchPnael","パッチ","引き出し","引出","ブランク","ﾌﾞﾗﾝｸ","マネージ","ﾏﾈｰｼﾞ","PDU","ONU"},$F360&amp;"")))&gt;0)),"／重量が未記入","")&amp;IF(AND(K360&lt;&gt;"",NOT(ISNUMBER(K360))),"／電圧が数値でない","")&amp;IF(AND(N360&lt;&gt;"",NOT(ISNUMBER(N360))),"／電流が数値でない","")&amp;IF(AND(C360&lt;&gt;"",C360&lt;1),"／開始Uが1未満","")&amp;IF(AND(E360&lt;&gt;"",E360&gt;IFERROR(VLOOKUP(A360,ラック定義!$A:$B,2,FALSE),47)),"／総Uをはみ出す","")&amp;IF(AND(A360&lt;&gt;"",COUNTIF(ラック定義!$A:$A,A360)=0),"／ラックが定義にない","")&amp;IF(AND(SUMPRODUCT((機器台帳!$A$2:$A$400=$A360)*((機器台帳!$B$2:$B$400=$B360)+(機器台帳!$B$2:$B$400="両面")+($B360="両面")&gt;0)*(機器台帳!$C$2:$C$400&lt;=$C360+$D360-1)*(機器台帳!$C$2:$C$400+機器台帳!$D$2:$D$400-1&gt;=$C360)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360&amp;"")))&gt;0)),"／同じUに他の機器(横並びなら正常)","")&amp;IF(AND(M360&lt;&gt;"",COUNTIFS(回路定義!$A:$A,A360,回路定義!$B:$B,M360)=0),"／回路1が定義にない","")&amp;IF(AND(P360&lt;&gt;"",COUNTIFS(回路定義!$A:$A,A360,回路定義!$B:$B,P360)=0),"／回路2が定義にない","")&amp;IF(AND(S360&lt;&gt;"",COUNTIFS(回路定義!$A:$A,A360,回路定義!$B:$B,S360)=0),"／回路3が定義にない",""),2,300)))</f>
        <v/>
      </c>
    </row>
    <row r="361">
      <c r="A361" s="5" t="n"/>
      <c r="B361" s="5" t="n"/>
      <c r="C361" s="5" t="n"/>
      <c r="D361" s="5" t="n"/>
      <c r="E361" s="6">
        <f>IF(C361="","",C361+D361-1)</f>
        <v/>
      </c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6">
        <f>COUNT(N361,Q361,T361)</f>
        <v/>
      </c>
      <c r="Z361" s="6">
        <f>IF(OR(K361="",NOT(ISNUMBER(K361))),"",K361*SUM(N361,Q361,T361))</f>
        <v/>
      </c>
      <c r="AA361" s="6">
        <f>IF(OR(Y361=0,N361=""),"",N361/Y361)</f>
        <v/>
      </c>
      <c r="AB361" s="6">
        <f>IF(OR(Y361=0,Q361=""),"",Q361/Y361)</f>
        <v/>
      </c>
      <c r="AC361" s="6">
        <f>IF(OR(Y361=0,T361=""),"",T361/Y361)</f>
        <v/>
      </c>
      <c r="AD361" s="6">
        <f>IF(F361="","",IF((IF(AND(Y361=0,NOT(SUMPRODUCT(--ISNUMBER(SEARCH({"棚板","棚","アングル","ｱﾝｸﾞﾙ","使用不可","ケーブル","ｹｰﾌﾞﾙ","PatchPnael","パッチ","引き出し","引出","ブランク","ﾌﾞﾗﾝｸ","マネージ","ﾏﾈｰｼﾞ","PDU","ONU"},$F361&amp;"")))&gt;0),NOT(SUMPRODUCT(--ISNUMBER(SEARCH({"電源オフ","未投入","停止","未使用","撤去"},$X361&amp;"")))&gt;0)),"／電力が未記入","")&amp;IF(AND(NOT(ISNUMBER(J361)),NOT(SUMPRODUCT(--ISNUMBER(SEARCH({"棚板","棚","アングル","ｱﾝｸﾞﾙ","使用不可","ケーブル","ｹｰﾌﾞﾙ","PatchPnael","パッチ","引き出し","引出","ブランク","ﾌﾞﾗﾝｸ","マネージ","ﾏﾈｰｼﾞ","PDU","ONU"},$F361&amp;"")))&gt;0)),"／重量が未記入","")&amp;IF(AND(K361&lt;&gt;"",NOT(ISNUMBER(K361))),"／電圧が数値でない","")&amp;IF(AND(N361&lt;&gt;"",NOT(ISNUMBER(N361))),"／電流が数値でない","")&amp;IF(AND(C361&lt;&gt;"",C361&lt;1),"／開始Uが1未満","")&amp;IF(AND(E361&lt;&gt;"",E361&gt;IFERROR(VLOOKUP(A361,ラック定義!$A:$B,2,FALSE),47)),"／総Uをはみ出す","")&amp;IF(AND(A361&lt;&gt;"",COUNTIF(ラック定義!$A:$A,A361)=0),"／ラックが定義にない","")&amp;IF(AND(SUMPRODUCT((機器台帳!$A$2:$A$400=$A361)*((機器台帳!$B$2:$B$400=$B361)+(機器台帳!$B$2:$B$400="両面")+($B361="両面")&gt;0)*(機器台帳!$C$2:$C$400&lt;=$C361+$D361-1)*(機器台帳!$C$2:$C$400+機器台帳!$D$2:$D$400-1&gt;=$C361)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361&amp;"")))&gt;0)),"／同じUに他の機器(横並びなら正常)","")&amp;IF(AND(M361&lt;&gt;"",COUNTIFS(回路定義!$A:$A,A361,回路定義!$B:$B,M361)=0),"／回路1が定義にない","")&amp;IF(AND(P361&lt;&gt;"",COUNTIFS(回路定義!$A:$A,A361,回路定義!$B:$B,P361)=0),"／回路2が定義にない","")&amp;IF(AND(S361&lt;&gt;"",COUNTIFS(回路定義!$A:$A,A361,回路定義!$B:$B,S361)=0),"／回路3が定義にない",""))="","",MID(IF(AND(Y361=0,NOT(SUMPRODUCT(--ISNUMBER(SEARCH({"棚板","棚","アングル","ｱﾝｸﾞﾙ","使用不可","ケーブル","ｹｰﾌﾞﾙ","PatchPnael","パッチ","引き出し","引出","ブランク","ﾌﾞﾗﾝｸ","マネージ","ﾏﾈｰｼﾞ","PDU","ONU"},$F361&amp;"")))&gt;0),NOT(SUMPRODUCT(--ISNUMBER(SEARCH({"電源オフ","未投入","停止","未使用","撤去"},$X361&amp;"")))&gt;0)),"／電力が未記入","")&amp;IF(AND(NOT(ISNUMBER(J361)),NOT(SUMPRODUCT(--ISNUMBER(SEARCH({"棚板","棚","アングル","ｱﾝｸﾞﾙ","使用不可","ケーブル","ｹｰﾌﾞﾙ","PatchPnael","パッチ","引き出し","引出","ブランク","ﾌﾞﾗﾝｸ","マネージ","ﾏﾈｰｼﾞ","PDU","ONU"},$F361&amp;"")))&gt;0)),"／重量が未記入","")&amp;IF(AND(K361&lt;&gt;"",NOT(ISNUMBER(K361))),"／電圧が数値でない","")&amp;IF(AND(N361&lt;&gt;"",NOT(ISNUMBER(N361))),"／電流が数値でない","")&amp;IF(AND(C361&lt;&gt;"",C361&lt;1),"／開始Uが1未満","")&amp;IF(AND(E361&lt;&gt;"",E361&gt;IFERROR(VLOOKUP(A361,ラック定義!$A:$B,2,FALSE),47)),"／総Uをはみ出す","")&amp;IF(AND(A361&lt;&gt;"",COUNTIF(ラック定義!$A:$A,A361)=0),"／ラックが定義にない","")&amp;IF(AND(SUMPRODUCT((機器台帳!$A$2:$A$400=$A361)*((機器台帳!$B$2:$B$400=$B361)+(機器台帳!$B$2:$B$400="両面")+($B361="両面")&gt;0)*(機器台帳!$C$2:$C$400&lt;=$C361+$D361-1)*(機器台帳!$C$2:$C$400+機器台帳!$D$2:$D$400-1&gt;=$C361)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361&amp;"")))&gt;0)),"／同じUに他の機器(横並びなら正常)","")&amp;IF(AND(M361&lt;&gt;"",COUNTIFS(回路定義!$A:$A,A361,回路定義!$B:$B,M361)=0),"／回路1が定義にない","")&amp;IF(AND(P361&lt;&gt;"",COUNTIFS(回路定義!$A:$A,A361,回路定義!$B:$B,P361)=0),"／回路2が定義にない","")&amp;IF(AND(S361&lt;&gt;"",COUNTIFS(回路定義!$A:$A,A361,回路定義!$B:$B,S361)=0),"／回路3が定義にない",""),2,300)))</f>
        <v/>
      </c>
    </row>
    <row r="362">
      <c r="A362" s="5" t="n"/>
      <c r="B362" s="5" t="n"/>
      <c r="C362" s="5" t="n"/>
      <c r="D362" s="5" t="n"/>
      <c r="E362" s="6">
        <f>IF(C362="","",C362+D362-1)</f>
        <v/>
      </c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6">
        <f>COUNT(N362,Q362,T362)</f>
        <v/>
      </c>
      <c r="Z362" s="6">
        <f>IF(OR(K362="",NOT(ISNUMBER(K362))),"",K362*SUM(N362,Q362,T362))</f>
        <v/>
      </c>
      <c r="AA362" s="6">
        <f>IF(OR(Y362=0,N362=""),"",N362/Y362)</f>
        <v/>
      </c>
      <c r="AB362" s="6">
        <f>IF(OR(Y362=0,Q362=""),"",Q362/Y362)</f>
        <v/>
      </c>
      <c r="AC362" s="6">
        <f>IF(OR(Y362=0,T362=""),"",T362/Y362)</f>
        <v/>
      </c>
      <c r="AD362" s="6">
        <f>IF(F362="","",IF((IF(AND(Y362=0,NOT(SUMPRODUCT(--ISNUMBER(SEARCH({"棚板","棚","アングル","ｱﾝｸﾞﾙ","使用不可","ケーブル","ｹｰﾌﾞﾙ","PatchPnael","パッチ","引き出し","引出","ブランク","ﾌﾞﾗﾝｸ","マネージ","ﾏﾈｰｼﾞ","PDU","ONU"},$F362&amp;"")))&gt;0),NOT(SUMPRODUCT(--ISNUMBER(SEARCH({"電源オフ","未投入","停止","未使用","撤去"},$X362&amp;"")))&gt;0)),"／電力が未記入","")&amp;IF(AND(NOT(ISNUMBER(J362)),NOT(SUMPRODUCT(--ISNUMBER(SEARCH({"棚板","棚","アングル","ｱﾝｸﾞﾙ","使用不可","ケーブル","ｹｰﾌﾞﾙ","PatchPnael","パッチ","引き出し","引出","ブランク","ﾌﾞﾗﾝｸ","マネージ","ﾏﾈｰｼﾞ","PDU","ONU"},$F362&amp;"")))&gt;0)),"／重量が未記入","")&amp;IF(AND(K362&lt;&gt;"",NOT(ISNUMBER(K362))),"／電圧が数値でない","")&amp;IF(AND(N362&lt;&gt;"",NOT(ISNUMBER(N362))),"／電流が数値でない","")&amp;IF(AND(C362&lt;&gt;"",C362&lt;1),"／開始Uが1未満","")&amp;IF(AND(E362&lt;&gt;"",E362&gt;IFERROR(VLOOKUP(A362,ラック定義!$A:$B,2,FALSE),47)),"／総Uをはみ出す","")&amp;IF(AND(A362&lt;&gt;"",COUNTIF(ラック定義!$A:$A,A362)=0),"／ラックが定義にない","")&amp;IF(AND(SUMPRODUCT((機器台帳!$A$2:$A$400=$A362)*((機器台帳!$B$2:$B$400=$B362)+(機器台帳!$B$2:$B$400="両面")+($B362="両面")&gt;0)*(機器台帳!$C$2:$C$400&lt;=$C362+$D362-1)*(機器台帳!$C$2:$C$400+機器台帳!$D$2:$D$400-1&gt;=$C362)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362&amp;"")))&gt;0)),"／同じUに他の機器(横並びなら正常)","")&amp;IF(AND(M362&lt;&gt;"",COUNTIFS(回路定義!$A:$A,A362,回路定義!$B:$B,M362)=0),"／回路1が定義にない","")&amp;IF(AND(P362&lt;&gt;"",COUNTIFS(回路定義!$A:$A,A362,回路定義!$B:$B,P362)=0),"／回路2が定義にない","")&amp;IF(AND(S362&lt;&gt;"",COUNTIFS(回路定義!$A:$A,A362,回路定義!$B:$B,S362)=0),"／回路3が定義にない",""))="","",MID(IF(AND(Y362=0,NOT(SUMPRODUCT(--ISNUMBER(SEARCH({"棚板","棚","アングル","ｱﾝｸﾞﾙ","使用不可","ケーブル","ｹｰﾌﾞﾙ","PatchPnael","パッチ","引き出し","引出","ブランク","ﾌﾞﾗﾝｸ","マネージ","ﾏﾈｰｼﾞ","PDU","ONU"},$F362&amp;"")))&gt;0),NOT(SUMPRODUCT(--ISNUMBER(SEARCH({"電源オフ","未投入","停止","未使用","撤去"},$X362&amp;"")))&gt;0)),"／電力が未記入","")&amp;IF(AND(NOT(ISNUMBER(J362)),NOT(SUMPRODUCT(--ISNUMBER(SEARCH({"棚板","棚","アングル","ｱﾝｸﾞﾙ","使用不可","ケーブル","ｹｰﾌﾞﾙ","PatchPnael","パッチ","引き出し","引出","ブランク","ﾌﾞﾗﾝｸ","マネージ","ﾏﾈｰｼﾞ","PDU","ONU"},$F362&amp;"")))&gt;0)),"／重量が未記入","")&amp;IF(AND(K362&lt;&gt;"",NOT(ISNUMBER(K362))),"／電圧が数値でない","")&amp;IF(AND(N362&lt;&gt;"",NOT(ISNUMBER(N362))),"／電流が数値でない","")&amp;IF(AND(C362&lt;&gt;"",C362&lt;1),"／開始Uが1未満","")&amp;IF(AND(E362&lt;&gt;"",E362&gt;IFERROR(VLOOKUP(A362,ラック定義!$A:$B,2,FALSE),47)),"／総Uをはみ出す","")&amp;IF(AND(A362&lt;&gt;"",COUNTIF(ラック定義!$A:$A,A362)=0),"／ラックが定義にない","")&amp;IF(AND(SUMPRODUCT((機器台帳!$A$2:$A$400=$A362)*((機器台帳!$B$2:$B$400=$B362)+(機器台帳!$B$2:$B$400="両面")+($B362="両面")&gt;0)*(機器台帳!$C$2:$C$400&lt;=$C362+$D362-1)*(機器台帳!$C$2:$C$400+機器台帳!$D$2:$D$400-1&gt;=$C362)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362&amp;"")))&gt;0)),"／同じUに他の機器(横並びなら正常)","")&amp;IF(AND(M362&lt;&gt;"",COUNTIFS(回路定義!$A:$A,A362,回路定義!$B:$B,M362)=0),"／回路1が定義にない","")&amp;IF(AND(P362&lt;&gt;"",COUNTIFS(回路定義!$A:$A,A362,回路定義!$B:$B,P362)=0),"／回路2が定義にない","")&amp;IF(AND(S362&lt;&gt;"",COUNTIFS(回路定義!$A:$A,A362,回路定義!$B:$B,S362)=0),"／回路3が定義にない",""),2,300)))</f>
        <v/>
      </c>
    </row>
    <row r="363">
      <c r="A363" s="5" t="n"/>
      <c r="B363" s="5" t="n"/>
      <c r="C363" s="5" t="n"/>
      <c r="D363" s="5" t="n"/>
      <c r="E363" s="6">
        <f>IF(C363="","",C363+D363-1)</f>
        <v/>
      </c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6">
        <f>COUNT(N363,Q363,T363)</f>
        <v/>
      </c>
      <c r="Z363" s="6">
        <f>IF(OR(K363="",NOT(ISNUMBER(K363))),"",K363*SUM(N363,Q363,T363))</f>
        <v/>
      </c>
      <c r="AA363" s="6">
        <f>IF(OR(Y363=0,N363=""),"",N363/Y363)</f>
        <v/>
      </c>
      <c r="AB363" s="6">
        <f>IF(OR(Y363=0,Q363=""),"",Q363/Y363)</f>
        <v/>
      </c>
      <c r="AC363" s="6">
        <f>IF(OR(Y363=0,T363=""),"",T363/Y363)</f>
        <v/>
      </c>
      <c r="AD363" s="6">
        <f>IF(F363="","",IF((IF(AND(Y363=0,NOT(SUMPRODUCT(--ISNUMBER(SEARCH({"棚板","棚","アングル","ｱﾝｸﾞﾙ","使用不可","ケーブル","ｹｰﾌﾞﾙ","PatchPnael","パッチ","引き出し","引出","ブランク","ﾌﾞﾗﾝｸ","マネージ","ﾏﾈｰｼﾞ","PDU","ONU"},$F363&amp;"")))&gt;0),NOT(SUMPRODUCT(--ISNUMBER(SEARCH({"電源オフ","未投入","停止","未使用","撤去"},$X363&amp;"")))&gt;0)),"／電力が未記入","")&amp;IF(AND(NOT(ISNUMBER(J363)),NOT(SUMPRODUCT(--ISNUMBER(SEARCH({"棚板","棚","アングル","ｱﾝｸﾞﾙ","使用不可","ケーブル","ｹｰﾌﾞﾙ","PatchPnael","パッチ","引き出し","引出","ブランク","ﾌﾞﾗﾝｸ","マネージ","ﾏﾈｰｼﾞ","PDU","ONU"},$F363&amp;"")))&gt;0)),"／重量が未記入","")&amp;IF(AND(K363&lt;&gt;"",NOT(ISNUMBER(K363))),"／電圧が数値でない","")&amp;IF(AND(N363&lt;&gt;"",NOT(ISNUMBER(N363))),"／電流が数値でない","")&amp;IF(AND(C363&lt;&gt;"",C363&lt;1),"／開始Uが1未満","")&amp;IF(AND(E363&lt;&gt;"",E363&gt;IFERROR(VLOOKUP(A363,ラック定義!$A:$B,2,FALSE),47)),"／総Uをはみ出す","")&amp;IF(AND(A363&lt;&gt;"",COUNTIF(ラック定義!$A:$A,A363)=0),"／ラックが定義にない","")&amp;IF(AND(SUMPRODUCT((機器台帳!$A$2:$A$400=$A363)*((機器台帳!$B$2:$B$400=$B363)+(機器台帳!$B$2:$B$400="両面")+($B363="両面")&gt;0)*(機器台帳!$C$2:$C$400&lt;=$C363+$D363-1)*(機器台帳!$C$2:$C$400+機器台帳!$D$2:$D$400-1&gt;=$C363)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363&amp;"")))&gt;0)),"／同じUに他の機器(横並びなら正常)","")&amp;IF(AND(M363&lt;&gt;"",COUNTIFS(回路定義!$A:$A,A363,回路定義!$B:$B,M363)=0),"／回路1が定義にない","")&amp;IF(AND(P363&lt;&gt;"",COUNTIFS(回路定義!$A:$A,A363,回路定義!$B:$B,P363)=0),"／回路2が定義にない","")&amp;IF(AND(S363&lt;&gt;"",COUNTIFS(回路定義!$A:$A,A363,回路定義!$B:$B,S363)=0),"／回路3が定義にない",""))="","",MID(IF(AND(Y363=0,NOT(SUMPRODUCT(--ISNUMBER(SEARCH({"棚板","棚","アングル","ｱﾝｸﾞﾙ","使用不可","ケーブル","ｹｰﾌﾞﾙ","PatchPnael","パッチ","引き出し","引出","ブランク","ﾌﾞﾗﾝｸ","マネージ","ﾏﾈｰｼﾞ","PDU","ONU"},$F363&amp;"")))&gt;0),NOT(SUMPRODUCT(--ISNUMBER(SEARCH({"電源オフ","未投入","停止","未使用","撤去"},$X363&amp;"")))&gt;0)),"／電力が未記入","")&amp;IF(AND(NOT(ISNUMBER(J363)),NOT(SUMPRODUCT(--ISNUMBER(SEARCH({"棚板","棚","アングル","ｱﾝｸﾞﾙ","使用不可","ケーブル","ｹｰﾌﾞﾙ","PatchPnael","パッチ","引き出し","引出","ブランク","ﾌﾞﾗﾝｸ","マネージ","ﾏﾈｰｼﾞ","PDU","ONU"},$F363&amp;"")))&gt;0)),"／重量が未記入","")&amp;IF(AND(K363&lt;&gt;"",NOT(ISNUMBER(K363))),"／電圧が数値でない","")&amp;IF(AND(N363&lt;&gt;"",NOT(ISNUMBER(N363))),"／電流が数値でない","")&amp;IF(AND(C363&lt;&gt;"",C363&lt;1),"／開始Uが1未満","")&amp;IF(AND(E363&lt;&gt;"",E363&gt;IFERROR(VLOOKUP(A363,ラック定義!$A:$B,2,FALSE),47)),"／総Uをはみ出す","")&amp;IF(AND(A363&lt;&gt;"",COUNTIF(ラック定義!$A:$A,A363)=0),"／ラックが定義にない","")&amp;IF(AND(SUMPRODUCT((機器台帳!$A$2:$A$400=$A363)*((機器台帳!$B$2:$B$400=$B363)+(機器台帳!$B$2:$B$400="両面")+($B363="両面")&gt;0)*(機器台帳!$C$2:$C$400&lt;=$C363+$D363-1)*(機器台帳!$C$2:$C$400+機器台帳!$D$2:$D$400-1&gt;=$C363)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363&amp;"")))&gt;0)),"／同じUに他の機器(横並びなら正常)","")&amp;IF(AND(M363&lt;&gt;"",COUNTIFS(回路定義!$A:$A,A363,回路定義!$B:$B,M363)=0),"／回路1が定義にない","")&amp;IF(AND(P363&lt;&gt;"",COUNTIFS(回路定義!$A:$A,A363,回路定義!$B:$B,P363)=0),"／回路2が定義にない","")&amp;IF(AND(S363&lt;&gt;"",COUNTIFS(回路定義!$A:$A,A363,回路定義!$B:$B,S363)=0),"／回路3が定義にない",""),2,300)))</f>
        <v/>
      </c>
    </row>
    <row r="364">
      <c r="A364" s="5" t="n"/>
      <c r="B364" s="5" t="n"/>
      <c r="C364" s="5" t="n"/>
      <c r="D364" s="5" t="n"/>
      <c r="E364" s="6">
        <f>IF(C364="","",C364+D364-1)</f>
        <v/>
      </c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6">
        <f>COUNT(N364,Q364,T364)</f>
        <v/>
      </c>
      <c r="Z364" s="6">
        <f>IF(OR(K364="",NOT(ISNUMBER(K364))),"",K364*SUM(N364,Q364,T364))</f>
        <v/>
      </c>
      <c r="AA364" s="6">
        <f>IF(OR(Y364=0,N364=""),"",N364/Y364)</f>
        <v/>
      </c>
      <c r="AB364" s="6">
        <f>IF(OR(Y364=0,Q364=""),"",Q364/Y364)</f>
        <v/>
      </c>
      <c r="AC364" s="6">
        <f>IF(OR(Y364=0,T364=""),"",T364/Y364)</f>
        <v/>
      </c>
      <c r="AD364" s="6">
        <f>IF(F364="","",IF((IF(AND(Y364=0,NOT(SUMPRODUCT(--ISNUMBER(SEARCH({"棚板","棚","アングル","ｱﾝｸﾞﾙ","使用不可","ケーブル","ｹｰﾌﾞﾙ","PatchPnael","パッチ","引き出し","引出","ブランク","ﾌﾞﾗﾝｸ","マネージ","ﾏﾈｰｼﾞ","PDU","ONU"},$F364&amp;"")))&gt;0),NOT(SUMPRODUCT(--ISNUMBER(SEARCH({"電源オフ","未投入","停止","未使用","撤去"},$X364&amp;"")))&gt;0)),"／電力が未記入","")&amp;IF(AND(NOT(ISNUMBER(J364)),NOT(SUMPRODUCT(--ISNUMBER(SEARCH({"棚板","棚","アングル","ｱﾝｸﾞﾙ","使用不可","ケーブル","ｹｰﾌﾞﾙ","PatchPnael","パッチ","引き出し","引出","ブランク","ﾌﾞﾗﾝｸ","マネージ","ﾏﾈｰｼﾞ","PDU","ONU"},$F364&amp;"")))&gt;0)),"／重量が未記入","")&amp;IF(AND(K364&lt;&gt;"",NOT(ISNUMBER(K364))),"／電圧が数値でない","")&amp;IF(AND(N364&lt;&gt;"",NOT(ISNUMBER(N364))),"／電流が数値でない","")&amp;IF(AND(C364&lt;&gt;"",C364&lt;1),"／開始Uが1未満","")&amp;IF(AND(E364&lt;&gt;"",E364&gt;IFERROR(VLOOKUP(A364,ラック定義!$A:$B,2,FALSE),47)),"／総Uをはみ出す","")&amp;IF(AND(A364&lt;&gt;"",COUNTIF(ラック定義!$A:$A,A364)=0),"／ラックが定義にない","")&amp;IF(AND(SUMPRODUCT((機器台帳!$A$2:$A$400=$A364)*((機器台帳!$B$2:$B$400=$B364)+(機器台帳!$B$2:$B$400="両面")+($B364="両面")&gt;0)*(機器台帳!$C$2:$C$400&lt;=$C364+$D364-1)*(機器台帳!$C$2:$C$400+機器台帳!$D$2:$D$400-1&gt;=$C364)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364&amp;"")))&gt;0)),"／同じUに他の機器(横並びなら正常)","")&amp;IF(AND(M364&lt;&gt;"",COUNTIFS(回路定義!$A:$A,A364,回路定義!$B:$B,M364)=0),"／回路1が定義にない","")&amp;IF(AND(P364&lt;&gt;"",COUNTIFS(回路定義!$A:$A,A364,回路定義!$B:$B,P364)=0),"／回路2が定義にない","")&amp;IF(AND(S364&lt;&gt;"",COUNTIFS(回路定義!$A:$A,A364,回路定義!$B:$B,S364)=0),"／回路3が定義にない",""))="","",MID(IF(AND(Y364=0,NOT(SUMPRODUCT(--ISNUMBER(SEARCH({"棚板","棚","アングル","ｱﾝｸﾞﾙ","使用不可","ケーブル","ｹｰﾌﾞﾙ","PatchPnael","パッチ","引き出し","引出","ブランク","ﾌﾞﾗﾝｸ","マネージ","ﾏﾈｰｼﾞ","PDU","ONU"},$F364&amp;"")))&gt;0),NOT(SUMPRODUCT(--ISNUMBER(SEARCH({"電源オフ","未投入","停止","未使用","撤去"},$X364&amp;"")))&gt;0)),"／電力が未記入","")&amp;IF(AND(NOT(ISNUMBER(J364)),NOT(SUMPRODUCT(--ISNUMBER(SEARCH({"棚板","棚","アングル","ｱﾝｸﾞﾙ","使用不可","ケーブル","ｹｰﾌﾞﾙ","PatchPnael","パッチ","引き出し","引出","ブランク","ﾌﾞﾗﾝｸ","マネージ","ﾏﾈｰｼﾞ","PDU","ONU"},$F364&amp;"")))&gt;0)),"／重量が未記入","")&amp;IF(AND(K364&lt;&gt;"",NOT(ISNUMBER(K364))),"／電圧が数値でない","")&amp;IF(AND(N364&lt;&gt;"",NOT(ISNUMBER(N364))),"／電流が数値でない","")&amp;IF(AND(C364&lt;&gt;"",C364&lt;1),"／開始Uが1未満","")&amp;IF(AND(E364&lt;&gt;"",E364&gt;IFERROR(VLOOKUP(A364,ラック定義!$A:$B,2,FALSE),47)),"／総Uをはみ出す","")&amp;IF(AND(A364&lt;&gt;"",COUNTIF(ラック定義!$A:$A,A364)=0),"／ラックが定義にない","")&amp;IF(AND(SUMPRODUCT((機器台帳!$A$2:$A$400=$A364)*((機器台帳!$B$2:$B$400=$B364)+(機器台帳!$B$2:$B$400="両面")+($B364="両面")&gt;0)*(機器台帳!$C$2:$C$400&lt;=$C364+$D364-1)*(機器台帳!$C$2:$C$400+機器台帳!$D$2:$D$400-1&gt;=$C364)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364&amp;"")))&gt;0)),"／同じUに他の機器(横並びなら正常)","")&amp;IF(AND(M364&lt;&gt;"",COUNTIFS(回路定義!$A:$A,A364,回路定義!$B:$B,M364)=0),"／回路1が定義にない","")&amp;IF(AND(P364&lt;&gt;"",COUNTIFS(回路定義!$A:$A,A364,回路定義!$B:$B,P364)=0),"／回路2が定義にない","")&amp;IF(AND(S364&lt;&gt;"",COUNTIFS(回路定義!$A:$A,A364,回路定義!$B:$B,S364)=0),"／回路3が定義にない",""),2,300)))</f>
        <v/>
      </c>
    </row>
    <row r="365">
      <c r="A365" s="5" t="n"/>
      <c r="B365" s="5" t="n"/>
      <c r="C365" s="5" t="n"/>
      <c r="D365" s="5" t="n"/>
      <c r="E365" s="6">
        <f>IF(C365="","",C365+D365-1)</f>
        <v/>
      </c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6">
        <f>COUNT(N365,Q365,T365)</f>
        <v/>
      </c>
      <c r="Z365" s="6">
        <f>IF(OR(K365="",NOT(ISNUMBER(K365))),"",K365*SUM(N365,Q365,T365))</f>
        <v/>
      </c>
      <c r="AA365" s="6">
        <f>IF(OR(Y365=0,N365=""),"",N365/Y365)</f>
        <v/>
      </c>
      <c r="AB365" s="6">
        <f>IF(OR(Y365=0,Q365=""),"",Q365/Y365)</f>
        <v/>
      </c>
      <c r="AC365" s="6">
        <f>IF(OR(Y365=0,T365=""),"",T365/Y365)</f>
        <v/>
      </c>
      <c r="AD365" s="6">
        <f>IF(F365="","",IF((IF(AND(Y365=0,NOT(SUMPRODUCT(--ISNUMBER(SEARCH({"棚板","棚","アングル","ｱﾝｸﾞﾙ","使用不可","ケーブル","ｹｰﾌﾞﾙ","PatchPnael","パッチ","引き出し","引出","ブランク","ﾌﾞﾗﾝｸ","マネージ","ﾏﾈｰｼﾞ","PDU","ONU"},$F365&amp;"")))&gt;0),NOT(SUMPRODUCT(--ISNUMBER(SEARCH({"電源オフ","未投入","停止","未使用","撤去"},$X365&amp;"")))&gt;0)),"／電力が未記入","")&amp;IF(AND(NOT(ISNUMBER(J365)),NOT(SUMPRODUCT(--ISNUMBER(SEARCH({"棚板","棚","アングル","ｱﾝｸﾞﾙ","使用不可","ケーブル","ｹｰﾌﾞﾙ","PatchPnael","パッチ","引き出し","引出","ブランク","ﾌﾞﾗﾝｸ","マネージ","ﾏﾈｰｼﾞ","PDU","ONU"},$F365&amp;"")))&gt;0)),"／重量が未記入","")&amp;IF(AND(K365&lt;&gt;"",NOT(ISNUMBER(K365))),"／電圧が数値でない","")&amp;IF(AND(N365&lt;&gt;"",NOT(ISNUMBER(N365))),"／電流が数値でない","")&amp;IF(AND(C365&lt;&gt;"",C365&lt;1),"／開始Uが1未満","")&amp;IF(AND(E365&lt;&gt;"",E365&gt;IFERROR(VLOOKUP(A365,ラック定義!$A:$B,2,FALSE),47)),"／総Uをはみ出す","")&amp;IF(AND(A365&lt;&gt;"",COUNTIF(ラック定義!$A:$A,A365)=0),"／ラックが定義にない","")&amp;IF(AND(SUMPRODUCT((機器台帳!$A$2:$A$400=$A365)*((機器台帳!$B$2:$B$400=$B365)+(機器台帳!$B$2:$B$400="両面")+($B365="両面")&gt;0)*(機器台帳!$C$2:$C$400&lt;=$C365+$D365-1)*(機器台帳!$C$2:$C$400+機器台帳!$D$2:$D$400-1&gt;=$C365)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365&amp;"")))&gt;0)),"／同じUに他の機器(横並びなら正常)","")&amp;IF(AND(M365&lt;&gt;"",COUNTIFS(回路定義!$A:$A,A365,回路定義!$B:$B,M365)=0),"／回路1が定義にない","")&amp;IF(AND(P365&lt;&gt;"",COUNTIFS(回路定義!$A:$A,A365,回路定義!$B:$B,P365)=0),"／回路2が定義にない","")&amp;IF(AND(S365&lt;&gt;"",COUNTIFS(回路定義!$A:$A,A365,回路定義!$B:$B,S365)=0),"／回路3が定義にない",""))="","",MID(IF(AND(Y365=0,NOT(SUMPRODUCT(--ISNUMBER(SEARCH({"棚板","棚","アングル","ｱﾝｸﾞﾙ","使用不可","ケーブル","ｹｰﾌﾞﾙ","PatchPnael","パッチ","引き出し","引出","ブランク","ﾌﾞﾗﾝｸ","マネージ","ﾏﾈｰｼﾞ","PDU","ONU"},$F365&amp;"")))&gt;0),NOT(SUMPRODUCT(--ISNUMBER(SEARCH({"電源オフ","未投入","停止","未使用","撤去"},$X365&amp;"")))&gt;0)),"／電力が未記入","")&amp;IF(AND(NOT(ISNUMBER(J365)),NOT(SUMPRODUCT(--ISNUMBER(SEARCH({"棚板","棚","アングル","ｱﾝｸﾞﾙ","使用不可","ケーブル","ｹｰﾌﾞﾙ","PatchPnael","パッチ","引き出し","引出","ブランク","ﾌﾞﾗﾝｸ","マネージ","ﾏﾈｰｼﾞ","PDU","ONU"},$F365&amp;"")))&gt;0)),"／重量が未記入","")&amp;IF(AND(K365&lt;&gt;"",NOT(ISNUMBER(K365))),"／電圧が数値でない","")&amp;IF(AND(N365&lt;&gt;"",NOT(ISNUMBER(N365))),"／電流が数値でない","")&amp;IF(AND(C365&lt;&gt;"",C365&lt;1),"／開始Uが1未満","")&amp;IF(AND(E365&lt;&gt;"",E365&gt;IFERROR(VLOOKUP(A365,ラック定義!$A:$B,2,FALSE),47)),"／総Uをはみ出す","")&amp;IF(AND(A365&lt;&gt;"",COUNTIF(ラック定義!$A:$A,A365)=0),"／ラックが定義にない","")&amp;IF(AND(SUMPRODUCT((機器台帳!$A$2:$A$400=$A365)*((機器台帳!$B$2:$B$400=$B365)+(機器台帳!$B$2:$B$400="両面")+($B365="両面")&gt;0)*(機器台帳!$C$2:$C$400&lt;=$C365+$D365-1)*(機器台帳!$C$2:$C$400+機器台帳!$D$2:$D$400-1&gt;=$C365)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365&amp;"")))&gt;0)),"／同じUに他の機器(横並びなら正常)","")&amp;IF(AND(M365&lt;&gt;"",COUNTIFS(回路定義!$A:$A,A365,回路定義!$B:$B,M365)=0),"／回路1が定義にない","")&amp;IF(AND(P365&lt;&gt;"",COUNTIFS(回路定義!$A:$A,A365,回路定義!$B:$B,P365)=0),"／回路2が定義にない","")&amp;IF(AND(S365&lt;&gt;"",COUNTIFS(回路定義!$A:$A,A365,回路定義!$B:$B,S365)=0),"／回路3が定義にない",""),2,300)))</f>
        <v/>
      </c>
    </row>
    <row r="366">
      <c r="A366" s="5" t="n"/>
      <c r="B366" s="5" t="n"/>
      <c r="C366" s="5" t="n"/>
      <c r="D366" s="5" t="n"/>
      <c r="E366" s="6">
        <f>IF(C366="","",C366+D366-1)</f>
        <v/>
      </c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6">
        <f>COUNT(N366,Q366,T366)</f>
        <v/>
      </c>
      <c r="Z366" s="6">
        <f>IF(OR(K366="",NOT(ISNUMBER(K366))),"",K366*SUM(N366,Q366,T366))</f>
        <v/>
      </c>
      <c r="AA366" s="6">
        <f>IF(OR(Y366=0,N366=""),"",N366/Y366)</f>
        <v/>
      </c>
      <c r="AB366" s="6">
        <f>IF(OR(Y366=0,Q366=""),"",Q366/Y366)</f>
        <v/>
      </c>
      <c r="AC366" s="6">
        <f>IF(OR(Y366=0,T366=""),"",T366/Y366)</f>
        <v/>
      </c>
      <c r="AD366" s="6">
        <f>IF(F366="","",IF((IF(AND(Y366=0,NOT(SUMPRODUCT(--ISNUMBER(SEARCH({"棚板","棚","アングル","ｱﾝｸﾞﾙ","使用不可","ケーブル","ｹｰﾌﾞﾙ","PatchPnael","パッチ","引き出し","引出","ブランク","ﾌﾞﾗﾝｸ","マネージ","ﾏﾈｰｼﾞ","PDU","ONU"},$F366&amp;"")))&gt;0),NOT(SUMPRODUCT(--ISNUMBER(SEARCH({"電源オフ","未投入","停止","未使用","撤去"},$X366&amp;"")))&gt;0)),"／電力が未記入","")&amp;IF(AND(NOT(ISNUMBER(J366)),NOT(SUMPRODUCT(--ISNUMBER(SEARCH({"棚板","棚","アングル","ｱﾝｸﾞﾙ","使用不可","ケーブル","ｹｰﾌﾞﾙ","PatchPnael","パッチ","引き出し","引出","ブランク","ﾌﾞﾗﾝｸ","マネージ","ﾏﾈｰｼﾞ","PDU","ONU"},$F366&amp;"")))&gt;0)),"／重量が未記入","")&amp;IF(AND(K366&lt;&gt;"",NOT(ISNUMBER(K366))),"／電圧が数値でない","")&amp;IF(AND(N366&lt;&gt;"",NOT(ISNUMBER(N366))),"／電流が数値でない","")&amp;IF(AND(C366&lt;&gt;"",C366&lt;1),"／開始Uが1未満","")&amp;IF(AND(E366&lt;&gt;"",E366&gt;IFERROR(VLOOKUP(A366,ラック定義!$A:$B,2,FALSE),47)),"／総Uをはみ出す","")&amp;IF(AND(A366&lt;&gt;"",COUNTIF(ラック定義!$A:$A,A366)=0),"／ラックが定義にない","")&amp;IF(AND(SUMPRODUCT((機器台帳!$A$2:$A$400=$A366)*((機器台帳!$B$2:$B$400=$B366)+(機器台帳!$B$2:$B$400="両面")+($B366="両面")&gt;0)*(機器台帳!$C$2:$C$400&lt;=$C366+$D366-1)*(機器台帳!$C$2:$C$400+機器台帳!$D$2:$D$400-1&gt;=$C366)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366&amp;"")))&gt;0)),"／同じUに他の機器(横並びなら正常)","")&amp;IF(AND(M366&lt;&gt;"",COUNTIFS(回路定義!$A:$A,A366,回路定義!$B:$B,M366)=0),"／回路1が定義にない","")&amp;IF(AND(P366&lt;&gt;"",COUNTIFS(回路定義!$A:$A,A366,回路定義!$B:$B,P366)=0),"／回路2が定義にない","")&amp;IF(AND(S366&lt;&gt;"",COUNTIFS(回路定義!$A:$A,A366,回路定義!$B:$B,S366)=0),"／回路3が定義にない",""))="","",MID(IF(AND(Y366=0,NOT(SUMPRODUCT(--ISNUMBER(SEARCH({"棚板","棚","アングル","ｱﾝｸﾞﾙ","使用不可","ケーブル","ｹｰﾌﾞﾙ","PatchPnael","パッチ","引き出し","引出","ブランク","ﾌﾞﾗﾝｸ","マネージ","ﾏﾈｰｼﾞ","PDU","ONU"},$F366&amp;"")))&gt;0),NOT(SUMPRODUCT(--ISNUMBER(SEARCH({"電源オフ","未投入","停止","未使用","撤去"},$X366&amp;"")))&gt;0)),"／電力が未記入","")&amp;IF(AND(NOT(ISNUMBER(J366)),NOT(SUMPRODUCT(--ISNUMBER(SEARCH({"棚板","棚","アングル","ｱﾝｸﾞﾙ","使用不可","ケーブル","ｹｰﾌﾞﾙ","PatchPnael","パッチ","引き出し","引出","ブランク","ﾌﾞﾗﾝｸ","マネージ","ﾏﾈｰｼﾞ","PDU","ONU"},$F366&amp;"")))&gt;0)),"／重量が未記入","")&amp;IF(AND(K366&lt;&gt;"",NOT(ISNUMBER(K366))),"／電圧が数値でない","")&amp;IF(AND(N366&lt;&gt;"",NOT(ISNUMBER(N366))),"／電流が数値でない","")&amp;IF(AND(C366&lt;&gt;"",C366&lt;1),"／開始Uが1未満","")&amp;IF(AND(E366&lt;&gt;"",E366&gt;IFERROR(VLOOKUP(A366,ラック定義!$A:$B,2,FALSE),47)),"／総Uをはみ出す","")&amp;IF(AND(A366&lt;&gt;"",COUNTIF(ラック定義!$A:$A,A366)=0),"／ラックが定義にない","")&amp;IF(AND(SUMPRODUCT((機器台帳!$A$2:$A$400=$A366)*((機器台帳!$B$2:$B$400=$B366)+(機器台帳!$B$2:$B$400="両面")+($B366="両面")&gt;0)*(機器台帳!$C$2:$C$400&lt;=$C366+$D366-1)*(機器台帳!$C$2:$C$400+機器台帳!$D$2:$D$400-1&gt;=$C366)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366&amp;"")))&gt;0)),"／同じUに他の機器(横並びなら正常)","")&amp;IF(AND(M366&lt;&gt;"",COUNTIFS(回路定義!$A:$A,A366,回路定義!$B:$B,M366)=0),"／回路1が定義にない","")&amp;IF(AND(P366&lt;&gt;"",COUNTIFS(回路定義!$A:$A,A366,回路定義!$B:$B,P366)=0),"／回路2が定義にない","")&amp;IF(AND(S366&lt;&gt;"",COUNTIFS(回路定義!$A:$A,A366,回路定義!$B:$B,S366)=0),"／回路3が定義にない",""),2,300)))</f>
        <v/>
      </c>
    </row>
    <row r="367">
      <c r="A367" s="5" t="n"/>
      <c r="B367" s="5" t="n"/>
      <c r="C367" s="5" t="n"/>
      <c r="D367" s="5" t="n"/>
      <c r="E367" s="6">
        <f>IF(C367="","",C367+D367-1)</f>
        <v/>
      </c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6">
        <f>COUNT(N367,Q367,T367)</f>
        <v/>
      </c>
      <c r="Z367" s="6">
        <f>IF(OR(K367="",NOT(ISNUMBER(K367))),"",K367*SUM(N367,Q367,T367))</f>
        <v/>
      </c>
      <c r="AA367" s="6">
        <f>IF(OR(Y367=0,N367=""),"",N367/Y367)</f>
        <v/>
      </c>
      <c r="AB367" s="6">
        <f>IF(OR(Y367=0,Q367=""),"",Q367/Y367)</f>
        <v/>
      </c>
      <c r="AC367" s="6">
        <f>IF(OR(Y367=0,T367=""),"",T367/Y367)</f>
        <v/>
      </c>
      <c r="AD367" s="6">
        <f>IF(F367="","",IF((IF(AND(Y367=0,NOT(SUMPRODUCT(--ISNUMBER(SEARCH({"棚板","棚","アングル","ｱﾝｸﾞﾙ","使用不可","ケーブル","ｹｰﾌﾞﾙ","PatchPnael","パッチ","引き出し","引出","ブランク","ﾌﾞﾗﾝｸ","マネージ","ﾏﾈｰｼﾞ","PDU","ONU"},$F367&amp;"")))&gt;0),NOT(SUMPRODUCT(--ISNUMBER(SEARCH({"電源オフ","未投入","停止","未使用","撤去"},$X367&amp;"")))&gt;0)),"／電力が未記入","")&amp;IF(AND(NOT(ISNUMBER(J367)),NOT(SUMPRODUCT(--ISNUMBER(SEARCH({"棚板","棚","アングル","ｱﾝｸﾞﾙ","使用不可","ケーブル","ｹｰﾌﾞﾙ","PatchPnael","パッチ","引き出し","引出","ブランク","ﾌﾞﾗﾝｸ","マネージ","ﾏﾈｰｼﾞ","PDU","ONU"},$F367&amp;"")))&gt;0)),"／重量が未記入","")&amp;IF(AND(K367&lt;&gt;"",NOT(ISNUMBER(K367))),"／電圧が数値でない","")&amp;IF(AND(N367&lt;&gt;"",NOT(ISNUMBER(N367))),"／電流が数値でない","")&amp;IF(AND(C367&lt;&gt;"",C367&lt;1),"／開始Uが1未満","")&amp;IF(AND(E367&lt;&gt;"",E367&gt;IFERROR(VLOOKUP(A367,ラック定義!$A:$B,2,FALSE),47)),"／総Uをはみ出す","")&amp;IF(AND(A367&lt;&gt;"",COUNTIF(ラック定義!$A:$A,A367)=0),"／ラックが定義にない","")&amp;IF(AND(SUMPRODUCT((機器台帳!$A$2:$A$400=$A367)*((機器台帳!$B$2:$B$400=$B367)+(機器台帳!$B$2:$B$400="両面")+($B367="両面")&gt;0)*(機器台帳!$C$2:$C$400&lt;=$C367+$D367-1)*(機器台帳!$C$2:$C$400+機器台帳!$D$2:$D$400-1&gt;=$C367)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367&amp;"")))&gt;0)),"／同じUに他の機器(横並びなら正常)","")&amp;IF(AND(M367&lt;&gt;"",COUNTIFS(回路定義!$A:$A,A367,回路定義!$B:$B,M367)=0),"／回路1が定義にない","")&amp;IF(AND(P367&lt;&gt;"",COUNTIFS(回路定義!$A:$A,A367,回路定義!$B:$B,P367)=0),"／回路2が定義にない","")&amp;IF(AND(S367&lt;&gt;"",COUNTIFS(回路定義!$A:$A,A367,回路定義!$B:$B,S367)=0),"／回路3が定義にない",""))="","",MID(IF(AND(Y367=0,NOT(SUMPRODUCT(--ISNUMBER(SEARCH({"棚板","棚","アングル","ｱﾝｸﾞﾙ","使用不可","ケーブル","ｹｰﾌﾞﾙ","PatchPnael","パッチ","引き出し","引出","ブランク","ﾌﾞﾗﾝｸ","マネージ","ﾏﾈｰｼﾞ","PDU","ONU"},$F367&amp;"")))&gt;0),NOT(SUMPRODUCT(--ISNUMBER(SEARCH({"電源オフ","未投入","停止","未使用","撤去"},$X367&amp;"")))&gt;0)),"／電力が未記入","")&amp;IF(AND(NOT(ISNUMBER(J367)),NOT(SUMPRODUCT(--ISNUMBER(SEARCH({"棚板","棚","アングル","ｱﾝｸﾞﾙ","使用不可","ケーブル","ｹｰﾌﾞﾙ","PatchPnael","パッチ","引き出し","引出","ブランク","ﾌﾞﾗﾝｸ","マネージ","ﾏﾈｰｼﾞ","PDU","ONU"},$F367&amp;"")))&gt;0)),"／重量が未記入","")&amp;IF(AND(K367&lt;&gt;"",NOT(ISNUMBER(K367))),"／電圧が数値でない","")&amp;IF(AND(N367&lt;&gt;"",NOT(ISNUMBER(N367))),"／電流が数値でない","")&amp;IF(AND(C367&lt;&gt;"",C367&lt;1),"／開始Uが1未満","")&amp;IF(AND(E367&lt;&gt;"",E367&gt;IFERROR(VLOOKUP(A367,ラック定義!$A:$B,2,FALSE),47)),"／総Uをはみ出す","")&amp;IF(AND(A367&lt;&gt;"",COUNTIF(ラック定義!$A:$A,A367)=0),"／ラックが定義にない","")&amp;IF(AND(SUMPRODUCT((機器台帳!$A$2:$A$400=$A367)*((機器台帳!$B$2:$B$400=$B367)+(機器台帳!$B$2:$B$400="両面")+($B367="両面")&gt;0)*(機器台帳!$C$2:$C$400&lt;=$C367+$D367-1)*(機器台帳!$C$2:$C$400+機器台帳!$D$2:$D$400-1&gt;=$C367)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367&amp;"")))&gt;0)),"／同じUに他の機器(横並びなら正常)","")&amp;IF(AND(M367&lt;&gt;"",COUNTIFS(回路定義!$A:$A,A367,回路定義!$B:$B,M367)=0),"／回路1が定義にない","")&amp;IF(AND(P367&lt;&gt;"",COUNTIFS(回路定義!$A:$A,A367,回路定義!$B:$B,P367)=0),"／回路2が定義にない","")&amp;IF(AND(S367&lt;&gt;"",COUNTIFS(回路定義!$A:$A,A367,回路定義!$B:$B,S367)=0),"／回路3が定義にない",""),2,300)))</f>
        <v/>
      </c>
    </row>
    <row r="368">
      <c r="A368" s="5" t="n"/>
      <c r="B368" s="5" t="n"/>
      <c r="C368" s="5" t="n"/>
      <c r="D368" s="5" t="n"/>
      <c r="E368" s="6">
        <f>IF(C368="","",C368+D368-1)</f>
        <v/>
      </c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6">
        <f>COUNT(N368,Q368,T368)</f>
        <v/>
      </c>
      <c r="Z368" s="6">
        <f>IF(OR(K368="",NOT(ISNUMBER(K368))),"",K368*SUM(N368,Q368,T368))</f>
        <v/>
      </c>
      <c r="AA368" s="6">
        <f>IF(OR(Y368=0,N368=""),"",N368/Y368)</f>
        <v/>
      </c>
      <c r="AB368" s="6">
        <f>IF(OR(Y368=0,Q368=""),"",Q368/Y368)</f>
        <v/>
      </c>
      <c r="AC368" s="6">
        <f>IF(OR(Y368=0,T368=""),"",T368/Y368)</f>
        <v/>
      </c>
      <c r="AD368" s="6">
        <f>IF(F368="","",IF((IF(AND(Y368=0,NOT(SUMPRODUCT(--ISNUMBER(SEARCH({"棚板","棚","アングル","ｱﾝｸﾞﾙ","使用不可","ケーブル","ｹｰﾌﾞﾙ","PatchPnael","パッチ","引き出し","引出","ブランク","ﾌﾞﾗﾝｸ","マネージ","ﾏﾈｰｼﾞ","PDU","ONU"},$F368&amp;"")))&gt;0),NOT(SUMPRODUCT(--ISNUMBER(SEARCH({"電源オフ","未投入","停止","未使用","撤去"},$X368&amp;"")))&gt;0)),"／電力が未記入","")&amp;IF(AND(NOT(ISNUMBER(J368)),NOT(SUMPRODUCT(--ISNUMBER(SEARCH({"棚板","棚","アングル","ｱﾝｸﾞﾙ","使用不可","ケーブル","ｹｰﾌﾞﾙ","PatchPnael","パッチ","引き出し","引出","ブランク","ﾌﾞﾗﾝｸ","マネージ","ﾏﾈｰｼﾞ","PDU","ONU"},$F368&amp;"")))&gt;0)),"／重量が未記入","")&amp;IF(AND(K368&lt;&gt;"",NOT(ISNUMBER(K368))),"／電圧が数値でない","")&amp;IF(AND(N368&lt;&gt;"",NOT(ISNUMBER(N368))),"／電流が数値でない","")&amp;IF(AND(C368&lt;&gt;"",C368&lt;1),"／開始Uが1未満","")&amp;IF(AND(E368&lt;&gt;"",E368&gt;IFERROR(VLOOKUP(A368,ラック定義!$A:$B,2,FALSE),47)),"／総Uをはみ出す","")&amp;IF(AND(A368&lt;&gt;"",COUNTIF(ラック定義!$A:$A,A368)=0),"／ラックが定義にない","")&amp;IF(AND(SUMPRODUCT((機器台帳!$A$2:$A$400=$A368)*((機器台帳!$B$2:$B$400=$B368)+(機器台帳!$B$2:$B$400="両面")+($B368="両面")&gt;0)*(機器台帳!$C$2:$C$400&lt;=$C368+$D368-1)*(機器台帳!$C$2:$C$400+機器台帳!$D$2:$D$400-1&gt;=$C368)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368&amp;"")))&gt;0)),"／同じUに他の機器(横並びなら正常)","")&amp;IF(AND(M368&lt;&gt;"",COUNTIFS(回路定義!$A:$A,A368,回路定義!$B:$B,M368)=0),"／回路1が定義にない","")&amp;IF(AND(P368&lt;&gt;"",COUNTIFS(回路定義!$A:$A,A368,回路定義!$B:$B,P368)=0),"／回路2が定義にない","")&amp;IF(AND(S368&lt;&gt;"",COUNTIFS(回路定義!$A:$A,A368,回路定義!$B:$B,S368)=0),"／回路3が定義にない",""))="","",MID(IF(AND(Y368=0,NOT(SUMPRODUCT(--ISNUMBER(SEARCH({"棚板","棚","アングル","ｱﾝｸﾞﾙ","使用不可","ケーブル","ｹｰﾌﾞﾙ","PatchPnael","パッチ","引き出し","引出","ブランク","ﾌﾞﾗﾝｸ","マネージ","ﾏﾈｰｼﾞ","PDU","ONU"},$F368&amp;"")))&gt;0),NOT(SUMPRODUCT(--ISNUMBER(SEARCH({"電源オフ","未投入","停止","未使用","撤去"},$X368&amp;"")))&gt;0)),"／電力が未記入","")&amp;IF(AND(NOT(ISNUMBER(J368)),NOT(SUMPRODUCT(--ISNUMBER(SEARCH({"棚板","棚","アングル","ｱﾝｸﾞﾙ","使用不可","ケーブル","ｹｰﾌﾞﾙ","PatchPnael","パッチ","引き出し","引出","ブランク","ﾌﾞﾗﾝｸ","マネージ","ﾏﾈｰｼﾞ","PDU","ONU"},$F368&amp;"")))&gt;0)),"／重量が未記入","")&amp;IF(AND(K368&lt;&gt;"",NOT(ISNUMBER(K368))),"／電圧が数値でない","")&amp;IF(AND(N368&lt;&gt;"",NOT(ISNUMBER(N368))),"／電流が数値でない","")&amp;IF(AND(C368&lt;&gt;"",C368&lt;1),"／開始Uが1未満","")&amp;IF(AND(E368&lt;&gt;"",E368&gt;IFERROR(VLOOKUP(A368,ラック定義!$A:$B,2,FALSE),47)),"／総Uをはみ出す","")&amp;IF(AND(A368&lt;&gt;"",COUNTIF(ラック定義!$A:$A,A368)=0),"／ラックが定義にない","")&amp;IF(AND(SUMPRODUCT((機器台帳!$A$2:$A$400=$A368)*((機器台帳!$B$2:$B$400=$B368)+(機器台帳!$B$2:$B$400="両面")+($B368="両面")&gt;0)*(機器台帳!$C$2:$C$400&lt;=$C368+$D368-1)*(機器台帳!$C$2:$C$400+機器台帳!$D$2:$D$400-1&gt;=$C368)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368&amp;"")))&gt;0)),"／同じUに他の機器(横並びなら正常)","")&amp;IF(AND(M368&lt;&gt;"",COUNTIFS(回路定義!$A:$A,A368,回路定義!$B:$B,M368)=0),"／回路1が定義にない","")&amp;IF(AND(P368&lt;&gt;"",COUNTIFS(回路定義!$A:$A,A368,回路定義!$B:$B,P368)=0),"／回路2が定義にない","")&amp;IF(AND(S368&lt;&gt;"",COUNTIFS(回路定義!$A:$A,A368,回路定義!$B:$B,S368)=0),"／回路3が定義にない",""),2,300)))</f>
        <v/>
      </c>
    </row>
    <row r="369">
      <c r="A369" s="5" t="n"/>
      <c r="B369" s="5" t="n"/>
      <c r="C369" s="5" t="n"/>
      <c r="D369" s="5" t="n"/>
      <c r="E369" s="6">
        <f>IF(C369="","",C369+D369-1)</f>
        <v/>
      </c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6">
        <f>COUNT(N369,Q369,T369)</f>
        <v/>
      </c>
      <c r="Z369" s="6">
        <f>IF(OR(K369="",NOT(ISNUMBER(K369))),"",K369*SUM(N369,Q369,T369))</f>
        <v/>
      </c>
      <c r="AA369" s="6">
        <f>IF(OR(Y369=0,N369=""),"",N369/Y369)</f>
        <v/>
      </c>
      <c r="AB369" s="6">
        <f>IF(OR(Y369=0,Q369=""),"",Q369/Y369)</f>
        <v/>
      </c>
      <c r="AC369" s="6">
        <f>IF(OR(Y369=0,T369=""),"",T369/Y369)</f>
        <v/>
      </c>
      <c r="AD369" s="6">
        <f>IF(F369="","",IF((IF(AND(Y369=0,NOT(SUMPRODUCT(--ISNUMBER(SEARCH({"棚板","棚","アングル","ｱﾝｸﾞﾙ","使用不可","ケーブル","ｹｰﾌﾞﾙ","PatchPnael","パッチ","引き出し","引出","ブランク","ﾌﾞﾗﾝｸ","マネージ","ﾏﾈｰｼﾞ","PDU","ONU"},$F369&amp;"")))&gt;0),NOT(SUMPRODUCT(--ISNUMBER(SEARCH({"電源オフ","未投入","停止","未使用","撤去"},$X369&amp;"")))&gt;0)),"／電力が未記入","")&amp;IF(AND(NOT(ISNUMBER(J369)),NOT(SUMPRODUCT(--ISNUMBER(SEARCH({"棚板","棚","アングル","ｱﾝｸﾞﾙ","使用不可","ケーブル","ｹｰﾌﾞﾙ","PatchPnael","パッチ","引き出し","引出","ブランク","ﾌﾞﾗﾝｸ","マネージ","ﾏﾈｰｼﾞ","PDU","ONU"},$F369&amp;"")))&gt;0)),"／重量が未記入","")&amp;IF(AND(K369&lt;&gt;"",NOT(ISNUMBER(K369))),"／電圧が数値でない","")&amp;IF(AND(N369&lt;&gt;"",NOT(ISNUMBER(N369))),"／電流が数値でない","")&amp;IF(AND(C369&lt;&gt;"",C369&lt;1),"／開始Uが1未満","")&amp;IF(AND(E369&lt;&gt;"",E369&gt;IFERROR(VLOOKUP(A369,ラック定義!$A:$B,2,FALSE),47)),"／総Uをはみ出す","")&amp;IF(AND(A369&lt;&gt;"",COUNTIF(ラック定義!$A:$A,A369)=0),"／ラックが定義にない","")&amp;IF(AND(SUMPRODUCT((機器台帳!$A$2:$A$400=$A369)*((機器台帳!$B$2:$B$400=$B369)+(機器台帳!$B$2:$B$400="両面")+($B369="両面")&gt;0)*(機器台帳!$C$2:$C$400&lt;=$C369+$D369-1)*(機器台帳!$C$2:$C$400+機器台帳!$D$2:$D$400-1&gt;=$C369)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369&amp;"")))&gt;0)),"／同じUに他の機器(横並びなら正常)","")&amp;IF(AND(M369&lt;&gt;"",COUNTIFS(回路定義!$A:$A,A369,回路定義!$B:$B,M369)=0),"／回路1が定義にない","")&amp;IF(AND(P369&lt;&gt;"",COUNTIFS(回路定義!$A:$A,A369,回路定義!$B:$B,P369)=0),"／回路2が定義にない","")&amp;IF(AND(S369&lt;&gt;"",COUNTIFS(回路定義!$A:$A,A369,回路定義!$B:$B,S369)=0),"／回路3が定義にない",""))="","",MID(IF(AND(Y369=0,NOT(SUMPRODUCT(--ISNUMBER(SEARCH({"棚板","棚","アングル","ｱﾝｸﾞﾙ","使用不可","ケーブル","ｹｰﾌﾞﾙ","PatchPnael","パッチ","引き出し","引出","ブランク","ﾌﾞﾗﾝｸ","マネージ","ﾏﾈｰｼﾞ","PDU","ONU"},$F369&amp;"")))&gt;0),NOT(SUMPRODUCT(--ISNUMBER(SEARCH({"電源オフ","未投入","停止","未使用","撤去"},$X369&amp;"")))&gt;0)),"／電力が未記入","")&amp;IF(AND(NOT(ISNUMBER(J369)),NOT(SUMPRODUCT(--ISNUMBER(SEARCH({"棚板","棚","アングル","ｱﾝｸﾞﾙ","使用不可","ケーブル","ｹｰﾌﾞﾙ","PatchPnael","パッチ","引き出し","引出","ブランク","ﾌﾞﾗﾝｸ","マネージ","ﾏﾈｰｼﾞ","PDU","ONU"},$F369&amp;"")))&gt;0)),"／重量が未記入","")&amp;IF(AND(K369&lt;&gt;"",NOT(ISNUMBER(K369))),"／電圧が数値でない","")&amp;IF(AND(N369&lt;&gt;"",NOT(ISNUMBER(N369))),"／電流が数値でない","")&amp;IF(AND(C369&lt;&gt;"",C369&lt;1),"／開始Uが1未満","")&amp;IF(AND(E369&lt;&gt;"",E369&gt;IFERROR(VLOOKUP(A369,ラック定義!$A:$B,2,FALSE),47)),"／総Uをはみ出す","")&amp;IF(AND(A369&lt;&gt;"",COUNTIF(ラック定義!$A:$A,A369)=0),"／ラックが定義にない","")&amp;IF(AND(SUMPRODUCT((機器台帳!$A$2:$A$400=$A369)*((機器台帳!$B$2:$B$400=$B369)+(機器台帳!$B$2:$B$400="両面")+($B369="両面")&gt;0)*(機器台帳!$C$2:$C$400&lt;=$C369+$D369-1)*(機器台帳!$C$2:$C$400+機器台帳!$D$2:$D$400-1&gt;=$C369)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369&amp;"")))&gt;0)),"／同じUに他の機器(横並びなら正常)","")&amp;IF(AND(M369&lt;&gt;"",COUNTIFS(回路定義!$A:$A,A369,回路定義!$B:$B,M369)=0),"／回路1が定義にない","")&amp;IF(AND(P369&lt;&gt;"",COUNTIFS(回路定義!$A:$A,A369,回路定義!$B:$B,P369)=0),"／回路2が定義にない","")&amp;IF(AND(S369&lt;&gt;"",COUNTIFS(回路定義!$A:$A,A369,回路定義!$B:$B,S369)=0),"／回路3が定義にない",""),2,300)))</f>
        <v/>
      </c>
    </row>
    <row r="370">
      <c r="A370" s="5" t="n"/>
      <c r="B370" s="5" t="n"/>
      <c r="C370" s="5" t="n"/>
      <c r="D370" s="5" t="n"/>
      <c r="E370" s="6">
        <f>IF(C370="","",C370+D370-1)</f>
        <v/>
      </c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6">
        <f>COUNT(N370,Q370,T370)</f>
        <v/>
      </c>
      <c r="Z370" s="6">
        <f>IF(OR(K370="",NOT(ISNUMBER(K370))),"",K370*SUM(N370,Q370,T370))</f>
        <v/>
      </c>
      <c r="AA370" s="6">
        <f>IF(OR(Y370=0,N370=""),"",N370/Y370)</f>
        <v/>
      </c>
      <c r="AB370" s="6">
        <f>IF(OR(Y370=0,Q370=""),"",Q370/Y370)</f>
        <v/>
      </c>
      <c r="AC370" s="6">
        <f>IF(OR(Y370=0,T370=""),"",T370/Y370)</f>
        <v/>
      </c>
      <c r="AD370" s="6">
        <f>IF(F370="","",IF((IF(AND(Y370=0,NOT(SUMPRODUCT(--ISNUMBER(SEARCH({"棚板","棚","アングル","ｱﾝｸﾞﾙ","使用不可","ケーブル","ｹｰﾌﾞﾙ","PatchPnael","パッチ","引き出し","引出","ブランク","ﾌﾞﾗﾝｸ","マネージ","ﾏﾈｰｼﾞ","PDU","ONU"},$F370&amp;"")))&gt;0),NOT(SUMPRODUCT(--ISNUMBER(SEARCH({"電源オフ","未投入","停止","未使用","撤去"},$X370&amp;"")))&gt;0)),"／電力が未記入","")&amp;IF(AND(NOT(ISNUMBER(J370)),NOT(SUMPRODUCT(--ISNUMBER(SEARCH({"棚板","棚","アングル","ｱﾝｸﾞﾙ","使用不可","ケーブル","ｹｰﾌﾞﾙ","PatchPnael","パッチ","引き出し","引出","ブランク","ﾌﾞﾗﾝｸ","マネージ","ﾏﾈｰｼﾞ","PDU","ONU"},$F370&amp;"")))&gt;0)),"／重量が未記入","")&amp;IF(AND(K370&lt;&gt;"",NOT(ISNUMBER(K370))),"／電圧が数値でない","")&amp;IF(AND(N370&lt;&gt;"",NOT(ISNUMBER(N370))),"／電流が数値でない","")&amp;IF(AND(C370&lt;&gt;"",C370&lt;1),"／開始Uが1未満","")&amp;IF(AND(E370&lt;&gt;"",E370&gt;IFERROR(VLOOKUP(A370,ラック定義!$A:$B,2,FALSE),47)),"／総Uをはみ出す","")&amp;IF(AND(A370&lt;&gt;"",COUNTIF(ラック定義!$A:$A,A370)=0),"／ラックが定義にない","")&amp;IF(AND(SUMPRODUCT((機器台帳!$A$2:$A$400=$A370)*((機器台帳!$B$2:$B$400=$B370)+(機器台帳!$B$2:$B$400="両面")+($B370="両面")&gt;0)*(機器台帳!$C$2:$C$400&lt;=$C370+$D370-1)*(機器台帳!$C$2:$C$400+機器台帳!$D$2:$D$400-1&gt;=$C370)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370&amp;"")))&gt;0)),"／同じUに他の機器(横並びなら正常)","")&amp;IF(AND(M370&lt;&gt;"",COUNTIFS(回路定義!$A:$A,A370,回路定義!$B:$B,M370)=0),"／回路1が定義にない","")&amp;IF(AND(P370&lt;&gt;"",COUNTIFS(回路定義!$A:$A,A370,回路定義!$B:$B,P370)=0),"／回路2が定義にない","")&amp;IF(AND(S370&lt;&gt;"",COUNTIFS(回路定義!$A:$A,A370,回路定義!$B:$B,S370)=0),"／回路3が定義にない",""))="","",MID(IF(AND(Y370=0,NOT(SUMPRODUCT(--ISNUMBER(SEARCH({"棚板","棚","アングル","ｱﾝｸﾞﾙ","使用不可","ケーブル","ｹｰﾌﾞﾙ","PatchPnael","パッチ","引き出し","引出","ブランク","ﾌﾞﾗﾝｸ","マネージ","ﾏﾈｰｼﾞ","PDU","ONU"},$F370&amp;"")))&gt;0),NOT(SUMPRODUCT(--ISNUMBER(SEARCH({"電源オフ","未投入","停止","未使用","撤去"},$X370&amp;"")))&gt;0)),"／電力が未記入","")&amp;IF(AND(NOT(ISNUMBER(J370)),NOT(SUMPRODUCT(--ISNUMBER(SEARCH({"棚板","棚","アングル","ｱﾝｸﾞﾙ","使用不可","ケーブル","ｹｰﾌﾞﾙ","PatchPnael","パッチ","引き出し","引出","ブランク","ﾌﾞﾗﾝｸ","マネージ","ﾏﾈｰｼﾞ","PDU","ONU"},$F370&amp;"")))&gt;0)),"／重量が未記入","")&amp;IF(AND(K370&lt;&gt;"",NOT(ISNUMBER(K370))),"／電圧が数値でない","")&amp;IF(AND(N370&lt;&gt;"",NOT(ISNUMBER(N370))),"／電流が数値でない","")&amp;IF(AND(C370&lt;&gt;"",C370&lt;1),"／開始Uが1未満","")&amp;IF(AND(E370&lt;&gt;"",E370&gt;IFERROR(VLOOKUP(A370,ラック定義!$A:$B,2,FALSE),47)),"／総Uをはみ出す","")&amp;IF(AND(A370&lt;&gt;"",COUNTIF(ラック定義!$A:$A,A370)=0),"／ラックが定義にない","")&amp;IF(AND(SUMPRODUCT((機器台帳!$A$2:$A$400=$A370)*((機器台帳!$B$2:$B$400=$B370)+(機器台帳!$B$2:$B$400="両面")+($B370="両面")&gt;0)*(機器台帳!$C$2:$C$400&lt;=$C370+$D370-1)*(機器台帳!$C$2:$C$400+機器台帳!$D$2:$D$400-1&gt;=$C370)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370&amp;"")))&gt;0)),"／同じUに他の機器(横並びなら正常)","")&amp;IF(AND(M370&lt;&gt;"",COUNTIFS(回路定義!$A:$A,A370,回路定義!$B:$B,M370)=0),"／回路1が定義にない","")&amp;IF(AND(P370&lt;&gt;"",COUNTIFS(回路定義!$A:$A,A370,回路定義!$B:$B,P370)=0),"／回路2が定義にない","")&amp;IF(AND(S370&lt;&gt;"",COUNTIFS(回路定義!$A:$A,A370,回路定義!$B:$B,S370)=0),"／回路3が定義にない",""),2,300)))</f>
        <v/>
      </c>
    </row>
    <row r="371">
      <c r="A371" s="5" t="n"/>
      <c r="B371" s="5" t="n"/>
      <c r="C371" s="5" t="n"/>
      <c r="D371" s="5" t="n"/>
      <c r="E371" s="6">
        <f>IF(C371="","",C371+D371-1)</f>
        <v/>
      </c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6">
        <f>COUNT(N371,Q371,T371)</f>
        <v/>
      </c>
      <c r="Z371" s="6">
        <f>IF(OR(K371="",NOT(ISNUMBER(K371))),"",K371*SUM(N371,Q371,T371))</f>
        <v/>
      </c>
      <c r="AA371" s="6">
        <f>IF(OR(Y371=0,N371=""),"",N371/Y371)</f>
        <v/>
      </c>
      <c r="AB371" s="6">
        <f>IF(OR(Y371=0,Q371=""),"",Q371/Y371)</f>
        <v/>
      </c>
      <c r="AC371" s="6">
        <f>IF(OR(Y371=0,T371=""),"",T371/Y371)</f>
        <v/>
      </c>
      <c r="AD371" s="6">
        <f>IF(F371="","",IF((IF(AND(Y371=0,NOT(SUMPRODUCT(--ISNUMBER(SEARCH({"棚板","棚","アングル","ｱﾝｸﾞﾙ","使用不可","ケーブル","ｹｰﾌﾞﾙ","PatchPnael","パッチ","引き出し","引出","ブランク","ﾌﾞﾗﾝｸ","マネージ","ﾏﾈｰｼﾞ","PDU","ONU"},$F371&amp;"")))&gt;0),NOT(SUMPRODUCT(--ISNUMBER(SEARCH({"電源オフ","未投入","停止","未使用","撤去"},$X371&amp;"")))&gt;0)),"／電力が未記入","")&amp;IF(AND(NOT(ISNUMBER(J371)),NOT(SUMPRODUCT(--ISNUMBER(SEARCH({"棚板","棚","アングル","ｱﾝｸﾞﾙ","使用不可","ケーブル","ｹｰﾌﾞﾙ","PatchPnael","パッチ","引き出し","引出","ブランク","ﾌﾞﾗﾝｸ","マネージ","ﾏﾈｰｼﾞ","PDU","ONU"},$F371&amp;"")))&gt;0)),"／重量が未記入","")&amp;IF(AND(K371&lt;&gt;"",NOT(ISNUMBER(K371))),"／電圧が数値でない","")&amp;IF(AND(N371&lt;&gt;"",NOT(ISNUMBER(N371))),"／電流が数値でない","")&amp;IF(AND(C371&lt;&gt;"",C371&lt;1),"／開始Uが1未満","")&amp;IF(AND(E371&lt;&gt;"",E371&gt;IFERROR(VLOOKUP(A371,ラック定義!$A:$B,2,FALSE),47)),"／総Uをはみ出す","")&amp;IF(AND(A371&lt;&gt;"",COUNTIF(ラック定義!$A:$A,A371)=0),"／ラックが定義にない","")&amp;IF(AND(SUMPRODUCT((機器台帳!$A$2:$A$400=$A371)*((機器台帳!$B$2:$B$400=$B371)+(機器台帳!$B$2:$B$400="両面")+($B371="両面")&gt;0)*(機器台帳!$C$2:$C$400&lt;=$C371+$D371-1)*(機器台帳!$C$2:$C$400+機器台帳!$D$2:$D$400-1&gt;=$C371)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371&amp;"")))&gt;0)),"／同じUに他の機器(横並びなら正常)","")&amp;IF(AND(M371&lt;&gt;"",COUNTIFS(回路定義!$A:$A,A371,回路定義!$B:$B,M371)=0),"／回路1が定義にない","")&amp;IF(AND(P371&lt;&gt;"",COUNTIFS(回路定義!$A:$A,A371,回路定義!$B:$B,P371)=0),"／回路2が定義にない","")&amp;IF(AND(S371&lt;&gt;"",COUNTIFS(回路定義!$A:$A,A371,回路定義!$B:$B,S371)=0),"／回路3が定義にない",""))="","",MID(IF(AND(Y371=0,NOT(SUMPRODUCT(--ISNUMBER(SEARCH({"棚板","棚","アングル","ｱﾝｸﾞﾙ","使用不可","ケーブル","ｹｰﾌﾞﾙ","PatchPnael","パッチ","引き出し","引出","ブランク","ﾌﾞﾗﾝｸ","マネージ","ﾏﾈｰｼﾞ","PDU","ONU"},$F371&amp;"")))&gt;0),NOT(SUMPRODUCT(--ISNUMBER(SEARCH({"電源オフ","未投入","停止","未使用","撤去"},$X371&amp;"")))&gt;0)),"／電力が未記入","")&amp;IF(AND(NOT(ISNUMBER(J371)),NOT(SUMPRODUCT(--ISNUMBER(SEARCH({"棚板","棚","アングル","ｱﾝｸﾞﾙ","使用不可","ケーブル","ｹｰﾌﾞﾙ","PatchPnael","パッチ","引き出し","引出","ブランク","ﾌﾞﾗﾝｸ","マネージ","ﾏﾈｰｼﾞ","PDU","ONU"},$F371&amp;"")))&gt;0)),"／重量が未記入","")&amp;IF(AND(K371&lt;&gt;"",NOT(ISNUMBER(K371))),"／電圧が数値でない","")&amp;IF(AND(N371&lt;&gt;"",NOT(ISNUMBER(N371))),"／電流が数値でない","")&amp;IF(AND(C371&lt;&gt;"",C371&lt;1),"／開始Uが1未満","")&amp;IF(AND(E371&lt;&gt;"",E371&gt;IFERROR(VLOOKUP(A371,ラック定義!$A:$B,2,FALSE),47)),"／総Uをはみ出す","")&amp;IF(AND(A371&lt;&gt;"",COUNTIF(ラック定義!$A:$A,A371)=0),"／ラックが定義にない","")&amp;IF(AND(SUMPRODUCT((機器台帳!$A$2:$A$400=$A371)*((機器台帳!$B$2:$B$400=$B371)+(機器台帳!$B$2:$B$400="両面")+($B371="両面")&gt;0)*(機器台帳!$C$2:$C$400&lt;=$C371+$D371-1)*(機器台帳!$C$2:$C$400+機器台帳!$D$2:$D$400-1&gt;=$C371)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371&amp;"")))&gt;0)),"／同じUに他の機器(横並びなら正常)","")&amp;IF(AND(M371&lt;&gt;"",COUNTIFS(回路定義!$A:$A,A371,回路定義!$B:$B,M371)=0),"／回路1が定義にない","")&amp;IF(AND(P371&lt;&gt;"",COUNTIFS(回路定義!$A:$A,A371,回路定義!$B:$B,P371)=0),"／回路2が定義にない","")&amp;IF(AND(S371&lt;&gt;"",COUNTIFS(回路定義!$A:$A,A371,回路定義!$B:$B,S371)=0),"／回路3が定義にない",""),2,300)))</f>
        <v/>
      </c>
    </row>
    <row r="372">
      <c r="A372" s="5" t="n"/>
      <c r="B372" s="5" t="n"/>
      <c r="C372" s="5" t="n"/>
      <c r="D372" s="5" t="n"/>
      <c r="E372" s="6">
        <f>IF(C372="","",C372+D372-1)</f>
        <v/>
      </c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6">
        <f>COUNT(N372,Q372,T372)</f>
        <v/>
      </c>
      <c r="Z372" s="6">
        <f>IF(OR(K372="",NOT(ISNUMBER(K372))),"",K372*SUM(N372,Q372,T372))</f>
        <v/>
      </c>
      <c r="AA372" s="6">
        <f>IF(OR(Y372=0,N372=""),"",N372/Y372)</f>
        <v/>
      </c>
      <c r="AB372" s="6">
        <f>IF(OR(Y372=0,Q372=""),"",Q372/Y372)</f>
        <v/>
      </c>
      <c r="AC372" s="6">
        <f>IF(OR(Y372=0,T372=""),"",T372/Y372)</f>
        <v/>
      </c>
      <c r="AD372" s="6">
        <f>IF(F372="","",IF((IF(AND(Y372=0,NOT(SUMPRODUCT(--ISNUMBER(SEARCH({"棚板","棚","アングル","ｱﾝｸﾞﾙ","使用不可","ケーブル","ｹｰﾌﾞﾙ","PatchPnael","パッチ","引き出し","引出","ブランク","ﾌﾞﾗﾝｸ","マネージ","ﾏﾈｰｼﾞ","PDU","ONU"},$F372&amp;"")))&gt;0),NOT(SUMPRODUCT(--ISNUMBER(SEARCH({"電源オフ","未投入","停止","未使用","撤去"},$X372&amp;"")))&gt;0)),"／電力が未記入","")&amp;IF(AND(NOT(ISNUMBER(J372)),NOT(SUMPRODUCT(--ISNUMBER(SEARCH({"棚板","棚","アングル","ｱﾝｸﾞﾙ","使用不可","ケーブル","ｹｰﾌﾞﾙ","PatchPnael","パッチ","引き出し","引出","ブランク","ﾌﾞﾗﾝｸ","マネージ","ﾏﾈｰｼﾞ","PDU","ONU"},$F372&amp;"")))&gt;0)),"／重量が未記入","")&amp;IF(AND(K372&lt;&gt;"",NOT(ISNUMBER(K372))),"／電圧が数値でない","")&amp;IF(AND(N372&lt;&gt;"",NOT(ISNUMBER(N372))),"／電流が数値でない","")&amp;IF(AND(C372&lt;&gt;"",C372&lt;1),"／開始Uが1未満","")&amp;IF(AND(E372&lt;&gt;"",E372&gt;IFERROR(VLOOKUP(A372,ラック定義!$A:$B,2,FALSE),47)),"／総Uをはみ出す","")&amp;IF(AND(A372&lt;&gt;"",COUNTIF(ラック定義!$A:$A,A372)=0),"／ラックが定義にない","")&amp;IF(AND(SUMPRODUCT((機器台帳!$A$2:$A$400=$A372)*((機器台帳!$B$2:$B$400=$B372)+(機器台帳!$B$2:$B$400="両面")+($B372="両面")&gt;0)*(機器台帳!$C$2:$C$400&lt;=$C372+$D372-1)*(機器台帳!$C$2:$C$400+機器台帳!$D$2:$D$400-1&gt;=$C372)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372&amp;"")))&gt;0)),"／同じUに他の機器(横並びなら正常)","")&amp;IF(AND(M372&lt;&gt;"",COUNTIFS(回路定義!$A:$A,A372,回路定義!$B:$B,M372)=0),"／回路1が定義にない","")&amp;IF(AND(P372&lt;&gt;"",COUNTIFS(回路定義!$A:$A,A372,回路定義!$B:$B,P372)=0),"／回路2が定義にない","")&amp;IF(AND(S372&lt;&gt;"",COUNTIFS(回路定義!$A:$A,A372,回路定義!$B:$B,S372)=0),"／回路3が定義にない",""))="","",MID(IF(AND(Y372=0,NOT(SUMPRODUCT(--ISNUMBER(SEARCH({"棚板","棚","アングル","ｱﾝｸﾞﾙ","使用不可","ケーブル","ｹｰﾌﾞﾙ","PatchPnael","パッチ","引き出し","引出","ブランク","ﾌﾞﾗﾝｸ","マネージ","ﾏﾈｰｼﾞ","PDU","ONU"},$F372&amp;"")))&gt;0),NOT(SUMPRODUCT(--ISNUMBER(SEARCH({"電源オフ","未投入","停止","未使用","撤去"},$X372&amp;"")))&gt;0)),"／電力が未記入","")&amp;IF(AND(NOT(ISNUMBER(J372)),NOT(SUMPRODUCT(--ISNUMBER(SEARCH({"棚板","棚","アングル","ｱﾝｸﾞﾙ","使用不可","ケーブル","ｹｰﾌﾞﾙ","PatchPnael","パッチ","引き出し","引出","ブランク","ﾌﾞﾗﾝｸ","マネージ","ﾏﾈｰｼﾞ","PDU","ONU"},$F372&amp;"")))&gt;0)),"／重量が未記入","")&amp;IF(AND(K372&lt;&gt;"",NOT(ISNUMBER(K372))),"／電圧が数値でない","")&amp;IF(AND(N372&lt;&gt;"",NOT(ISNUMBER(N372))),"／電流が数値でない","")&amp;IF(AND(C372&lt;&gt;"",C372&lt;1),"／開始Uが1未満","")&amp;IF(AND(E372&lt;&gt;"",E372&gt;IFERROR(VLOOKUP(A372,ラック定義!$A:$B,2,FALSE),47)),"／総Uをはみ出す","")&amp;IF(AND(A372&lt;&gt;"",COUNTIF(ラック定義!$A:$A,A372)=0),"／ラックが定義にない","")&amp;IF(AND(SUMPRODUCT((機器台帳!$A$2:$A$400=$A372)*((機器台帳!$B$2:$B$400=$B372)+(機器台帳!$B$2:$B$400="両面")+($B372="両面")&gt;0)*(機器台帳!$C$2:$C$400&lt;=$C372+$D372-1)*(機器台帳!$C$2:$C$400+機器台帳!$D$2:$D$400-1&gt;=$C372)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372&amp;"")))&gt;0)),"／同じUに他の機器(横並びなら正常)","")&amp;IF(AND(M372&lt;&gt;"",COUNTIFS(回路定義!$A:$A,A372,回路定義!$B:$B,M372)=0),"／回路1が定義にない","")&amp;IF(AND(P372&lt;&gt;"",COUNTIFS(回路定義!$A:$A,A372,回路定義!$B:$B,P372)=0),"／回路2が定義にない","")&amp;IF(AND(S372&lt;&gt;"",COUNTIFS(回路定義!$A:$A,A372,回路定義!$B:$B,S372)=0),"／回路3が定義にない",""),2,300)))</f>
        <v/>
      </c>
    </row>
    <row r="373">
      <c r="A373" s="5" t="n"/>
      <c r="B373" s="5" t="n"/>
      <c r="C373" s="5" t="n"/>
      <c r="D373" s="5" t="n"/>
      <c r="E373" s="6">
        <f>IF(C373="","",C373+D373-1)</f>
        <v/>
      </c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6">
        <f>COUNT(N373,Q373,T373)</f>
        <v/>
      </c>
      <c r="Z373" s="6">
        <f>IF(OR(K373="",NOT(ISNUMBER(K373))),"",K373*SUM(N373,Q373,T373))</f>
        <v/>
      </c>
      <c r="AA373" s="6">
        <f>IF(OR(Y373=0,N373=""),"",N373/Y373)</f>
        <v/>
      </c>
      <c r="AB373" s="6">
        <f>IF(OR(Y373=0,Q373=""),"",Q373/Y373)</f>
        <v/>
      </c>
      <c r="AC373" s="6">
        <f>IF(OR(Y373=0,T373=""),"",T373/Y373)</f>
        <v/>
      </c>
      <c r="AD373" s="6">
        <f>IF(F373="","",IF((IF(AND(Y373=0,NOT(SUMPRODUCT(--ISNUMBER(SEARCH({"棚板","棚","アングル","ｱﾝｸﾞﾙ","使用不可","ケーブル","ｹｰﾌﾞﾙ","PatchPnael","パッチ","引き出し","引出","ブランク","ﾌﾞﾗﾝｸ","マネージ","ﾏﾈｰｼﾞ","PDU","ONU"},$F373&amp;"")))&gt;0),NOT(SUMPRODUCT(--ISNUMBER(SEARCH({"電源オフ","未投入","停止","未使用","撤去"},$X373&amp;"")))&gt;0)),"／電力が未記入","")&amp;IF(AND(NOT(ISNUMBER(J373)),NOT(SUMPRODUCT(--ISNUMBER(SEARCH({"棚板","棚","アングル","ｱﾝｸﾞﾙ","使用不可","ケーブル","ｹｰﾌﾞﾙ","PatchPnael","パッチ","引き出し","引出","ブランク","ﾌﾞﾗﾝｸ","マネージ","ﾏﾈｰｼﾞ","PDU","ONU"},$F373&amp;"")))&gt;0)),"／重量が未記入","")&amp;IF(AND(K373&lt;&gt;"",NOT(ISNUMBER(K373))),"／電圧が数値でない","")&amp;IF(AND(N373&lt;&gt;"",NOT(ISNUMBER(N373))),"／電流が数値でない","")&amp;IF(AND(C373&lt;&gt;"",C373&lt;1),"／開始Uが1未満","")&amp;IF(AND(E373&lt;&gt;"",E373&gt;IFERROR(VLOOKUP(A373,ラック定義!$A:$B,2,FALSE),47)),"／総Uをはみ出す","")&amp;IF(AND(A373&lt;&gt;"",COUNTIF(ラック定義!$A:$A,A373)=0),"／ラックが定義にない","")&amp;IF(AND(SUMPRODUCT((機器台帳!$A$2:$A$400=$A373)*((機器台帳!$B$2:$B$400=$B373)+(機器台帳!$B$2:$B$400="両面")+($B373="両面")&gt;0)*(機器台帳!$C$2:$C$400&lt;=$C373+$D373-1)*(機器台帳!$C$2:$C$400+機器台帳!$D$2:$D$400-1&gt;=$C373)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373&amp;"")))&gt;0)),"／同じUに他の機器(横並びなら正常)","")&amp;IF(AND(M373&lt;&gt;"",COUNTIFS(回路定義!$A:$A,A373,回路定義!$B:$B,M373)=0),"／回路1が定義にない","")&amp;IF(AND(P373&lt;&gt;"",COUNTIFS(回路定義!$A:$A,A373,回路定義!$B:$B,P373)=0),"／回路2が定義にない","")&amp;IF(AND(S373&lt;&gt;"",COUNTIFS(回路定義!$A:$A,A373,回路定義!$B:$B,S373)=0),"／回路3が定義にない",""))="","",MID(IF(AND(Y373=0,NOT(SUMPRODUCT(--ISNUMBER(SEARCH({"棚板","棚","アングル","ｱﾝｸﾞﾙ","使用不可","ケーブル","ｹｰﾌﾞﾙ","PatchPnael","パッチ","引き出し","引出","ブランク","ﾌﾞﾗﾝｸ","マネージ","ﾏﾈｰｼﾞ","PDU","ONU"},$F373&amp;"")))&gt;0),NOT(SUMPRODUCT(--ISNUMBER(SEARCH({"電源オフ","未投入","停止","未使用","撤去"},$X373&amp;"")))&gt;0)),"／電力が未記入","")&amp;IF(AND(NOT(ISNUMBER(J373)),NOT(SUMPRODUCT(--ISNUMBER(SEARCH({"棚板","棚","アングル","ｱﾝｸﾞﾙ","使用不可","ケーブル","ｹｰﾌﾞﾙ","PatchPnael","パッチ","引き出し","引出","ブランク","ﾌﾞﾗﾝｸ","マネージ","ﾏﾈｰｼﾞ","PDU","ONU"},$F373&amp;"")))&gt;0)),"／重量が未記入","")&amp;IF(AND(K373&lt;&gt;"",NOT(ISNUMBER(K373))),"／電圧が数値でない","")&amp;IF(AND(N373&lt;&gt;"",NOT(ISNUMBER(N373))),"／電流が数値でない","")&amp;IF(AND(C373&lt;&gt;"",C373&lt;1),"／開始Uが1未満","")&amp;IF(AND(E373&lt;&gt;"",E373&gt;IFERROR(VLOOKUP(A373,ラック定義!$A:$B,2,FALSE),47)),"／総Uをはみ出す","")&amp;IF(AND(A373&lt;&gt;"",COUNTIF(ラック定義!$A:$A,A373)=0),"／ラックが定義にない","")&amp;IF(AND(SUMPRODUCT((機器台帳!$A$2:$A$400=$A373)*((機器台帳!$B$2:$B$400=$B373)+(機器台帳!$B$2:$B$400="両面")+($B373="両面")&gt;0)*(機器台帳!$C$2:$C$400&lt;=$C373+$D373-1)*(機器台帳!$C$2:$C$400+機器台帳!$D$2:$D$400-1&gt;=$C373)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373&amp;"")))&gt;0)),"／同じUに他の機器(横並びなら正常)","")&amp;IF(AND(M373&lt;&gt;"",COUNTIFS(回路定義!$A:$A,A373,回路定義!$B:$B,M373)=0),"／回路1が定義にない","")&amp;IF(AND(P373&lt;&gt;"",COUNTIFS(回路定義!$A:$A,A373,回路定義!$B:$B,P373)=0),"／回路2が定義にない","")&amp;IF(AND(S373&lt;&gt;"",COUNTIFS(回路定義!$A:$A,A373,回路定義!$B:$B,S373)=0),"／回路3が定義にない",""),2,300)))</f>
        <v/>
      </c>
    </row>
    <row r="374">
      <c r="A374" s="5" t="n"/>
      <c r="B374" s="5" t="n"/>
      <c r="C374" s="5" t="n"/>
      <c r="D374" s="5" t="n"/>
      <c r="E374" s="6">
        <f>IF(C374="","",C374+D374-1)</f>
        <v/>
      </c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6">
        <f>COUNT(N374,Q374,T374)</f>
        <v/>
      </c>
      <c r="Z374" s="6">
        <f>IF(OR(K374="",NOT(ISNUMBER(K374))),"",K374*SUM(N374,Q374,T374))</f>
        <v/>
      </c>
      <c r="AA374" s="6">
        <f>IF(OR(Y374=0,N374=""),"",N374/Y374)</f>
        <v/>
      </c>
      <c r="AB374" s="6">
        <f>IF(OR(Y374=0,Q374=""),"",Q374/Y374)</f>
        <v/>
      </c>
      <c r="AC374" s="6">
        <f>IF(OR(Y374=0,T374=""),"",T374/Y374)</f>
        <v/>
      </c>
      <c r="AD374" s="6">
        <f>IF(F374="","",IF((IF(AND(Y374=0,NOT(SUMPRODUCT(--ISNUMBER(SEARCH({"棚板","棚","アングル","ｱﾝｸﾞﾙ","使用不可","ケーブル","ｹｰﾌﾞﾙ","PatchPnael","パッチ","引き出し","引出","ブランク","ﾌﾞﾗﾝｸ","マネージ","ﾏﾈｰｼﾞ","PDU","ONU"},$F374&amp;"")))&gt;0),NOT(SUMPRODUCT(--ISNUMBER(SEARCH({"電源オフ","未投入","停止","未使用","撤去"},$X374&amp;"")))&gt;0)),"／電力が未記入","")&amp;IF(AND(NOT(ISNUMBER(J374)),NOT(SUMPRODUCT(--ISNUMBER(SEARCH({"棚板","棚","アングル","ｱﾝｸﾞﾙ","使用不可","ケーブル","ｹｰﾌﾞﾙ","PatchPnael","パッチ","引き出し","引出","ブランク","ﾌﾞﾗﾝｸ","マネージ","ﾏﾈｰｼﾞ","PDU","ONU"},$F374&amp;"")))&gt;0)),"／重量が未記入","")&amp;IF(AND(K374&lt;&gt;"",NOT(ISNUMBER(K374))),"／電圧が数値でない","")&amp;IF(AND(N374&lt;&gt;"",NOT(ISNUMBER(N374))),"／電流が数値でない","")&amp;IF(AND(C374&lt;&gt;"",C374&lt;1),"／開始Uが1未満","")&amp;IF(AND(E374&lt;&gt;"",E374&gt;IFERROR(VLOOKUP(A374,ラック定義!$A:$B,2,FALSE),47)),"／総Uをはみ出す","")&amp;IF(AND(A374&lt;&gt;"",COUNTIF(ラック定義!$A:$A,A374)=0),"／ラックが定義にない","")&amp;IF(AND(SUMPRODUCT((機器台帳!$A$2:$A$400=$A374)*((機器台帳!$B$2:$B$400=$B374)+(機器台帳!$B$2:$B$400="両面")+($B374="両面")&gt;0)*(機器台帳!$C$2:$C$400&lt;=$C374+$D374-1)*(機器台帳!$C$2:$C$400+機器台帳!$D$2:$D$400-1&gt;=$C374)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374&amp;"")))&gt;0)),"／同じUに他の機器(横並びなら正常)","")&amp;IF(AND(M374&lt;&gt;"",COUNTIFS(回路定義!$A:$A,A374,回路定義!$B:$B,M374)=0),"／回路1が定義にない","")&amp;IF(AND(P374&lt;&gt;"",COUNTIFS(回路定義!$A:$A,A374,回路定義!$B:$B,P374)=0),"／回路2が定義にない","")&amp;IF(AND(S374&lt;&gt;"",COUNTIFS(回路定義!$A:$A,A374,回路定義!$B:$B,S374)=0),"／回路3が定義にない",""))="","",MID(IF(AND(Y374=0,NOT(SUMPRODUCT(--ISNUMBER(SEARCH({"棚板","棚","アングル","ｱﾝｸﾞﾙ","使用不可","ケーブル","ｹｰﾌﾞﾙ","PatchPnael","パッチ","引き出し","引出","ブランク","ﾌﾞﾗﾝｸ","マネージ","ﾏﾈｰｼﾞ","PDU","ONU"},$F374&amp;"")))&gt;0),NOT(SUMPRODUCT(--ISNUMBER(SEARCH({"電源オフ","未投入","停止","未使用","撤去"},$X374&amp;"")))&gt;0)),"／電力が未記入","")&amp;IF(AND(NOT(ISNUMBER(J374)),NOT(SUMPRODUCT(--ISNUMBER(SEARCH({"棚板","棚","アングル","ｱﾝｸﾞﾙ","使用不可","ケーブル","ｹｰﾌﾞﾙ","PatchPnael","パッチ","引き出し","引出","ブランク","ﾌﾞﾗﾝｸ","マネージ","ﾏﾈｰｼﾞ","PDU","ONU"},$F374&amp;"")))&gt;0)),"／重量が未記入","")&amp;IF(AND(K374&lt;&gt;"",NOT(ISNUMBER(K374))),"／電圧が数値でない","")&amp;IF(AND(N374&lt;&gt;"",NOT(ISNUMBER(N374))),"／電流が数値でない","")&amp;IF(AND(C374&lt;&gt;"",C374&lt;1),"／開始Uが1未満","")&amp;IF(AND(E374&lt;&gt;"",E374&gt;IFERROR(VLOOKUP(A374,ラック定義!$A:$B,2,FALSE),47)),"／総Uをはみ出す","")&amp;IF(AND(A374&lt;&gt;"",COUNTIF(ラック定義!$A:$A,A374)=0),"／ラックが定義にない","")&amp;IF(AND(SUMPRODUCT((機器台帳!$A$2:$A$400=$A374)*((機器台帳!$B$2:$B$400=$B374)+(機器台帳!$B$2:$B$400="両面")+($B374="両面")&gt;0)*(機器台帳!$C$2:$C$400&lt;=$C374+$D374-1)*(機器台帳!$C$2:$C$400+機器台帳!$D$2:$D$400-1&gt;=$C374)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374&amp;"")))&gt;0)),"／同じUに他の機器(横並びなら正常)","")&amp;IF(AND(M374&lt;&gt;"",COUNTIFS(回路定義!$A:$A,A374,回路定義!$B:$B,M374)=0),"／回路1が定義にない","")&amp;IF(AND(P374&lt;&gt;"",COUNTIFS(回路定義!$A:$A,A374,回路定義!$B:$B,P374)=0),"／回路2が定義にない","")&amp;IF(AND(S374&lt;&gt;"",COUNTIFS(回路定義!$A:$A,A374,回路定義!$B:$B,S374)=0),"／回路3が定義にない",""),2,300)))</f>
        <v/>
      </c>
    </row>
    <row r="375">
      <c r="A375" s="5" t="n"/>
      <c r="B375" s="5" t="n"/>
      <c r="C375" s="5" t="n"/>
      <c r="D375" s="5" t="n"/>
      <c r="E375" s="6">
        <f>IF(C375="","",C375+D375-1)</f>
        <v/>
      </c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6">
        <f>COUNT(N375,Q375,T375)</f>
        <v/>
      </c>
      <c r="Z375" s="6">
        <f>IF(OR(K375="",NOT(ISNUMBER(K375))),"",K375*SUM(N375,Q375,T375))</f>
        <v/>
      </c>
      <c r="AA375" s="6">
        <f>IF(OR(Y375=0,N375=""),"",N375/Y375)</f>
        <v/>
      </c>
      <c r="AB375" s="6">
        <f>IF(OR(Y375=0,Q375=""),"",Q375/Y375)</f>
        <v/>
      </c>
      <c r="AC375" s="6">
        <f>IF(OR(Y375=0,T375=""),"",T375/Y375)</f>
        <v/>
      </c>
      <c r="AD375" s="6">
        <f>IF(F375="","",IF((IF(AND(Y375=0,NOT(SUMPRODUCT(--ISNUMBER(SEARCH({"棚板","棚","アングル","ｱﾝｸﾞﾙ","使用不可","ケーブル","ｹｰﾌﾞﾙ","PatchPnael","パッチ","引き出し","引出","ブランク","ﾌﾞﾗﾝｸ","マネージ","ﾏﾈｰｼﾞ","PDU","ONU"},$F375&amp;"")))&gt;0),NOT(SUMPRODUCT(--ISNUMBER(SEARCH({"電源オフ","未投入","停止","未使用","撤去"},$X375&amp;"")))&gt;0)),"／電力が未記入","")&amp;IF(AND(NOT(ISNUMBER(J375)),NOT(SUMPRODUCT(--ISNUMBER(SEARCH({"棚板","棚","アングル","ｱﾝｸﾞﾙ","使用不可","ケーブル","ｹｰﾌﾞﾙ","PatchPnael","パッチ","引き出し","引出","ブランク","ﾌﾞﾗﾝｸ","マネージ","ﾏﾈｰｼﾞ","PDU","ONU"},$F375&amp;"")))&gt;0)),"／重量が未記入","")&amp;IF(AND(K375&lt;&gt;"",NOT(ISNUMBER(K375))),"／電圧が数値でない","")&amp;IF(AND(N375&lt;&gt;"",NOT(ISNUMBER(N375))),"／電流が数値でない","")&amp;IF(AND(C375&lt;&gt;"",C375&lt;1),"／開始Uが1未満","")&amp;IF(AND(E375&lt;&gt;"",E375&gt;IFERROR(VLOOKUP(A375,ラック定義!$A:$B,2,FALSE),47)),"／総Uをはみ出す","")&amp;IF(AND(A375&lt;&gt;"",COUNTIF(ラック定義!$A:$A,A375)=0),"／ラックが定義にない","")&amp;IF(AND(SUMPRODUCT((機器台帳!$A$2:$A$400=$A375)*((機器台帳!$B$2:$B$400=$B375)+(機器台帳!$B$2:$B$400="両面")+($B375="両面")&gt;0)*(機器台帳!$C$2:$C$400&lt;=$C375+$D375-1)*(機器台帳!$C$2:$C$400+機器台帳!$D$2:$D$400-1&gt;=$C375)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375&amp;"")))&gt;0)),"／同じUに他の機器(横並びなら正常)","")&amp;IF(AND(M375&lt;&gt;"",COUNTIFS(回路定義!$A:$A,A375,回路定義!$B:$B,M375)=0),"／回路1が定義にない","")&amp;IF(AND(P375&lt;&gt;"",COUNTIFS(回路定義!$A:$A,A375,回路定義!$B:$B,P375)=0),"／回路2が定義にない","")&amp;IF(AND(S375&lt;&gt;"",COUNTIFS(回路定義!$A:$A,A375,回路定義!$B:$B,S375)=0),"／回路3が定義にない",""))="","",MID(IF(AND(Y375=0,NOT(SUMPRODUCT(--ISNUMBER(SEARCH({"棚板","棚","アングル","ｱﾝｸﾞﾙ","使用不可","ケーブル","ｹｰﾌﾞﾙ","PatchPnael","パッチ","引き出し","引出","ブランク","ﾌﾞﾗﾝｸ","マネージ","ﾏﾈｰｼﾞ","PDU","ONU"},$F375&amp;"")))&gt;0),NOT(SUMPRODUCT(--ISNUMBER(SEARCH({"電源オフ","未投入","停止","未使用","撤去"},$X375&amp;"")))&gt;0)),"／電力が未記入","")&amp;IF(AND(NOT(ISNUMBER(J375)),NOT(SUMPRODUCT(--ISNUMBER(SEARCH({"棚板","棚","アングル","ｱﾝｸﾞﾙ","使用不可","ケーブル","ｹｰﾌﾞﾙ","PatchPnael","パッチ","引き出し","引出","ブランク","ﾌﾞﾗﾝｸ","マネージ","ﾏﾈｰｼﾞ","PDU","ONU"},$F375&amp;"")))&gt;0)),"／重量が未記入","")&amp;IF(AND(K375&lt;&gt;"",NOT(ISNUMBER(K375))),"／電圧が数値でない","")&amp;IF(AND(N375&lt;&gt;"",NOT(ISNUMBER(N375))),"／電流が数値でない","")&amp;IF(AND(C375&lt;&gt;"",C375&lt;1),"／開始Uが1未満","")&amp;IF(AND(E375&lt;&gt;"",E375&gt;IFERROR(VLOOKUP(A375,ラック定義!$A:$B,2,FALSE),47)),"／総Uをはみ出す","")&amp;IF(AND(A375&lt;&gt;"",COUNTIF(ラック定義!$A:$A,A375)=0),"／ラックが定義にない","")&amp;IF(AND(SUMPRODUCT((機器台帳!$A$2:$A$400=$A375)*((機器台帳!$B$2:$B$400=$B375)+(機器台帳!$B$2:$B$400="両面")+($B375="両面")&gt;0)*(機器台帳!$C$2:$C$400&lt;=$C375+$D375-1)*(機器台帳!$C$2:$C$400+機器台帳!$D$2:$D$400-1&gt;=$C375)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375&amp;"")))&gt;0)),"／同じUに他の機器(横並びなら正常)","")&amp;IF(AND(M375&lt;&gt;"",COUNTIFS(回路定義!$A:$A,A375,回路定義!$B:$B,M375)=0),"／回路1が定義にない","")&amp;IF(AND(P375&lt;&gt;"",COUNTIFS(回路定義!$A:$A,A375,回路定義!$B:$B,P375)=0),"／回路2が定義にない","")&amp;IF(AND(S375&lt;&gt;"",COUNTIFS(回路定義!$A:$A,A375,回路定義!$B:$B,S375)=0),"／回路3が定義にない",""),2,300)))</f>
        <v/>
      </c>
    </row>
    <row r="376">
      <c r="A376" s="5" t="n"/>
      <c r="B376" s="5" t="n"/>
      <c r="C376" s="5" t="n"/>
      <c r="D376" s="5" t="n"/>
      <c r="E376" s="6">
        <f>IF(C376="","",C376+D376-1)</f>
        <v/>
      </c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6">
        <f>COUNT(N376,Q376,T376)</f>
        <v/>
      </c>
      <c r="Z376" s="6">
        <f>IF(OR(K376="",NOT(ISNUMBER(K376))),"",K376*SUM(N376,Q376,T376))</f>
        <v/>
      </c>
      <c r="AA376" s="6">
        <f>IF(OR(Y376=0,N376=""),"",N376/Y376)</f>
        <v/>
      </c>
      <c r="AB376" s="6">
        <f>IF(OR(Y376=0,Q376=""),"",Q376/Y376)</f>
        <v/>
      </c>
      <c r="AC376" s="6">
        <f>IF(OR(Y376=0,T376=""),"",T376/Y376)</f>
        <v/>
      </c>
      <c r="AD376" s="6">
        <f>IF(F376="","",IF((IF(AND(Y376=0,NOT(SUMPRODUCT(--ISNUMBER(SEARCH({"棚板","棚","アングル","ｱﾝｸﾞﾙ","使用不可","ケーブル","ｹｰﾌﾞﾙ","PatchPnael","パッチ","引き出し","引出","ブランク","ﾌﾞﾗﾝｸ","マネージ","ﾏﾈｰｼﾞ","PDU","ONU"},$F376&amp;"")))&gt;0),NOT(SUMPRODUCT(--ISNUMBER(SEARCH({"電源オフ","未投入","停止","未使用","撤去"},$X376&amp;"")))&gt;0)),"／電力が未記入","")&amp;IF(AND(NOT(ISNUMBER(J376)),NOT(SUMPRODUCT(--ISNUMBER(SEARCH({"棚板","棚","アングル","ｱﾝｸﾞﾙ","使用不可","ケーブル","ｹｰﾌﾞﾙ","PatchPnael","パッチ","引き出し","引出","ブランク","ﾌﾞﾗﾝｸ","マネージ","ﾏﾈｰｼﾞ","PDU","ONU"},$F376&amp;"")))&gt;0)),"／重量が未記入","")&amp;IF(AND(K376&lt;&gt;"",NOT(ISNUMBER(K376))),"／電圧が数値でない","")&amp;IF(AND(N376&lt;&gt;"",NOT(ISNUMBER(N376))),"／電流が数値でない","")&amp;IF(AND(C376&lt;&gt;"",C376&lt;1),"／開始Uが1未満","")&amp;IF(AND(E376&lt;&gt;"",E376&gt;IFERROR(VLOOKUP(A376,ラック定義!$A:$B,2,FALSE),47)),"／総Uをはみ出す","")&amp;IF(AND(A376&lt;&gt;"",COUNTIF(ラック定義!$A:$A,A376)=0),"／ラックが定義にない","")&amp;IF(AND(SUMPRODUCT((機器台帳!$A$2:$A$400=$A376)*((機器台帳!$B$2:$B$400=$B376)+(機器台帳!$B$2:$B$400="両面")+($B376="両面")&gt;0)*(機器台帳!$C$2:$C$400&lt;=$C376+$D376-1)*(機器台帳!$C$2:$C$400+機器台帳!$D$2:$D$400-1&gt;=$C376)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376&amp;"")))&gt;0)),"／同じUに他の機器(横並びなら正常)","")&amp;IF(AND(M376&lt;&gt;"",COUNTIFS(回路定義!$A:$A,A376,回路定義!$B:$B,M376)=0),"／回路1が定義にない","")&amp;IF(AND(P376&lt;&gt;"",COUNTIFS(回路定義!$A:$A,A376,回路定義!$B:$B,P376)=0),"／回路2が定義にない","")&amp;IF(AND(S376&lt;&gt;"",COUNTIFS(回路定義!$A:$A,A376,回路定義!$B:$B,S376)=0),"／回路3が定義にない",""))="","",MID(IF(AND(Y376=0,NOT(SUMPRODUCT(--ISNUMBER(SEARCH({"棚板","棚","アングル","ｱﾝｸﾞﾙ","使用不可","ケーブル","ｹｰﾌﾞﾙ","PatchPnael","パッチ","引き出し","引出","ブランク","ﾌﾞﾗﾝｸ","マネージ","ﾏﾈｰｼﾞ","PDU","ONU"},$F376&amp;"")))&gt;0),NOT(SUMPRODUCT(--ISNUMBER(SEARCH({"電源オフ","未投入","停止","未使用","撤去"},$X376&amp;"")))&gt;0)),"／電力が未記入","")&amp;IF(AND(NOT(ISNUMBER(J376)),NOT(SUMPRODUCT(--ISNUMBER(SEARCH({"棚板","棚","アングル","ｱﾝｸﾞﾙ","使用不可","ケーブル","ｹｰﾌﾞﾙ","PatchPnael","パッチ","引き出し","引出","ブランク","ﾌﾞﾗﾝｸ","マネージ","ﾏﾈｰｼﾞ","PDU","ONU"},$F376&amp;"")))&gt;0)),"／重量が未記入","")&amp;IF(AND(K376&lt;&gt;"",NOT(ISNUMBER(K376))),"／電圧が数値でない","")&amp;IF(AND(N376&lt;&gt;"",NOT(ISNUMBER(N376))),"／電流が数値でない","")&amp;IF(AND(C376&lt;&gt;"",C376&lt;1),"／開始Uが1未満","")&amp;IF(AND(E376&lt;&gt;"",E376&gt;IFERROR(VLOOKUP(A376,ラック定義!$A:$B,2,FALSE),47)),"／総Uをはみ出す","")&amp;IF(AND(A376&lt;&gt;"",COUNTIF(ラック定義!$A:$A,A376)=0),"／ラックが定義にない","")&amp;IF(AND(SUMPRODUCT((機器台帳!$A$2:$A$400=$A376)*((機器台帳!$B$2:$B$400=$B376)+(機器台帳!$B$2:$B$400="両面")+($B376="両面")&gt;0)*(機器台帳!$C$2:$C$400&lt;=$C376+$D376-1)*(機器台帳!$C$2:$C$400+機器台帳!$D$2:$D$400-1&gt;=$C376)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376&amp;"")))&gt;0)),"／同じUに他の機器(横並びなら正常)","")&amp;IF(AND(M376&lt;&gt;"",COUNTIFS(回路定義!$A:$A,A376,回路定義!$B:$B,M376)=0),"／回路1が定義にない","")&amp;IF(AND(P376&lt;&gt;"",COUNTIFS(回路定義!$A:$A,A376,回路定義!$B:$B,P376)=0),"／回路2が定義にない","")&amp;IF(AND(S376&lt;&gt;"",COUNTIFS(回路定義!$A:$A,A376,回路定義!$B:$B,S376)=0),"／回路3が定義にない",""),2,300)))</f>
        <v/>
      </c>
    </row>
    <row r="377">
      <c r="A377" s="5" t="n"/>
      <c r="B377" s="5" t="n"/>
      <c r="C377" s="5" t="n"/>
      <c r="D377" s="5" t="n"/>
      <c r="E377" s="6">
        <f>IF(C377="","",C377+D377-1)</f>
        <v/>
      </c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6">
        <f>COUNT(N377,Q377,T377)</f>
        <v/>
      </c>
      <c r="Z377" s="6">
        <f>IF(OR(K377="",NOT(ISNUMBER(K377))),"",K377*SUM(N377,Q377,T377))</f>
        <v/>
      </c>
      <c r="AA377" s="6">
        <f>IF(OR(Y377=0,N377=""),"",N377/Y377)</f>
        <v/>
      </c>
      <c r="AB377" s="6">
        <f>IF(OR(Y377=0,Q377=""),"",Q377/Y377)</f>
        <v/>
      </c>
      <c r="AC377" s="6">
        <f>IF(OR(Y377=0,T377=""),"",T377/Y377)</f>
        <v/>
      </c>
      <c r="AD377" s="6">
        <f>IF(F377="","",IF((IF(AND(Y377=0,NOT(SUMPRODUCT(--ISNUMBER(SEARCH({"棚板","棚","アングル","ｱﾝｸﾞﾙ","使用不可","ケーブル","ｹｰﾌﾞﾙ","PatchPnael","パッチ","引き出し","引出","ブランク","ﾌﾞﾗﾝｸ","マネージ","ﾏﾈｰｼﾞ","PDU","ONU"},$F377&amp;"")))&gt;0),NOT(SUMPRODUCT(--ISNUMBER(SEARCH({"電源オフ","未投入","停止","未使用","撤去"},$X377&amp;"")))&gt;0)),"／電力が未記入","")&amp;IF(AND(NOT(ISNUMBER(J377)),NOT(SUMPRODUCT(--ISNUMBER(SEARCH({"棚板","棚","アングル","ｱﾝｸﾞﾙ","使用不可","ケーブル","ｹｰﾌﾞﾙ","PatchPnael","パッチ","引き出し","引出","ブランク","ﾌﾞﾗﾝｸ","マネージ","ﾏﾈｰｼﾞ","PDU","ONU"},$F377&amp;"")))&gt;0)),"／重量が未記入","")&amp;IF(AND(K377&lt;&gt;"",NOT(ISNUMBER(K377))),"／電圧が数値でない","")&amp;IF(AND(N377&lt;&gt;"",NOT(ISNUMBER(N377))),"／電流が数値でない","")&amp;IF(AND(C377&lt;&gt;"",C377&lt;1),"／開始Uが1未満","")&amp;IF(AND(E377&lt;&gt;"",E377&gt;IFERROR(VLOOKUP(A377,ラック定義!$A:$B,2,FALSE),47)),"／総Uをはみ出す","")&amp;IF(AND(A377&lt;&gt;"",COUNTIF(ラック定義!$A:$A,A377)=0),"／ラックが定義にない","")&amp;IF(AND(SUMPRODUCT((機器台帳!$A$2:$A$400=$A377)*((機器台帳!$B$2:$B$400=$B377)+(機器台帳!$B$2:$B$400="両面")+($B377="両面")&gt;0)*(機器台帳!$C$2:$C$400&lt;=$C377+$D377-1)*(機器台帳!$C$2:$C$400+機器台帳!$D$2:$D$400-1&gt;=$C377)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377&amp;"")))&gt;0)),"／同じUに他の機器(横並びなら正常)","")&amp;IF(AND(M377&lt;&gt;"",COUNTIFS(回路定義!$A:$A,A377,回路定義!$B:$B,M377)=0),"／回路1が定義にない","")&amp;IF(AND(P377&lt;&gt;"",COUNTIFS(回路定義!$A:$A,A377,回路定義!$B:$B,P377)=0),"／回路2が定義にない","")&amp;IF(AND(S377&lt;&gt;"",COUNTIFS(回路定義!$A:$A,A377,回路定義!$B:$B,S377)=0),"／回路3が定義にない",""))="","",MID(IF(AND(Y377=0,NOT(SUMPRODUCT(--ISNUMBER(SEARCH({"棚板","棚","アングル","ｱﾝｸﾞﾙ","使用不可","ケーブル","ｹｰﾌﾞﾙ","PatchPnael","パッチ","引き出し","引出","ブランク","ﾌﾞﾗﾝｸ","マネージ","ﾏﾈｰｼﾞ","PDU","ONU"},$F377&amp;"")))&gt;0),NOT(SUMPRODUCT(--ISNUMBER(SEARCH({"電源オフ","未投入","停止","未使用","撤去"},$X377&amp;"")))&gt;0)),"／電力が未記入","")&amp;IF(AND(NOT(ISNUMBER(J377)),NOT(SUMPRODUCT(--ISNUMBER(SEARCH({"棚板","棚","アングル","ｱﾝｸﾞﾙ","使用不可","ケーブル","ｹｰﾌﾞﾙ","PatchPnael","パッチ","引き出し","引出","ブランク","ﾌﾞﾗﾝｸ","マネージ","ﾏﾈｰｼﾞ","PDU","ONU"},$F377&amp;"")))&gt;0)),"／重量が未記入","")&amp;IF(AND(K377&lt;&gt;"",NOT(ISNUMBER(K377))),"／電圧が数値でない","")&amp;IF(AND(N377&lt;&gt;"",NOT(ISNUMBER(N377))),"／電流が数値でない","")&amp;IF(AND(C377&lt;&gt;"",C377&lt;1),"／開始Uが1未満","")&amp;IF(AND(E377&lt;&gt;"",E377&gt;IFERROR(VLOOKUP(A377,ラック定義!$A:$B,2,FALSE),47)),"／総Uをはみ出す","")&amp;IF(AND(A377&lt;&gt;"",COUNTIF(ラック定義!$A:$A,A377)=0),"／ラックが定義にない","")&amp;IF(AND(SUMPRODUCT((機器台帳!$A$2:$A$400=$A377)*((機器台帳!$B$2:$B$400=$B377)+(機器台帳!$B$2:$B$400="両面")+($B377="両面")&gt;0)*(機器台帳!$C$2:$C$400&lt;=$C377+$D377-1)*(機器台帳!$C$2:$C$400+機器台帳!$D$2:$D$400-1&gt;=$C377)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377&amp;"")))&gt;0)),"／同じUに他の機器(横並びなら正常)","")&amp;IF(AND(M377&lt;&gt;"",COUNTIFS(回路定義!$A:$A,A377,回路定義!$B:$B,M377)=0),"／回路1が定義にない","")&amp;IF(AND(P377&lt;&gt;"",COUNTIFS(回路定義!$A:$A,A377,回路定義!$B:$B,P377)=0),"／回路2が定義にない","")&amp;IF(AND(S377&lt;&gt;"",COUNTIFS(回路定義!$A:$A,A377,回路定義!$B:$B,S377)=0),"／回路3が定義にない",""),2,300)))</f>
        <v/>
      </c>
    </row>
    <row r="378">
      <c r="A378" s="5" t="n"/>
      <c r="B378" s="5" t="n"/>
      <c r="C378" s="5" t="n"/>
      <c r="D378" s="5" t="n"/>
      <c r="E378" s="6">
        <f>IF(C378="","",C378+D378-1)</f>
        <v/>
      </c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6">
        <f>COUNT(N378,Q378,T378)</f>
        <v/>
      </c>
      <c r="Z378" s="6">
        <f>IF(OR(K378="",NOT(ISNUMBER(K378))),"",K378*SUM(N378,Q378,T378))</f>
        <v/>
      </c>
      <c r="AA378" s="6">
        <f>IF(OR(Y378=0,N378=""),"",N378/Y378)</f>
        <v/>
      </c>
      <c r="AB378" s="6">
        <f>IF(OR(Y378=0,Q378=""),"",Q378/Y378)</f>
        <v/>
      </c>
      <c r="AC378" s="6">
        <f>IF(OR(Y378=0,T378=""),"",T378/Y378)</f>
        <v/>
      </c>
      <c r="AD378" s="6">
        <f>IF(F378="","",IF((IF(AND(Y378=0,NOT(SUMPRODUCT(--ISNUMBER(SEARCH({"棚板","棚","アングル","ｱﾝｸﾞﾙ","使用不可","ケーブル","ｹｰﾌﾞﾙ","PatchPnael","パッチ","引き出し","引出","ブランク","ﾌﾞﾗﾝｸ","マネージ","ﾏﾈｰｼﾞ","PDU","ONU"},$F378&amp;"")))&gt;0),NOT(SUMPRODUCT(--ISNUMBER(SEARCH({"電源オフ","未投入","停止","未使用","撤去"},$X378&amp;"")))&gt;0)),"／電力が未記入","")&amp;IF(AND(NOT(ISNUMBER(J378)),NOT(SUMPRODUCT(--ISNUMBER(SEARCH({"棚板","棚","アングル","ｱﾝｸﾞﾙ","使用不可","ケーブル","ｹｰﾌﾞﾙ","PatchPnael","パッチ","引き出し","引出","ブランク","ﾌﾞﾗﾝｸ","マネージ","ﾏﾈｰｼﾞ","PDU","ONU"},$F378&amp;"")))&gt;0)),"／重量が未記入","")&amp;IF(AND(K378&lt;&gt;"",NOT(ISNUMBER(K378))),"／電圧が数値でない","")&amp;IF(AND(N378&lt;&gt;"",NOT(ISNUMBER(N378))),"／電流が数値でない","")&amp;IF(AND(C378&lt;&gt;"",C378&lt;1),"／開始Uが1未満","")&amp;IF(AND(E378&lt;&gt;"",E378&gt;IFERROR(VLOOKUP(A378,ラック定義!$A:$B,2,FALSE),47)),"／総Uをはみ出す","")&amp;IF(AND(A378&lt;&gt;"",COUNTIF(ラック定義!$A:$A,A378)=0),"／ラックが定義にない","")&amp;IF(AND(SUMPRODUCT((機器台帳!$A$2:$A$400=$A378)*((機器台帳!$B$2:$B$400=$B378)+(機器台帳!$B$2:$B$400="両面")+($B378="両面")&gt;0)*(機器台帳!$C$2:$C$400&lt;=$C378+$D378-1)*(機器台帳!$C$2:$C$400+機器台帳!$D$2:$D$400-1&gt;=$C378)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378&amp;"")))&gt;0)),"／同じUに他の機器(横並びなら正常)","")&amp;IF(AND(M378&lt;&gt;"",COUNTIFS(回路定義!$A:$A,A378,回路定義!$B:$B,M378)=0),"／回路1が定義にない","")&amp;IF(AND(P378&lt;&gt;"",COUNTIFS(回路定義!$A:$A,A378,回路定義!$B:$B,P378)=0),"／回路2が定義にない","")&amp;IF(AND(S378&lt;&gt;"",COUNTIFS(回路定義!$A:$A,A378,回路定義!$B:$B,S378)=0),"／回路3が定義にない",""))="","",MID(IF(AND(Y378=0,NOT(SUMPRODUCT(--ISNUMBER(SEARCH({"棚板","棚","アングル","ｱﾝｸﾞﾙ","使用不可","ケーブル","ｹｰﾌﾞﾙ","PatchPnael","パッチ","引き出し","引出","ブランク","ﾌﾞﾗﾝｸ","マネージ","ﾏﾈｰｼﾞ","PDU","ONU"},$F378&amp;"")))&gt;0),NOT(SUMPRODUCT(--ISNUMBER(SEARCH({"電源オフ","未投入","停止","未使用","撤去"},$X378&amp;"")))&gt;0)),"／電力が未記入","")&amp;IF(AND(NOT(ISNUMBER(J378)),NOT(SUMPRODUCT(--ISNUMBER(SEARCH({"棚板","棚","アングル","ｱﾝｸﾞﾙ","使用不可","ケーブル","ｹｰﾌﾞﾙ","PatchPnael","パッチ","引き出し","引出","ブランク","ﾌﾞﾗﾝｸ","マネージ","ﾏﾈｰｼﾞ","PDU","ONU"},$F378&amp;"")))&gt;0)),"／重量が未記入","")&amp;IF(AND(K378&lt;&gt;"",NOT(ISNUMBER(K378))),"／電圧が数値でない","")&amp;IF(AND(N378&lt;&gt;"",NOT(ISNUMBER(N378))),"／電流が数値でない","")&amp;IF(AND(C378&lt;&gt;"",C378&lt;1),"／開始Uが1未満","")&amp;IF(AND(E378&lt;&gt;"",E378&gt;IFERROR(VLOOKUP(A378,ラック定義!$A:$B,2,FALSE),47)),"／総Uをはみ出す","")&amp;IF(AND(A378&lt;&gt;"",COUNTIF(ラック定義!$A:$A,A378)=0),"／ラックが定義にない","")&amp;IF(AND(SUMPRODUCT((機器台帳!$A$2:$A$400=$A378)*((機器台帳!$B$2:$B$400=$B378)+(機器台帳!$B$2:$B$400="両面")+($B378="両面")&gt;0)*(機器台帳!$C$2:$C$400&lt;=$C378+$D378-1)*(機器台帳!$C$2:$C$400+機器台帳!$D$2:$D$400-1&gt;=$C378)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378&amp;"")))&gt;0)),"／同じUに他の機器(横並びなら正常)","")&amp;IF(AND(M378&lt;&gt;"",COUNTIFS(回路定義!$A:$A,A378,回路定義!$B:$B,M378)=0),"／回路1が定義にない","")&amp;IF(AND(P378&lt;&gt;"",COUNTIFS(回路定義!$A:$A,A378,回路定義!$B:$B,P378)=0),"／回路2が定義にない","")&amp;IF(AND(S378&lt;&gt;"",COUNTIFS(回路定義!$A:$A,A378,回路定義!$B:$B,S378)=0),"／回路3が定義にない",""),2,300)))</f>
        <v/>
      </c>
    </row>
    <row r="379">
      <c r="A379" s="5" t="n"/>
      <c r="B379" s="5" t="n"/>
      <c r="C379" s="5" t="n"/>
      <c r="D379" s="5" t="n"/>
      <c r="E379" s="6">
        <f>IF(C379="","",C379+D379-1)</f>
        <v/>
      </c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6">
        <f>COUNT(N379,Q379,T379)</f>
        <v/>
      </c>
      <c r="Z379" s="6">
        <f>IF(OR(K379="",NOT(ISNUMBER(K379))),"",K379*SUM(N379,Q379,T379))</f>
        <v/>
      </c>
      <c r="AA379" s="6">
        <f>IF(OR(Y379=0,N379=""),"",N379/Y379)</f>
        <v/>
      </c>
      <c r="AB379" s="6">
        <f>IF(OR(Y379=0,Q379=""),"",Q379/Y379)</f>
        <v/>
      </c>
      <c r="AC379" s="6">
        <f>IF(OR(Y379=0,T379=""),"",T379/Y379)</f>
        <v/>
      </c>
      <c r="AD379" s="6">
        <f>IF(F379="","",IF((IF(AND(Y379=0,NOT(SUMPRODUCT(--ISNUMBER(SEARCH({"棚板","棚","アングル","ｱﾝｸﾞﾙ","使用不可","ケーブル","ｹｰﾌﾞﾙ","PatchPnael","パッチ","引き出し","引出","ブランク","ﾌﾞﾗﾝｸ","マネージ","ﾏﾈｰｼﾞ","PDU","ONU"},$F379&amp;"")))&gt;0),NOT(SUMPRODUCT(--ISNUMBER(SEARCH({"電源オフ","未投入","停止","未使用","撤去"},$X379&amp;"")))&gt;0)),"／電力が未記入","")&amp;IF(AND(NOT(ISNUMBER(J379)),NOT(SUMPRODUCT(--ISNUMBER(SEARCH({"棚板","棚","アングル","ｱﾝｸﾞﾙ","使用不可","ケーブル","ｹｰﾌﾞﾙ","PatchPnael","パッチ","引き出し","引出","ブランク","ﾌﾞﾗﾝｸ","マネージ","ﾏﾈｰｼﾞ","PDU","ONU"},$F379&amp;"")))&gt;0)),"／重量が未記入","")&amp;IF(AND(K379&lt;&gt;"",NOT(ISNUMBER(K379))),"／電圧が数値でない","")&amp;IF(AND(N379&lt;&gt;"",NOT(ISNUMBER(N379))),"／電流が数値でない","")&amp;IF(AND(C379&lt;&gt;"",C379&lt;1),"／開始Uが1未満","")&amp;IF(AND(E379&lt;&gt;"",E379&gt;IFERROR(VLOOKUP(A379,ラック定義!$A:$B,2,FALSE),47)),"／総Uをはみ出す","")&amp;IF(AND(A379&lt;&gt;"",COUNTIF(ラック定義!$A:$A,A379)=0),"／ラックが定義にない","")&amp;IF(AND(SUMPRODUCT((機器台帳!$A$2:$A$400=$A379)*((機器台帳!$B$2:$B$400=$B379)+(機器台帳!$B$2:$B$400="両面")+($B379="両面")&gt;0)*(機器台帳!$C$2:$C$400&lt;=$C379+$D379-1)*(機器台帳!$C$2:$C$400+機器台帳!$D$2:$D$400-1&gt;=$C379)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379&amp;"")))&gt;0)),"／同じUに他の機器(横並びなら正常)","")&amp;IF(AND(M379&lt;&gt;"",COUNTIFS(回路定義!$A:$A,A379,回路定義!$B:$B,M379)=0),"／回路1が定義にない","")&amp;IF(AND(P379&lt;&gt;"",COUNTIFS(回路定義!$A:$A,A379,回路定義!$B:$B,P379)=0),"／回路2が定義にない","")&amp;IF(AND(S379&lt;&gt;"",COUNTIFS(回路定義!$A:$A,A379,回路定義!$B:$B,S379)=0),"／回路3が定義にない",""))="","",MID(IF(AND(Y379=0,NOT(SUMPRODUCT(--ISNUMBER(SEARCH({"棚板","棚","アングル","ｱﾝｸﾞﾙ","使用不可","ケーブル","ｹｰﾌﾞﾙ","PatchPnael","パッチ","引き出し","引出","ブランク","ﾌﾞﾗﾝｸ","マネージ","ﾏﾈｰｼﾞ","PDU","ONU"},$F379&amp;"")))&gt;0),NOT(SUMPRODUCT(--ISNUMBER(SEARCH({"電源オフ","未投入","停止","未使用","撤去"},$X379&amp;"")))&gt;0)),"／電力が未記入","")&amp;IF(AND(NOT(ISNUMBER(J379)),NOT(SUMPRODUCT(--ISNUMBER(SEARCH({"棚板","棚","アングル","ｱﾝｸﾞﾙ","使用不可","ケーブル","ｹｰﾌﾞﾙ","PatchPnael","パッチ","引き出し","引出","ブランク","ﾌﾞﾗﾝｸ","マネージ","ﾏﾈｰｼﾞ","PDU","ONU"},$F379&amp;"")))&gt;0)),"／重量が未記入","")&amp;IF(AND(K379&lt;&gt;"",NOT(ISNUMBER(K379))),"／電圧が数値でない","")&amp;IF(AND(N379&lt;&gt;"",NOT(ISNUMBER(N379))),"／電流が数値でない","")&amp;IF(AND(C379&lt;&gt;"",C379&lt;1),"／開始Uが1未満","")&amp;IF(AND(E379&lt;&gt;"",E379&gt;IFERROR(VLOOKUP(A379,ラック定義!$A:$B,2,FALSE),47)),"／総Uをはみ出す","")&amp;IF(AND(A379&lt;&gt;"",COUNTIF(ラック定義!$A:$A,A379)=0),"／ラックが定義にない","")&amp;IF(AND(SUMPRODUCT((機器台帳!$A$2:$A$400=$A379)*((機器台帳!$B$2:$B$400=$B379)+(機器台帳!$B$2:$B$400="両面")+($B379="両面")&gt;0)*(機器台帳!$C$2:$C$400&lt;=$C379+$D379-1)*(機器台帳!$C$2:$C$400+機器台帳!$D$2:$D$400-1&gt;=$C379)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379&amp;"")))&gt;0)),"／同じUに他の機器(横並びなら正常)","")&amp;IF(AND(M379&lt;&gt;"",COUNTIFS(回路定義!$A:$A,A379,回路定義!$B:$B,M379)=0),"／回路1が定義にない","")&amp;IF(AND(P379&lt;&gt;"",COUNTIFS(回路定義!$A:$A,A379,回路定義!$B:$B,P379)=0),"／回路2が定義にない","")&amp;IF(AND(S379&lt;&gt;"",COUNTIFS(回路定義!$A:$A,A379,回路定義!$B:$B,S379)=0),"／回路3が定義にない",""),2,300)))</f>
        <v/>
      </c>
    </row>
    <row r="380">
      <c r="A380" s="5" t="n"/>
      <c r="B380" s="5" t="n"/>
      <c r="C380" s="5" t="n"/>
      <c r="D380" s="5" t="n"/>
      <c r="E380" s="6">
        <f>IF(C380="","",C380+D380-1)</f>
        <v/>
      </c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6">
        <f>COUNT(N380,Q380,T380)</f>
        <v/>
      </c>
      <c r="Z380" s="6">
        <f>IF(OR(K380="",NOT(ISNUMBER(K380))),"",K380*SUM(N380,Q380,T380))</f>
        <v/>
      </c>
      <c r="AA380" s="6">
        <f>IF(OR(Y380=0,N380=""),"",N380/Y380)</f>
        <v/>
      </c>
      <c r="AB380" s="6">
        <f>IF(OR(Y380=0,Q380=""),"",Q380/Y380)</f>
        <v/>
      </c>
      <c r="AC380" s="6">
        <f>IF(OR(Y380=0,T380=""),"",T380/Y380)</f>
        <v/>
      </c>
      <c r="AD380" s="6">
        <f>IF(F380="","",IF((IF(AND(Y380=0,NOT(SUMPRODUCT(--ISNUMBER(SEARCH({"棚板","棚","アングル","ｱﾝｸﾞﾙ","使用不可","ケーブル","ｹｰﾌﾞﾙ","PatchPnael","パッチ","引き出し","引出","ブランク","ﾌﾞﾗﾝｸ","マネージ","ﾏﾈｰｼﾞ","PDU","ONU"},$F380&amp;"")))&gt;0),NOT(SUMPRODUCT(--ISNUMBER(SEARCH({"電源オフ","未投入","停止","未使用","撤去"},$X380&amp;"")))&gt;0)),"／電力が未記入","")&amp;IF(AND(NOT(ISNUMBER(J380)),NOT(SUMPRODUCT(--ISNUMBER(SEARCH({"棚板","棚","アングル","ｱﾝｸﾞﾙ","使用不可","ケーブル","ｹｰﾌﾞﾙ","PatchPnael","パッチ","引き出し","引出","ブランク","ﾌﾞﾗﾝｸ","マネージ","ﾏﾈｰｼﾞ","PDU","ONU"},$F380&amp;"")))&gt;0)),"／重量が未記入","")&amp;IF(AND(K380&lt;&gt;"",NOT(ISNUMBER(K380))),"／電圧が数値でない","")&amp;IF(AND(N380&lt;&gt;"",NOT(ISNUMBER(N380))),"／電流が数値でない","")&amp;IF(AND(C380&lt;&gt;"",C380&lt;1),"／開始Uが1未満","")&amp;IF(AND(E380&lt;&gt;"",E380&gt;IFERROR(VLOOKUP(A380,ラック定義!$A:$B,2,FALSE),47)),"／総Uをはみ出す","")&amp;IF(AND(A380&lt;&gt;"",COUNTIF(ラック定義!$A:$A,A380)=0),"／ラックが定義にない","")&amp;IF(AND(SUMPRODUCT((機器台帳!$A$2:$A$400=$A380)*((機器台帳!$B$2:$B$400=$B380)+(機器台帳!$B$2:$B$400="両面")+($B380="両面")&gt;0)*(機器台帳!$C$2:$C$400&lt;=$C380+$D380-1)*(機器台帳!$C$2:$C$400+機器台帳!$D$2:$D$400-1&gt;=$C380)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380&amp;"")))&gt;0)),"／同じUに他の機器(横並びなら正常)","")&amp;IF(AND(M380&lt;&gt;"",COUNTIFS(回路定義!$A:$A,A380,回路定義!$B:$B,M380)=0),"／回路1が定義にない","")&amp;IF(AND(P380&lt;&gt;"",COUNTIFS(回路定義!$A:$A,A380,回路定義!$B:$B,P380)=0),"／回路2が定義にない","")&amp;IF(AND(S380&lt;&gt;"",COUNTIFS(回路定義!$A:$A,A380,回路定義!$B:$B,S380)=0),"／回路3が定義にない",""))="","",MID(IF(AND(Y380=0,NOT(SUMPRODUCT(--ISNUMBER(SEARCH({"棚板","棚","アングル","ｱﾝｸﾞﾙ","使用不可","ケーブル","ｹｰﾌﾞﾙ","PatchPnael","パッチ","引き出し","引出","ブランク","ﾌﾞﾗﾝｸ","マネージ","ﾏﾈｰｼﾞ","PDU","ONU"},$F380&amp;"")))&gt;0),NOT(SUMPRODUCT(--ISNUMBER(SEARCH({"電源オフ","未投入","停止","未使用","撤去"},$X380&amp;"")))&gt;0)),"／電力が未記入","")&amp;IF(AND(NOT(ISNUMBER(J380)),NOT(SUMPRODUCT(--ISNUMBER(SEARCH({"棚板","棚","アングル","ｱﾝｸﾞﾙ","使用不可","ケーブル","ｹｰﾌﾞﾙ","PatchPnael","パッチ","引き出し","引出","ブランク","ﾌﾞﾗﾝｸ","マネージ","ﾏﾈｰｼﾞ","PDU","ONU"},$F380&amp;"")))&gt;0)),"／重量が未記入","")&amp;IF(AND(K380&lt;&gt;"",NOT(ISNUMBER(K380))),"／電圧が数値でない","")&amp;IF(AND(N380&lt;&gt;"",NOT(ISNUMBER(N380))),"／電流が数値でない","")&amp;IF(AND(C380&lt;&gt;"",C380&lt;1),"／開始Uが1未満","")&amp;IF(AND(E380&lt;&gt;"",E380&gt;IFERROR(VLOOKUP(A380,ラック定義!$A:$B,2,FALSE),47)),"／総Uをはみ出す","")&amp;IF(AND(A380&lt;&gt;"",COUNTIF(ラック定義!$A:$A,A380)=0),"／ラックが定義にない","")&amp;IF(AND(SUMPRODUCT((機器台帳!$A$2:$A$400=$A380)*((機器台帳!$B$2:$B$400=$B380)+(機器台帳!$B$2:$B$400="両面")+($B380="両面")&gt;0)*(機器台帳!$C$2:$C$400&lt;=$C380+$D380-1)*(機器台帳!$C$2:$C$400+機器台帳!$D$2:$D$400-1&gt;=$C380)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380&amp;"")))&gt;0)),"／同じUに他の機器(横並びなら正常)","")&amp;IF(AND(M380&lt;&gt;"",COUNTIFS(回路定義!$A:$A,A380,回路定義!$B:$B,M380)=0),"／回路1が定義にない","")&amp;IF(AND(P380&lt;&gt;"",COUNTIFS(回路定義!$A:$A,A380,回路定義!$B:$B,P380)=0),"／回路2が定義にない","")&amp;IF(AND(S380&lt;&gt;"",COUNTIFS(回路定義!$A:$A,A380,回路定義!$B:$B,S380)=0),"／回路3が定義にない",""),2,300)))</f>
        <v/>
      </c>
    </row>
    <row r="381">
      <c r="A381" s="5" t="n"/>
      <c r="B381" s="5" t="n"/>
      <c r="C381" s="5" t="n"/>
      <c r="D381" s="5" t="n"/>
      <c r="E381" s="6">
        <f>IF(C381="","",C381+D381-1)</f>
        <v/>
      </c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6">
        <f>COUNT(N381,Q381,T381)</f>
        <v/>
      </c>
      <c r="Z381" s="6">
        <f>IF(OR(K381="",NOT(ISNUMBER(K381))),"",K381*SUM(N381,Q381,T381))</f>
        <v/>
      </c>
      <c r="AA381" s="6">
        <f>IF(OR(Y381=0,N381=""),"",N381/Y381)</f>
        <v/>
      </c>
      <c r="AB381" s="6">
        <f>IF(OR(Y381=0,Q381=""),"",Q381/Y381)</f>
        <v/>
      </c>
      <c r="AC381" s="6">
        <f>IF(OR(Y381=0,T381=""),"",T381/Y381)</f>
        <v/>
      </c>
      <c r="AD381" s="6">
        <f>IF(F381="","",IF((IF(AND(Y381=0,NOT(SUMPRODUCT(--ISNUMBER(SEARCH({"棚板","棚","アングル","ｱﾝｸﾞﾙ","使用不可","ケーブル","ｹｰﾌﾞﾙ","PatchPnael","パッチ","引き出し","引出","ブランク","ﾌﾞﾗﾝｸ","マネージ","ﾏﾈｰｼﾞ","PDU","ONU"},$F381&amp;"")))&gt;0),NOT(SUMPRODUCT(--ISNUMBER(SEARCH({"電源オフ","未投入","停止","未使用","撤去"},$X381&amp;"")))&gt;0)),"／電力が未記入","")&amp;IF(AND(NOT(ISNUMBER(J381)),NOT(SUMPRODUCT(--ISNUMBER(SEARCH({"棚板","棚","アングル","ｱﾝｸﾞﾙ","使用不可","ケーブル","ｹｰﾌﾞﾙ","PatchPnael","パッチ","引き出し","引出","ブランク","ﾌﾞﾗﾝｸ","マネージ","ﾏﾈｰｼﾞ","PDU","ONU"},$F381&amp;"")))&gt;0)),"／重量が未記入","")&amp;IF(AND(K381&lt;&gt;"",NOT(ISNUMBER(K381))),"／電圧が数値でない","")&amp;IF(AND(N381&lt;&gt;"",NOT(ISNUMBER(N381))),"／電流が数値でない","")&amp;IF(AND(C381&lt;&gt;"",C381&lt;1),"／開始Uが1未満","")&amp;IF(AND(E381&lt;&gt;"",E381&gt;IFERROR(VLOOKUP(A381,ラック定義!$A:$B,2,FALSE),47)),"／総Uをはみ出す","")&amp;IF(AND(A381&lt;&gt;"",COUNTIF(ラック定義!$A:$A,A381)=0),"／ラックが定義にない","")&amp;IF(AND(SUMPRODUCT((機器台帳!$A$2:$A$400=$A381)*((機器台帳!$B$2:$B$400=$B381)+(機器台帳!$B$2:$B$400="両面")+($B381="両面")&gt;0)*(機器台帳!$C$2:$C$400&lt;=$C381+$D381-1)*(機器台帳!$C$2:$C$400+機器台帳!$D$2:$D$400-1&gt;=$C381)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381&amp;"")))&gt;0)),"／同じUに他の機器(横並びなら正常)","")&amp;IF(AND(M381&lt;&gt;"",COUNTIFS(回路定義!$A:$A,A381,回路定義!$B:$B,M381)=0),"／回路1が定義にない","")&amp;IF(AND(P381&lt;&gt;"",COUNTIFS(回路定義!$A:$A,A381,回路定義!$B:$B,P381)=0),"／回路2が定義にない","")&amp;IF(AND(S381&lt;&gt;"",COUNTIFS(回路定義!$A:$A,A381,回路定義!$B:$B,S381)=0),"／回路3が定義にない",""))="","",MID(IF(AND(Y381=0,NOT(SUMPRODUCT(--ISNUMBER(SEARCH({"棚板","棚","アングル","ｱﾝｸﾞﾙ","使用不可","ケーブル","ｹｰﾌﾞﾙ","PatchPnael","パッチ","引き出し","引出","ブランク","ﾌﾞﾗﾝｸ","マネージ","ﾏﾈｰｼﾞ","PDU","ONU"},$F381&amp;"")))&gt;0),NOT(SUMPRODUCT(--ISNUMBER(SEARCH({"電源オフ","未投入","停止","未使用","撤去"},$X381&amp;"")))&gt;0)),"／電力が未記入","")&amp;IF(AND(NOT(ISNUMBER(J381)),NOT(SUMPRODUCT(--ISNUMBER(SEARCH({"棚板","棚","アングル","ｱﾝｸﾞﾙ","使用不可","ケーブル","ｹｰﾌﾞﾙ","PatchPnael","パッチ","引き出し","引出","ブランク","ﾌﾞﾗﾝｸ","マネージ","ﾏﾈｰｼﾞ","PDU","ONU"},$F381&amp;"")))&gt;0)),"／重量が未記入","")&amp;IF(AND(K381&lt;&gt;"",NOT(ISNUMBER(K381))),"／電圧が数値でない","")&amp;IF(AND(N381&lt;&gt;"",NOT(ISNUMBER(N381))),"／電流が数値でない","")&amp;IF(AND(C381&lt;&gt;"",C381&lt;1),"／開始Uが1未満","")&amp;IF(AND(E381&lt;&gt;"",E381&gt;IFERROR(VLOOKUP(A381,ラック定義!$A:$B,2,FALSE),47)),"／総Uをはみ出す","")&amp;IF(AND(A381&lt;&gt;"",COUNTIF(ラック定義!$A:$A,A381)=0),"／ラックが定義にない","")&amp;IF(AND(SUMPRODUCT((機器台帳!$A$2:$A$400=$A381)*((機器台帳!$B$2:$B$400=$B381)+(機器台帳!$B$2:$B$400="両面")+($B381="両面")&gt;0)*(機器台帳!$C$2:$C$400&lt;=$C381+$D381-1)*(機器台帳!$C$2:$C$400+機器台帳!$D$2:$D$400-1&gt;=$C381)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381&amp;"")))&gt;0)),"／同じUに他の機器(横並びなら正常)","")&amp;IF(AND(M381&lt;&gt;"",COUNTIFS(回路定義!$A:$A,A381,回路定義!$B:$B,M381)=0),"／回路1が定義にない","")&amp;IF(AND(P381&lt;&gt;"",COUNTIFS(回路定義!$A:$A,A381,回路定義!$B:$B,P381)=0),"／回路2が定義にない","")&amp;IF(AND(S381&lt;&gt;"",COUNTIFS(回路定義!$A:$A,A381,回路定義!$B:$B,S381)=0),"／回路3が定義にない",""),2,300)))</f>
        <v/>
      </c>
    </row>
    <row r="382">
      <c r="A382" s="5" t="n"/>
      <c r="B382" s="5" t="n"/>
      <c r="C382" s="5" t="n"/>
      <c r="D382" s="5" t="n"/>
      <c r="E382" s="6">
        <f>IF(C382="","",C382+D382-1)</f>
        <v/>
      </c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6">
        <f>COUNT(N382,Q382,T382)</f>
        <v/>
      </c>
      <c r="Z382" s="6">
        <f>IF(OR(K382="",NOT(ISNUMBER(K382))),"",K382*SUM(N382,Q382,T382))</f>
        <v/>
      </c>
      <c r="AA382" s="6">
        <f>IF(OR(Y382=0,N382=""),"",N382/Y382)</f>
        <v/>
      </c>
      <c r="AB382" s="6">
        <f>IF(OR(Y382=0,Q382=""),"",Q382/Y382)</f>
        <v/>
      </c>
      <c r="AC382" s="6">
        <f>IF(OR(Y382=0,T382=""),"",T382/Y382)</f>
        <v/>
      </c>
      <c r="AD382" s="6">
        <f>IF(F382="","",IF((IF(AND(Y382=0,NOT(SUMPRODUCT(--ISNUMBER(SEARCH({"棚板","棚","アングル","ｱﾝｸﾞﾙ","使用不可","ケーブル","ｹｰﾌﾞﾙ","PatchPnael","パッチ","引き出し","引出","ブランク","ﾌﾞﾗﾝｸ","マネージ","ﾏﾈｰｼﾞ","PDU","ONU"},$F382&amp;"")))&gt;0),NOT(SUMPRODUCT(--ISNUMBER(SEARCH({"電源オフ","未投入","停止","未使用","撤去"},$X382&amp;"")))&gt;0)),"／電力が未記入","")&amp;IF(AND(NOT(ISNUMBER(J382)),NOT(SUMPRODUCT(--ISNUMBER(SEARCH({"棚板","棚","アングル","ｱﾝｸﾞﾙ","使用不可","ケーブル","ｹｰﾌﾞﾙ","PatchPnael","パッチ","引き出し","引出","ブランク","ﾌﾞﾗﾝｸ","マネージ","ﾏﾈｰｼﾞ","PDU","ONU"},$F382&amp;"")))&gt;0)),"／重量が未記入","")&amp;IF(AND(K382&lt;&gt;"",NOT(ISNUMBER(K382))),"／電圧が数値でない","")&amp;IF(AND(N382&lt;&gt;"",NOT(ISNUMBER(N382))),"／電流が数値でない","")&amp;IF(AND(C382&lt;&gt;"",C382&lt;1),"／開始Uが1未満","")&amp;IF(AND(E382&lt;&gt;"",E382&gt;IFERROR(VLOOKUP(A382,ラック定義!$A:$B,2,FALSE),47)),"／総Uをはみ出す","")&amp;IF(AND(A382&lt;&gt;"",COUNTIF(ラック定義!$A:$A,A382)=0),"／ラックが定義にない","")&amp;IF(AND(SUMPRODUCT((機器台帳!$A$2:$A$400=$A382)*((機器台帳!$B$2:$B$400=$B382)+(機器台帳!$B$2:$B$400="両面")+($B382="両面")&gt;0)*(機器台帳!$C$2:$C$400&lt;=$C382+$D382-1)*(機器台帳!$C$2:$C$400+機器台帳!$D$2:$D$400-1&gt;=$C382)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382&amp;"")))&gt;0)),"／同じUに他の機器(横並びなら正常)","")&amp;IF(AND(M382&lt;&gt;"",COUNTIFS(回路定義!$A:$A,A382,回路定義!$B:$B,M382)=0),"／回路1が定義にない","")&amp;IF(AND(P382&lt;&gt;"",COUNTIFS(回路定義!$A:$A,A382,回路定義!$B:$B,P382)=0),"／回路2が定義にない","")&amp;IF(AND(S382&lt;&gt;"",COUNTIFS(回路定義!$A:$A,A382,回路定義!$B:$B,S382)=0),"／回路3が定義にない",""))="","",MID(IF(AND(Y382=0,NOT(SUMPRODUCT(--ISNUMBER(SEARCH({"棚板","棚","アングル","ｱﾝｸﾞﾙ","使用不可","ケーブル","ｹｰﾌﾞﾙ","PatchPnael","パッチ","引き出し","引出","ブランク","ﾌﾞﾗﾝｸ","マネージ","ﾏﾈｰｼﾞ","PDU","ONU"},$F382&amp;"")))&gt;0),NOT(SUMPRODUCT(--ISNUMBER(SEARCH({"電源オフ","未投入","停止","未使用","撤去"},$X382&amp;"")))&gt;0)),"／電力が未記入","")&amp;IF(AND(NOT(ISNUMBER(J382)),NOT(SUMPRODUCT(--ISNUMBER(SEARCH({"棚板","棚","アングル","ｱﾝｸﾞﾙ","使用不可","ケーブル","ｹｰﾌﾞﾙ","PatchPnael","パッチ","引き出し","引出","ブランク","ﾌﾞﾗﾝｸ","マネージ","ﾏﾈｰｼﾞ","PDU","ONU"},$F382&amp;"")))&gt;0)),"／重量が未記入","")&amp;IF(AND(K382&lt;&gt;"",NOT(ISNUMBER(K382))),"／電圧が数値でない","")&amp;IF(AND(N382&lt;&gt;"",NOT(ISNUMBER(N382))),"／電流が数値でない","")&amp;IF(AND(C382&lt;&gt;"",C382&lt;1),"／開始Uが1未満","")&amp;IF(AND(E382&lt;&gt;"",E382&gt;IFERROR(VLOOKUP(A382,ラック定義!$A:$B,2,FALSE),47)),"／総Uをはみ出す","")&amp;IF(AND(A382&lt;&gt;"",COUNTIF(ラック定義!$A:$A,A382)=0),"／ラックが定義にない","")&amp;IF(AND(SUMPRODUCT((機器台帳!$A$2:$A$400=$A382)*((機器台帳!$B$2:$B$400=$B382)+(機器台帳!$B$2:$B$400="両面")+($B382="両面")&gt;0)*(機器台帳!$C$2:$C$400&lt;=$C382+$D382-1)*(機器台帳!$C$2:$C$400+機器台帳!$D$2:$D$400-1&gt;=$C382)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382&amp;"")))&gt;0)),"／同じUに他の機器(横並びなら正常)","")&amp;IF(AND(M382&lt;&gt;"",COUNTIFS(回路定義!$A:$A,A382,回路定義!$B:$B,M382)=0),"／回路1が定義にない","")&amp;IF(AND(P382&lt;&gt;"",COUNTIFS(回路定義!$A:$A,A382,回路定義!$B:$B,P382)=0),"／回路2が定義にない","")&amp;IF(AND(S382&lt;&gt;"",COUNTIFS(回路定義!$A:$A,A382,回路定義!$B:$B,S382)=0),"／回路3が定義にない",""),2,300)))</f>
        <v/>
      </c>
    </row>
    <row r="383">
      <c r="A383" s="5" t="n"/>
      <c r="B383" s="5" t="n"/>
      <c r="C383" s="5" t="n"/>
      <c r="D383" s="5" t="n"/>
      <c r="E383" s="6">
        <f>IF(C383="","",C383+D383-1)</f>
        <v/>
      </c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6">
        <f>COUNT(N383,Q383,T383)</f>
        <v/>
      </c>
      <c r="Z383" s="6">
        <f>IF(OR(K383="",NOT(ISNUMBER(K383))),"",K383*SUM(N383,Q383,T383))</f>
        <v/>
      </c>
      <c r="AA383" s="6">
        <f>IF(OR(Y383=0,N383=""),"",N383/Y383)</f>
        <v/>
      </c>
      <c r="AB383" s="6">
        <f>IF(OR(Y383=0,Q383=""),"",Q383/Y383)</f>
        <v/>
      </c>
      <c r="AC383" s="6">
        <f>IF(OR(Y383=0,T383=""),"",T383/Y383)</f>
        <v/>
      </c>
      <c r="AD383" s="6">
        <f>IF(F383="","",IF((IF(AND(Y383=0,NOT(SUMPRODUCT(--ISNUMBER(SEARCH({"棚板","棚","アングル","ｱﾝｸﾞﾙ","使用不可","ケーブル","ｹｰﾌﾞﾙ","PatchPnael","パッチ","引き出し","引出","ブランク","ﾌﾞﾗﾝｸ","マネージ","ﾏﾈｰｼﾞ","PDU","ONU"},$F383&amp;"")))&gt;0),NOT(SUMPRODUCT(--ISNUMBER(SEARCH({"電源オフ","未投入","停止","未使用","撤去"},$X383&amp;"")))&gt;0)),"／電力が未記入","")&amp;IF(AND(NOT(ISNUMBER(J383)),NOT(SUMPRODUCT(--ISNUMBER(SEARCH({"棚板","棚","アングル","ｱﾝｸﾞﾙ","使用不可","ケーブル","ｹｰﾌﾞﾙ","PatchPnael","パッチ","引き出し","引出","ブランク","ﾌﾞﾗﾝｸ","マネージ","ﾏﾈｰｼﾞ","PDU","ONU"},$F383&amp;"")))&gt;0)),"／重量が未記入","")&amp;IF(AND(K383&lt;&gt;"",NOT(ISNUMBER(K383))),"／電圧が数値でない","")&amp;IF(AND(N383&lt;&gt;"",NOT(ISNUMBER(N383))),"／電流が数値でない","")&amp;IF(AND(C383&lt;&gt;"",C383&lt;1),"／開始Uが1未満","")&amp;IF(AND(E383&lt;&gt;"",E383&gt;IFERROR(VLOOKUP(A383,ラック定義!$A:$B,2,FALSE),47)),"／総Uをはみ出す","")&amp;IF(AND(A383&lt;&gt;"",COUNTIF(ラック定義!$A:$A,A383)=0),"／ラックが定義にない","")&amp;IF(AND(SUMPRODUCT((機器台帳!$A$2:$A$400=$A383)*((機器台帳!$B$2:$B$400=$B383)+(機器台帳!$B$2:$B$400="両面")+($B383="両面")&gt;0)*(機器台帳!$C$2:$C$400&lt;=$C383+$D383-1)*(機器台帳!$C$2:$C$400+機器台帳!$D$2:$D$400-1&gt;=$C383)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383&amp;"")))&gt;0)),"／同じUに他の機器(横並びなら正常)","")&amp;IF(AND(M383&lt;&gt;"",COUNTIFS(回路定義!$A:$A,A383,回路定義!$B:$B,M383)=0),"／回路1が定義にない","")&amp;IF(AND(P383&lt;&gt;"",COUNTIFS(回路定義!$A:$A,A383,回路定義!$B:$B,P383)=0),"／回路2が定義にない","")&amp;IF(AND(S383&lt;&gt;"",COUNTIFS(回路定義!$A:$A,A383,回路定義!$B:$B,S383)=0),"／回路3が定義にない",""))="","",MID(IF(AND(Y383=0,NOT(SUMPRODUCT(--ISNUMBER(SEARCH({"棚板","棚","アングル","ｱﾝｸﾞﾙ","使用不可","ケーブル","ｹｰﾌﾞﾙ","PatchPnael","パッチ","引き出し","引出","ブランク","ﾌﾞﾗﾝｸ","マネージ","ﾏﾈｰｼﾞ","PDU","ONU"},$F383&amp;"")))&gt;0),NOT(SUMPRODUCT(--ISNUMBER(SEARCH({"電源オフ","未投入","停止","未使用","撤去"},$X383&amp;"")))&gt;0)),"／電力が未記入","")&amp;IF(AND(NOT(ISNUMBER(J383)),NOT(SUMPRODUCT(--ISNUMBER(SEARCH({"棚板","棚","アングル","ｱﾝｸﾞﾙ","使用不可","ケーブル","ｹｰﾌﾞﾙ","PatchPnael","パッチ","引き出し","引出","ブランク","ﾌﾞﾗﾝｸ","マネージ","ﾏﾈｰｼﾞ","PDU","ONU"},$F383&amp;"")))&gt;0)),"／重量が未記入","")&amp;IF(AND(K383&lt;&gt;"",NOT(ISNUMBER(K383))),"／電圧が数値でない","")&amp;IF(AND(N383&lt;&gt;"",NOT(ISNUMBER(N383))),"／電流が数値でない","")&amp;IF(AND(C383&lt;&gt;"",C383&lt;1),"／開始Uが1未満","")&amp;IF(AND(E383&lt;&gt;"",E383&gt;IFERROR(VLOOKUP(A383,ラック定義!$A:$B,2,FALSE),47)),"／総Uをはみ出す","")&amp;IF(AND(A383&lt;&gt;"",COUNTIF(ラック定義!$A:$A,A383)=0),"／ラックが定義にない","")&amp;IF(AND(SUMPRODUCT((機器台帳!$A$2:$A$400=$A383)*((機器台帳!$B$2:$B$400=$B383)+(機器台帳!$B$2:$B$400="両面")+($B383="両面")&gt;0)*(機器台帳!$C$2:$C$400&lt;=$C383+$D383-1)*(機器台帳!$C$2:$C$400+機器台帳!$D$2:$D$400-1&gt;=$C383)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383&amp;"")))&gt;0)),"／同じUに他の機器(横並びなら正常)","")&amp;IF(AND(M383&lt;&gt;"",COUNTIFS(回路定義!$A:$A,A383,回路定義!$B:$B,M383)=0),"／回路1が定義にない","")&amp;IF(AND(P383&lt;&gt;"",COUNTIFS(回路定義!$A:$A,A383,回路定義!$B:$B,P383)=0),"／回路2が定義にない","")&amp;IF(AND(S383&lt;&gt;"",COUNTIFS(回路定義!$A:$A,A383,回路定義!$B:$B,S383)=0),"／回路3が定義にない",""),2,300)))</f>
        <v/>
      </c>
    </row>
    <row r="384">
      <c r="A384" s="5" t="n"/>
      <c r="B384" s="5" t="n"/>
      <c r="C384" s="5" t="n"/>
      <c r="D384" s="5" t="n"/>
      <c r="E384" s="6">
        <f>IF(C384="","",C384+D384-1)</f>
        <v/>
      </c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6">
        <f>COUNT(N384,Q384,T384)</f>
        <v/>
      </c>
      <c r="Z384" s="6">
        <f>IF(OR(K384="",NOT(ISNUMBER(K384))),"",K384*SUM(N384,Q384,T384))</f>
        <v/>
      </c>
      <c r="AA384" s="6">
        <f>IF(OR(Y384=0,N384=""),"",N384/Y384)</f>
        <v/>
      </c>
      <c r="AB384" s="6">
        <f>IF(OR(Y384=0,Q384=""),"",Q384/Y384)</f>
        <v/>
      </c>
      <c r="AC384" s="6">
        <f>IF(OR(Y384=0,T384=""),"",T384/Y384)</f>
        <v/>
      </c>
      <c r="AD384" s="6">
        <f>IF(F384="","",IF((IF(AND(Y384=0,NOT(SUMPRODUCT(--ISNUMBER(SEARCH({"棚板","棚","アングル","ｱﾝｸﾞﾙ","使用不可","ケーブル","ｹｰﾌﾞﾙ","PatchPnael","パッチ","引き出し","引出","ブランク","ﾌﾞﾗﾝｸ","マネージ","ﾏﾈｰｼﾞ","PDU","ONU"},$F384&amp;"")))&gt;0),NOT(SUMPRODUCT(--ISNUMBER(SEARCH({"電源オフ","未投入","停止","未使用","撤去"},$X384&amp;"")))&gt;0)),"／電力が未記入","")&amp;IF(AND(NOT(ISNUMBER(J384)),NOT(SUMPRODUCT(--ISNUMBER(SEARCH({"棚板","棚","アングル","ｱﾝｸﾞﾙ","使用不可","ケーブル","ｹｰﾌﾞﾙ","PatchPnael","パッチ","引き出し","引出","ブランク","ﾌﾞﾗﾝｸ","マネージ","ﾏﾈｰｼﾞ","PDU","ONU"},$F384&amp;"")))&gt;0)),"／重量が未記入","")&amp;IF(AND(K384&lt;&gt;"",NOT(ISNUMBER(K384))),"／電圧が数値でない","")&amp;IF(AND(N384&lt;&gt;"",NOT(ISNUMBER(N384))),"／電流が数値でない","")&amp;IF(AND(C384&lt;&gt;"",C384&lt;1),"／開始Uが1未満","")&amp;IF(AND(E384&lt;&gt;"",E384&gt;IFERROR(VLOOKUP(A384,ラック定義!$A:$B,2,FALSE),47)),"／総Uをはみ出す","")&amp;IF(AND(A384&lt;&gt;"",COUNTIF(ラック定義!$A:$A,A384)=0),"／ラックが定義にない","")&amp;IF(AND(SUMPRODUCT((機器台帳!$A$2:$A$400=$A384)*((機器台帳!$B$2:$B$400=$B384)+(機器台帳!$B$2:$B$400="両面")+($B384="両面")&gt;0)*(機器台帳!$C$2:$C$400&lt;=$C384+$D384-1)*(機器台帳!$C$2:$C$400+機器台帳!$D$2:$D$400-1&gt;=$C384)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384&amp;"")))&gt;0)),"／同じUに他の機器(横並びなら正常)","")&amp;IF(AND(M384&lt;&gt;"",COUNTIFS(回路定義!$A:$A,A384,回路定義!$B:$B,M384)=0),"／回路1が定義にない","")&amp;IF(AND(P384&lt;&gt;"",COUNTIFS(回路定義!$A:$A,A384,回路定義!$B:$B,P384)=0),"／回路2が定義にない","")&amp;IF(AND(S384&lt;&gt;"",COUNTIFS(回路定義!$A:$A,A384,回路定義!$B:$B,S384)=0),"／回路3が定義にない",""))="","",MID(IF(AND(Y384=0,NOT(SUMPRODUCT(--ISNUMBER(SEARCH({"棚板","棚","アングル","ｱﾝｸﾞﾙ","使用不可","ケーブル","ｹｰﾌﾞﾙ","PatchPnael","パッチ","引き出し","引出","ブランク","ﾌﾞﾗﾝｸ","マネージ","ﾏﾈｰｼﾞ","PDU","ONU"},$F384&amp;"")))&gt;0),NOT(SUMPRODUCT(--ISNUMBER(SEARCH({"電源オフ","未投入","停止","未使用","撤去"},$X384&amp;"")))&gt;0)),"／電力が未記入","")&amp;IF(AND(NOT(ISNUMBER(J384)),NOT(SUMPRODUCT(--ISNUMBER(SEARCH({"棚板","棚","アングル","ｱﾝｸﾞﾙ","使用不可","ケーブル","ｹｰﾌﾞﾙ","PatchPnael","パッチ","引き出し","引出","ブランク","ﾌﾞﾗﾝｸ","マネージ","ﾏﾈｰｼﾞ","PDU","ONU"},$F384&amp;"")))&gt;0)),"／重量が未記入","")&amp;IF(AND(K384&lt;&gt;"",NOT(ISNUMBER(K384))),"／電圧が数値でない","")&amp;IF(AND(N384&lt;&gt;"",NOT(ISNUMBER(N384))),"／電流が数値でない","")&amp;IF(AND(C384&lt;&gt;"",C384&lt;1),"／開始Uが1未満","")&amp;IF(AND(E384&lt;&gt;"",E384&gt;IFERROR(VLOOKUP(A384,ラック定義!$A:$B,2,FALSE),47)),"／総Uをはみ出す","")&amp;IF(AND(A384&lt;&gt;"",COUNTIF(ラック定義!$A:$A,A384)=0),"／ラックが定義にない","")&amp;IF(AND(SUMPRODUCT((機器台帳!$A$2:$A$400=$A384)*((機器台帳!$B$2:$B$400=$B384)+(機器台帳!$B$2:$B$400="両面")+($B384="両面")&gt;0)*(機器台帳!$C$2:$C$400&lt;=$C384+$D384-1)*(機器台帳!$C$2:$C$400+機器台帳!$D$2:$D$400-1&gt;=$C384)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384&amp;"")))&gt;0)),"／同じUに他の機器(横並びなら正常)","")&amp;IF(AND(M384&lt;&gt;"",COUNTIFS(回路定義!$A:$A,A384,回路定義!$B:$B,M384)=0),"／回路1が定義にない","")&amp;IF(AND(P384&lt;&gt;"",COUNTIFS(回路定義!$A:$A,A384,回路定義!$B:$B,P384)=0),"／回路2が定義にない","")&amp;IF(AND(S384&lt;&gt;"",COUNTIFS(回路定義!$A:$A,A384,回路定義!$B:$B,S384)=0),"／回路3が定義にない",""),2,300)))</f>
        <v/>
      </c>
    </row>
    <row r="385">
      <c r="A385" s="5" t="n"/>
      <c r="B385" s="5" t="n"/>
      <c r="C385" s="5" t="n"/>
      <c r="D385" s="5" t="n"/>
      <c r="E385" s="6">
        <f>IF(C385="","",C385+D385-1)</f>
        <v/>
      </c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6">
        <f>COUNT(N385,Q385,T385)</f>
        <v/>
      </c>
      <c r="Z385" s="6">
        <f>IF(OR(K385="",NOT(ISNUMBER(K385))),"",K385*SUM(N385,Q385,T385))</f>
        <v/>
      </c>
      <c r="AA385" s="6">
        <f>IF(OR(Y385=0,N385=""),"",N385/Y385)</f>
        <v/>
      </c>
      <c r="AB385" s="6">
        <f>IF(OR(Y385=0,Q385=""),"",Q385/Y385)</f>
        <v/>
      </c>
      <c r="AC385" s="6">
        <f>IF(OR(Y385=0,T385=""),"",T385/Y385)</f>
        <v/>
      </c>
      <c r="AD385" s="6">
        <f>IF(F385="","",IF((IF(AND(Y385=0,NOT(SUMPRODUCT(--ISNUMBER(SEARCH({"棚板","棚","アングル","ｱﾝｸﾞﾙ","使用不可","ケーブル","ｹｰﾌﾞﾙ","PatchPnael","パッチ","引き出し","引出","ブランク","ﾌﾞﾗﾝｸ","マネージ","ﾏﾈｰｼﾞ","PDU","ONU"},$F385&amp;"")))&gt;0),NOT(SUMPRODUCT(--ISNUMBER(SEARCH({"電源オフ","未投入","停止","未使用","撤去"},$X385&amp;"")))&gt;0)),"／電力が未記入","")&amp;IF(AND(NOT(ISNUMBER(J385)),NOT(SUMPRODUCT(--ISNUMBER(SEARCH({"棚板","棚","アングル","ｱﾝｸﾞﾙ","使用不可","ケーブル","ｹｰﾌﾞﾙ","PatchPnael","パッチ","引き出し","引出","ブランク","ﾌﾞﾗﾝｸ","マネージ","ﾏﾈｰｼﾞ","PDU","ONU"},$F385&amp;"")))&gt;0)),"／重量が未記入","")&amp;IF(AND(K385&lt;&gt;"",NOT(ISNUMBER(K385))),"／電圧が数値でない","")&amp;IF(AND(N385&lt;&gt;"",NOT(ISNUMBER(N385))),"／電流が数値でない","")&amp;IF(AND(C385&lt;&gt;"",C385&lt;1),"／開始Uが1未満","")&amp;IF(AND(E385&lt;&gt;"",E385&gt;IFERROR(VLOOKUP(A385,ラック定義!$A:$B,2,FALSE),47)),"／総Uをはみ出す","")&amp;IF(AND(A385&lt;&gt;"",COUNTIF(ラック定義!$A:$A,A385)=0),"／ラックが定義にない","")&amp;IF(AND(SUMPRODUCT((機器台帳!$A$2:$A$400=$A385)*((機器台帳!$B$2:$B$400=$B385)+(機器台帳!$B$2:$B$400="両面")+($B385="両面")&gt;0)*(機器台帳!$C$2:$C$400&lt;=$C385+$D385-1)*(機器台帳!$C$2:$C$400+機器台帳!$D$2:$D$400-1&gt;=$C385)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385&amp;"")))&gt;0)),"／同じUに他の機器(横並びなら正常)","")&amp;IF(AND(M385&lt;&gt;"",COUNTIFS(回路定義!$A:$A,A385,回路定義!$B:$B,M385)=0),"／回路1が定義にない","")&amp;IF(AND(P385&lt;&gt;"",COUNTIFS(回路定義!$A:$A,A385,回路定義!$B:$B,P385)=0),"／回路2が定義にない","")&amp;IF(AND(S385&lt;&gt;"",COUNTIFS(回路定義!$A:$A,A385,回路定義!$B:$B,S385)=0),"／回路3が定義にない",""))="","",MID(IF(AND(Y385=0,NOT(SUMPRODUCT(--ISNUMBER(SEARCH({"棚板","棚","アングル","ｱﾝｸﾞﾙ","使用不可","ケーブル","ｹｰﾌﾞﾙ","PatchPnael","パッチ","引き出し","引出","ブランク","ﾌﾞﾗﾝｸ","マネージ","ﾏﾈｰｼﾞ","PDU","ONU"},$F385&amp;"")))&gt;0),NOT(SUMPRODUCT(--ISNUMBER(SEARCH({"電源オフ","未投入","停止","未使用","撤去"},$X385&amp;"")))&gt;0)),"／電力が未記入","")&amp;IF(AND(NOT(ISNUMBER(J385)),NOT(SUMPRODUCT(--ISNUMBER(SEARCH({"棚板","棚","アングル","ｱﾝｸﾞﾙ","使用不可","ケーブル","ｹｰﾌﾞﾙ","PatchPnael","パッチ","引き出し","引出","ブランク","ﾌﾞﾗﾝｸ","マネージ","ﾏﾈｰｼﾞ","PDU","ONU"},$F385&amp;"")))&gt;0)),"／重量が未記入","")&amp;IF(AND(K385&lt;&gt;"",NOT(ISNUMBER(K385))),"／電圧が数値でない","")&amp;IF(AND(N385&lt;&gt;"",NOT(ISNUMBER(N385))),"／電流が数値でない","")&amp;IF(AND(C385&lt;&gt;"",C385&lt;1),"／開始Uが1未満","")&amp;IF(AND(E385&lt;&gt;"",E385&gt;IFERROR(VLOOKUP(A385,ラック定義!$A:$B,2,FALSE),47)),"／総Uをはみ出す","")&amp;IF(AND(A385&lt;&gt;"",COUNTIF(ラック定義!$A:$A,A385)=0),"／ラックが定義にない","")&amp;IF(AND(SUMPRODUCT((機器台帳!$A$2:$A$400=$A385)*((機器台帳!$B$2:$B$400=$B385)+(機器台帳!$B$2:$B$400="両面")+($B385="両面")&gt;0)*(機器台帳!$C$2:$C$400&lt;=$C385+$D385-1)*(機器台帳!$C$2:$C$400+機器台帳!$D$2:$D$400-1&gt;=$C385)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385&amp;"")))&gt;0)),"／同じUに他の機器(横並びなら正常)","")&amp;IF(AND(M385&lt;&gt;"",COUNTIFS(回路定義!$A:$A,A385,回路定義!$B:$B,M385)=0),"／回路1が定義にない","")&amp;IF(AND(P385&lt;&gt;"",COUNTIFS(回路定義!$A:$A,A385,回路定義!$B:$B,P385)=0),"／回路2が定義にない","")&amp;IF(AND(S385&lt;&gt;"",COUNTIFS(回路定義!$A:$A,A385,回路定義!$B:$B,S385)=0),"／回路3が定義にない",""),2,300)))</f>
        <v/>
      </c>
    </row>
    <row r="386">
      <c r="A386" s="5" t="n"/>
      <c r="B386" s="5" t="n"/>
      <c r="C386" s="5" t="n"/>
      <c r="D386" s="5" t="n"/>
      <c r="E386" s="6">
        <f>IF(C386="","",C386+D386-1)</f>
        <v/>
      </c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6">
        <f>COUNT(N386,Q386,T386)</f>
        <v/>
      </c>
      <c r="Z386" s="6">
        <f>IF(OR(K386="",NOT(ISNUMBER(K386))),"",K386*SUM(N386,Q386,T386))</f>
        <v/>
      </c>
      <c r="AA386" s="6">
        <f>IF(OR(Y386=0,N386=""),"",N386/Y386)</f>
        <v/>
      </c>
      <c r="AB386" s="6">
        <f>IF(OR(Y386=0,Q386=""),"",Q386/Y386)</f>
        <v/>
      </c>
      <c r="AC386" s="6">
        <f>IF(OR(Y386=0,T386=""),"",T386/Y386)</f>
        <v/>
      </c>
      <c r="AD386" s="6">
        <f>IF(F386="","",IF((IF(AND(Y386=0,NOT(SUMPRODUCT(--ISNUMBER(SEARCH({"棚板","棚","アングル","ｱﾝｸﾞﾙ","使用不可","ケーブル","ｹｰﾌﾞﾙ","PatchPnael","パッチ","引き出し","引出","ブランク","ﾌﾞﾗﾝｸ","マネージ","ﾏﾈｰｼﾞ","PDU","ONU"},$F386&amp;"")))&gt;0),NOT(SUMPRODUCT(--ISNUMBER(SEARCH({"電源オフ","未投入","停止","未使用","撤去"},$X386&amp;"")))&gt;0)),"／電力が未記入","")&amp;IF(AND(NOT(ISNUMBER(J386)),NOT(SUMPRODUCT(--ISNUMBER(SEARCH({"棚板","棚","アングル","ｱﾝｸﾞﾙ","使用不可","ケーブル","ｹｰﾌﾞﾙ","PatchPnael","パッチ","引き出し","引出","ブランク","ﾌﾞﾗﾝｸ","マネージ","ﾏﾈｰｼﾞ","PDU","ONU"},$F386&amp;"")))&gt;0)),"／重量が未記入","")&amp;IF(AND(K386&lt;&gt;"",NOT(ISNUMBER(K386))),"／電圧が数値でない","")&amp;IF(AND(N386&lt;&gt;"",NOT(ISNUMBER(N386))),"／電流が数値でない","")&amp;IF(AND(C386&lt;&gt;"",C386&lt;1),"／開始Uが1未満","")&amp;IF(AND(E386&lt;&gt;"",E386&gt;IFERROR(VLOOKUP(A386,ラック定義!$A:$B,2,FALSE),47)),"／総Uをはみ出す","")&amp;IF(AND(A386&lt;&gt;"",COUNTIF(ラック定義!$A:$A,A386)=0),"／ラックが定義にない","")&amp;IF(AND(SUMPRODUCT((機器台帳!$A$2:$A$400=$A386)*((機器台帳!$B$2:$B$400=$B386)+(機器台帳!$B$2:$B$400="両面")+($B386="両面")&gt;0)*(機器台帳!$C$2:$C$400&lt;=$C386+$D386-1)*(機器台帳!$C$2:$C$400+機器台帳!$D$2:$D$400-1&gt;=$C386)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386&amp;"")))&gt;0)),"／同じUに他の機器(横並びなら正常)","")&amp;IF(AND(M386&lt;&gt;"",COUNTIFS(回路定義!$A:$A,A386,回路定義!$B:$B,M386)=0),"／回路1が定義にない","")&amp;IF(AND(P386&lt;&gt;"",COUNTIFS(回路定義!$A:$A,A386,回路定義!$B:$B,P386)=0),"／回路2が定義にない","")&amp;IF(AND(S386&lt;&gt;"",COUNTIFS(回路定義!$A:$A,A386,回路定義!$B:$B,S386)=0),"／回路3が定義にない",""))="","",MID(IF(AND(Y386=0,NOT(SUMPRODUCT(--ISNUMBER(SEARCH({"棚板","棚","アングル","ｱﾝｸﾞﾙ","使用不可","ケーブル","ｹｰﾌﾞﾙ","PatchPnael","パッチ","引き出し","引出","ブランク","ﾌﾞﾗﾝｸ","マネージ","ﾏﾈｰｼﾞ","PDU","ONU"},$F386&amp;"")))&gt;0),NOT(SUMPRODUCT(--ISNUMBER(SEARCH({"電源オフ","未投入","停止","未使用","撤去"},$X386&amp;"")))&gt;0)),"／電力が未記入","")&amp;IF(AND(NOT(ISNUMBER(J386)),NOT(SUMPRODUCT(--ISNUMBER(SEARCH({"棚板","棚","アングル","ｱﾝｸﾞﾙ","使用不可","ケーブル","ｹｰﾌﾞﾙ","PatchPnael","パッチ","引き出し","引出","ブランク","ﾌﾞﾗﾝｸ","マネージ","ﾏﾈｰｼﾞ","PDU","ONU"},$F386&amp;"")))&gt;0)),"／重量が未記入","")&amp;IF(AND(K386&lt;&gt;"",NOT(ISNUMBER(K386))),"／電圧が数値でない","")&amp;IF(AND(N386&lt;&gt;"",NOT(ISNUMBER(N386))),"／電流が数値でない","")&amp;IF(AND(C386&lt;&gt;"",C386&lt;1),"／開始Uが1未満","")&amp;IF(AND(E386&lt;&gt;"",E386&gt;IFERROR(VLOOKUP(A386,ラック定義!$A:$B,2,FALSE),47)),"／総Uをはみ出す","")&amp;IF(AND(A386&lt;&gt;"",COUNTIF(ラック定義!$A:$A,A386)=0),"／ラックが定義にない","")&amp;IF(AND(SUMPRODUCT((機器台帳!$A$2:$A$400=$A386)*((機器台帳!$B$2:$B$400=$B386)+(機器台帳!$B$2:$B$400="両面")+($B386="両面")&gt;0)*(機器台帳!$C$2:$C$400&lt;=$C386+$D386-1)*(機器台帳!$C$2:$C$400+機器台帳!$D$2:$D$400-1&gt;=$C386)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386&amp;"")))&gt;0)),"／同じUに他の機器(横並びなら正常)","")&amp;IF(AND(M386&lt;&gt;"",COUNTIFS(回路定義!$A:$A,A386,回路定義!$B:$B,M386)=0),"／回路1が定義にない","")&amp;IF(AND(P386&lt;&gt;"",COUNTIFS(回路定義!$A:$A,A386,回路定義!$B:$B,P386)=0),"／回路2が定義にない","")&amp;IF(AND(S386&lt;&gt;"",COUNTIFS(回路定義!$A:$A,A386,回路定義!$B:$B,S386)=0),"／回路3が定義にない",""),2,300)))</f>
        <v/>
      </c>
    </row>
    <row r="387">
      <c r="A387" s="5" t="n"/>
      <c r="B387" s="5" t="n"/>
      <c r="C387" s="5" t="n"/>
      <c r="D387" s="5" t="n"/>
      <c r="E387" s="6">
        <f>IF(C387="","",C387+D387-1)</f>
        <v/>
      </c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6">
        <f>COUNT(N387,Q387,T387)</f>
        <v/>
      </c>
      <c r="Z387" s="6">
        <f>IF(OR(K387="",NOT(ISNUMBER(K387))),"",K387*SUM(N387,Q387,T387))</f>
        <v/>
      </c>
      <c r="AA387" s="6">
        <f>IF(OR(Y387=0,N387=""),"",N387/Y387)</f>
        <v/>
      </c>
      <c r="AB387" s="6">
        <f>IF(OR(Y387=0,Q387=""),"",Q387/Y387)</f>
        <v/>
      </c>
      <c r="AC387" s="6">
        <f>IF(OR(Y387=0,T387=""),"",T387/Y387)</f>
        <v/>
      </c>
      <c r="AD387" s="6">
        <f>IF(F387="","",IF((IF(AND(Y387=0,NOT(SUMPRODUCT(--ISNUMBER(SEARCH({"棚板","棚","アングル","ｱﾝｸﾞﾙ","使用不可","ケーブル","ｹｰﾌﾞﾙ","PatchPnael","パッチ","引き出し","引出","ブランク","ﾌﾞﾗﾝｸ","マネージ","ﾏﾈｰｼﾞ","PDU","ONU"},$F387&amp;"")))&gt;0),NOT(SUMPRODUCT(--ISNUMBER(SEARCH({"電源オフ","未投入","停止","未使用","撤去"},$X387&amp;"")))&gt;0)),"／電力が未記入","")&amp;IF(AND(NOT(ISNUMBER(J387)),NOT(SUMPRODUCT(--ISNUMBER(SEARCH({"棚板","棚","アングル","ｱﾝｸﾞﾙ","使用不可","ケーブル","ｹｰﾌﾞﾙ","PatchPnael","パッチ","引き出し","引出","ブランク","ﾌﾞﾗﾝｸ","マネージ","ﾏﾈｰｼﾞ","PDU","ONU"},$F387&amp;"")))&gt;0)),"／重量が未記入","")&amp;IF(AND(K387&lt;&gt;"",NOT(ISNUMBER(K387))),"／電圧が数値でない","")&amp;IF(AND(N387&lt;&gt;"",NOT(ISNUMBER(N387))),"／電流が数値でない","")&amp;IF(AND(C387&lt;&gt;"",C387&lt;1),"／開始Uが1未満","")&amp;IF(AND(E387&lt;&gt;"",E387&gt;IFERROR(VLOOKUP(A387,ラック定義!$A:$B,2,FALSE),47)),"／総Uをはみ出す","")&amp;IF(AND(A387&lt;&gt;"",COUNTIF(ラック定義!$A:$A,A387)=0),"／ラックが定義にない","")&amp;IF(AND(SUMPRODUCT((機器台帳!$A$2:$A$400=$A387)*((機器台帳!$B$2:$B$400=$B387)+(機器台帳!$B$2:$B$400="両面")+($B387="両面")&gt;0)*(機器台帳!$C$2:$C$400&lt;=$C387+$D387-1)*(機器台帳!$C$2:$C$400+機器台帳!$D$2:$D$400-1&gt;=$C387)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387&amp;"")))&gt;0)),"／同じUに他の機器(横並びなら正常)","")&amp;IF(AND(M387&lt;&gt;"",COUNTIFS(回路定義!$A:$A,A387,回路定義!$B:$B,M387)=0),"／回路1が定義にない","")&amp;IF(AND(P387&lt;&gt;"",COUNTIFS(回路定義!$A:$A,A387,回路定義!$B:$B,P387)=0),"／回路2が定義にない","")&amp;IF(AND(S387&lt;&gt;"",COUNTIFS(回路定義!$A:$A,A387,回路定義!$B:$B,S387)=0),"／回路3が定義にない",""))="","",MID(IF(AND(Y387=0,NOT(SUMPRODUCT(--ISNUMBER(SEARCH({"棚板","棚","アングル","ｱﾝｸﾞﾙ","使用不可","ケーブル","ｹｰﾌﾞﾙ","PatchPnael","パッチ","引き出し","引出","ブランク","ﾌﾞﾗﾝｸ","マネージ","ﾏﾈｰｼﾞ","PDU","ONU"},$F387&amp;"")))&gt;0),NOT(SUMPRODUCT(--ISNUMBER(SEARCH({"電源オフ","未投入","停止","未使用","撤去"},$X387&amp;"")))&gt;0)),"／電力が未記入","")&amp;IF(AND(NOT(ISNUMBER(J387)),NOT(SUMPRODUCT(--ISNUMBER(SEARCH({"棚板","棚","アングル","ｱﾝｸﾞﾙ","使用不可","ケーブル","ｹｰﾌﾞﾙ","PatchPnael","パッチ","引き出し","引出","ブランク","ﾌﾞﾗﾝｸ","マネージ","ﾏﾈｰｼﾞ","PDU","ONU"},$F387&amp;"")))&gt;0)),"／重量が未記入","")&amp;IF(AND(K387&lt;&gt;"",NOT(ISNUMBER(K387))),"／電圧が数値でない","")&amp;IF(AND(N387&lt;&gt;"",NOT(ISNUMBER(N387))),"／電流が数値でない","")&amp;IF(AND(C387&lt;&gt;"",C387&lt;1),"／開始Uが1未満","")&amp;IF(AND(E387&lt;&gt;"",E387&gt;IFERROR(VLOOKUP(A387,ラック定義!$A:$B,2,FALSE),47)),"／総Uをはみ出す","")&amp;IF(AND(A387&lt;&gt;"",COUNTIF(ラック定義!$A:$A,A387)=0),"／ラックが定義にない","")&amp;IF(AND(SUMPRODUCT((機器台帳!$A$2:$A$400=$A387)*((機器台帳!$B$2:$B$400=$B387)+(機器台帳!$B$2:$B$400="両面")+($B387="両面")&gt;0)*(機器台帳!$C$2:$C$400&lt;=$C387+$D387-1)*(機器台帳!$C$2:$C$400+機器台帳!$D$2:$D$400-1&gt;=$C387)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387&amp;"")))&gt;0)),"／同じUに他の機器(横並びなら正常)","")&amp;IF(AND(M387&lt;&gt;"",COUNTIFS(回路定義!$A:$A,A387,回路定義!$B:$B,M387)=0),"／回路1が定義にない","")&amp;IF(AND(P387&lt;&gt;"",COUNTIFS(回路定義!$A:$A,A387,回路定義!$B:$B,P387)=0),"／回路2が定義にない","")&amp;IF(AND(S387&lt;&gt;"",COUNTIFS(回路定義!$A:$A,A387,回路定義!$B:$B,S387)=0),"／回路3が定義にない",""),2,300)))</f>
        <v/>
      </c>
    </row>
    <row r="388">
      <c r="A388" s="5" t="n"/>
      <c r="B388" s="5" t="n"/>
      <c r="C388" s="5" t="n"/>
      <c r="D388" s="5" t="n"/>
      <c r="E388" s="6">
        <f>IF(C388="","",C388+D388-1)</f>
        <v/>
      </c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6">
        <f>COUNT(N388,Q388,T388)</f>
        <v/>
      </c>
      <c r="Z388" s="6">
        <f>IF(OR(K388="",NOT(ISNUMBER(K388))),"",K388*SUM(N388,Q388,T388))</f>
        <v/>
      </c>
      <c r="AA388" s="6">
        <f>IF(OR(Y388=0,N388=""),"",N388/Y388)</f>
        <v/>
      </c>
      <c r="AB388" s="6">
        <f>IF(OR(Y388=0,Q388=""),"",Q388/Y388)</f>
        <v/>
      </c>
      <c r="AC388" s="6">
        <f>IF(OR(Y388=0,T388=""),"",T388/Y388)</f>
        <v/>
      </c>
      <c r="AD388" s="6">
        <f>IF(F388="","",IF((IF(AND(Y388=0,NOT(SUMPRODUCT(--ISNUMBER(SEARCH({"棚板","棚","アングル","ｱﾝｸﾞﾙ","使用不可","ケーブル","ｹｰﾌﾞﾙ","PatchPnael","パッチ","引き出し","引出","ブランク","ﾌﾞﾗﾝｸ","マネージ","ﾏﾈｰｼﾞ","PDU","ONU"},$F388&amp;"")))&gt;0),NOT(SUMPRODUCT(--ISNUMBER(SEARCH({"電源オフ","未投入","停止","未使用","撤去"},$X388&amp;"")))&gt;0)),"／電力が未記入","")&amp;IF(AND(NOT(ISNUMBER(J388)),NOT(SUMPRODUCT(--ISNUMBER(SEARCH({"棚板","棚","アングル","ｱﾝｸﾞﾙ","使用不可","ケーブル","ｹｰﾌﾞﾙ","PatchPnael","パッチ","引き出し","引出","ブランク","ﾌﾞﾗﾝｸ","マネージ","ﾏﾈｰｼﾞ","PDU","ONU"},$F388&amp;"")))&gt;0)),"／重量が未記入","")&amp;IF(AND(K388&lt;&gt;"",NOT(ISNUMBER(K388))),"／電圧が数値でない","")&amp;IF(AND(N388&lt;&gt;"",NOT(ISNUMBER(N388))),"／電流が数値でない","")&amp;IF(AND(C388&lt;&gt;"",C388&lt;1),"／開始Uが1未満","")&amp;IF(AND(E388&lt;&gt;"",E388&gt;IFERROR(VLOOKUP(A388,ラック定義!$A:$B,2,FALSE),47)),"／総Uをはみ出す","")&amp;IF(AND(A388&lt;&gt;"",COUNTIF(ラック定義!$A:$A,A388)=0),"／ラックが定義にない","")&amp;IF(AND(SUMPRODUCT((機器台帳!$A$2:$A$400=$A388)*((機器台帳!$B$2:$B$400=$B388)+(機器台帳!$B$2:$B$400="両面")+($B388="両面")&gt;0)*(機器台帳!$C$2:$C$400&lt;=$C388+$D388-1)*(機器台帳!$C$2:$C$400+機器台帳!$D$2:$D$400-1&gt;=$C388)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388&amp;"")))&gt;0)),"／同じUに他の機器(横並びなら正常)","")&amp;IF(AND(M388&lt;&gt;"",COUNTIFS(回路定義!$A:$A,A388,回路定義!$B:$B,M388)=0),"／回路1が定義にない","")&amp;IF(AND(P388&lt;&gt;"",COUNTIFS(回路定義!$A:$A,A388,回路定義!$B:$B,P388)=0),"／回路2が定義にない","")&amp;IF(AND(S388&lt;&gt;"",COUNTIFS(回路定義!$A:$A,A388,回路定義!$B:$B,S388)=0),"／回路3が定義にない",""))="","",MID(IF(AND(Y388=0,NOT(SUMPRODUCT(--ISNUMBER(SEARCH({"棚板","棚","アングル","ｱﾝｸﾞﾙ","使用不可","ケーブル","ｹｰﾌﾞﾙ","PatchPnael","パッチ","引き出し","引出","ブランク","ﾌﾞﾗﾝｸ","マネージ","ﾏﾈｰｼﾞ","PDU","ONU"},$F388&amp;"")))&gt;0),NOT(SUMPRODUCT(--ISNUMBER(SEARCH({"電源オフ","未投入","停止","未使用","撤去"},$X388&amp;"")))&gt;0)),"／電力が未記入","")&amp;IF(AND(NOT(ISNUMBER(J388)),NOT(SUMPRODUCT(--ISNUMBER(SEARCH({"棚板","棚","アングル","ｱﾝｸﾞﾙ","使用不可","ケーブル","ｹｰﾌﾞﾙ","PatchPnael","パッチ","引き出し","引出","ブランク","ﾌﾞﾗﾝｸ","マネージ","ﾏﾈｰｼﾞ","PDU","ONU"},$F388&amp;"")))&gt;0)),"／重量が未記入","")&amp;IF(AND(K388&lt;&gt;"",NOT(ISNUMBER(K388))),"／電圧が数値でない","")&amp;IF(AND(N388&lt;&gt;"",NOT(ISNUMBER(N388))),"／電流が数値でない","")&amp;IF(AND(C388&lt;&gt;"",C388&lt;1),"／開始Uが1未満","")&amp;IF(AND(E388&lt;&gt;"",E388&gt;IFERROR(VLOOKUP(A388,ラック定義!$A:$B,2,FALSE),47)),"／総Uをはみ出す","")&amp;IF(AND(A388&lt;&gt;"",COUNTIF(ラック定義!$A:$A,A388)=0),"／ラックが定義にない","")&amp;IF(AND(SUMPRODUCT((機器台帳!$A$2:$A$400=$A388)*((機器台帳!$B$2:$B$400=$B388)+(機器台帳!$B$2:$B$400="両面")+($B388="両面")&gt;0)*(機器台帳!$C$2:$C$400&lt;=$C388+$D388-1)*(機器台帳!$C$2:$C$400+機器台帳!$D$2:$D$400-1&gt;=$C388)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388&amp;"")))&gt;0)),"／同じUに他の機器(横並びなら正常)","")&amp;IF(AND(M388&lt;&gt;"",COUNTIFS(回路定義!$A:$A,A388,回路定義!$B:$B,M388)=0),"／回路1が定義にない","")&amp;IF(AND(P388&lt;&gt;"",COUNTIFS(回路定義!$A:$A,A388,回路定義!$B:$B,P388)=0),"／回路2が定義にない","")&amp;IF(AND(S388&lt;&gt;"",COUNTIFS(回路定義!$A:$A,A388,回路定義!$B:$B,S388)=0),"／回路3が定義にない",""),2,300)))</f>
        <v/>
      </c>
    </row>
    <row r="389">
      <c r="A389" s="5" t="n"/>
      <c r="B389" s="5" t="n"/>
      <c r="C389" s="5" t="n"/>
      <c r="D389" s="5" t="n"/>
      <c r="E389" s="6">
        <f>IF(C389="","",C389+D389-1)</f>
        <v/>
      </c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6">
        <f>COUNT(N389,Q389,T389)</f>
        <v/>
      </c>
      <c r="Z389" s="6">
        <f>IF(OR(K389="",NOT(ISNUMBER(K389))),"",K389*SUM(N389,Q389,T389))</f>
        <v/>
      </c>
      <c r="AA389" s="6">
        <f>IF(OR(Y389=0,N389=""),"",N389/Y389)</f>
        <v/>
      </c>
      <c r="AB389" s="6">
        <f>IF(OR(Y389=0,Q389=""),"",Q389/Y389)</f>
        <v/>
      </c>
      <c r="AC389" s="6">
        <f>IF(OR(Y389=0,T389=""),"",T389/Y389)</f>
        <v/>
      </c>
      <c r="AD389" s="6">
        <f>IF(F389="","",IF((IF(AND(Y389=0,NOT(SUMPRODUCT(--ISNUMBER(SEARCH({"棚板","棚","アングル","ｱﾝｸﾞﾙ","使用不可","ケーブル","ｹｰﾌﾞﾙ","PatchPnael","パッチ","引き出し","引出","ブランク","ﾌﾞﾗﾝｸ","マネージ","ﾏﾈｰｼﾞ","PDU","ONU"},$F389&amp;"")))&gt;0),NOT(SUMPRODUCT(--ISNUMBER(SEARCH({"電源オフ","未投入","停止","未使用","撤去"},$X389&amp;"")))&gt;0)),"／電力が未記入","")&amp;IF(AND(NOT(ISNUMBER(J389)),NOT(SUMPRODUCT(--ISNUMBER(SEARCH({"棚板","棚","アングル","ｱﾝｸﾞﾙ","使用不可","ケーブル","ｹｰﾌﾞﾙ","PatchPnael","パッチ","引き出し","引出","ブランク","ﾌﾞﾗﾝｸ","マネージ","ﾏﾈｰｼﾞ","PDU","ONU"},$F389&amp;"")))&gt;0)),"／重量が未記入","")&amp;IF(AND(K389&lt;&gt;"",NOT(ISNUMBER(K389))),"／電圧が数値でない","")&amp;IF(AND(N389&lt;&gt;"",NOT(ISNUMBER(N389))),"／電流が数値でない","")&amp;IF(AND(C389&lt;&gt;"",C389&lt;1),"／開始Uが1未満","")&amp;IF(AND(E389&lt;&gt;"",E389&gt;IFERROR(VLOOKUP(A389,ラック定義!$A:$B,2,FALSE),47)),"／総Uをはみ出す","")&amp;IF(AND(A389&lt;&gt;"",COUNTIF(ラック定義!$A:$A,A389)=0),"／ラックが定義にない","")&amp;IF(AND(SUMPRODUCT((機器台帳!$A$2:$A$400=$A389)*((機器台帳!$B$2:$B$400=$B389)+(機器台帳!$B$2:$B$400="両面")+($B389="両面")&gt;0)*(機器台帳!$C$2:$C$400&lt;=$C389+$D389-1)*(機器台帳!$C$2:$C$400+機器台帳!$D$2:$D$400-1&gt;=$C389)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389&amp;"")))&gt;0)),"／同じUに他の機器(横並びなら正常)","")&amp;IF(AND(M389&lt;&gt;"",COUNTIFS(回路定義!$A:$A,A389,回路定義!$B:$B,M389)=0),"／回路1が定義にない","")&amp;IF(AND(P389&lt;&gt;"",COUNTIFS(回路定義!$A:$A,A389,回路定義!$B:$B,P389)=0),"／回路2が定義にない","")&amp;IF(AND(S389&lt;&gt;"",COUNTIFS(回路定義!$A:$A,A389,回路定義!$B:$B,S389)=0),"／回路3が定義にない",""))="","",MID(IF(AND(Y389=0,NOT(SUMPRODUCT(--ISNUMBER(SEARCH({"棚板","棚","アングル","ｱﾝｸﾞﾙ","使用不可","ケーブル","ｹｰﾌﾞﾙ","PatchPnael","パッチ","引き出し","引出","ブランク","ﾌﾞﾗﾝｸ","マネージ","ﾏﾈｰｼﾞ","PDU","ONU"},$F389&amp;"")))&gt;0),NOT(SUMPRODUCT(--ISNUMBER(SEARCH({"電源オフ","未投入","停止","未使用","撤去"},$X389&amp;"")))&gt;0)),"／電力が未記入","")&amp;IF(AND(NOT(ISNUMBER(J389)),NOT(SUMPRODUCT(--ISNUMBER(SEARCH({"棚板","棚","アングル","ｱﾝｸﾞﾙ","使用不可","ケーブル","ｹｰﾌﾞﾙ","PatchPnael","パッチ","引き出し","引出","ブランク","ﾌﾞﾗﾝｸ","マネージ","ﾏﾈｰｼﾞ","PDU","ONU"},$F389&amp;"")))&gt;0)),"／重量が未記入","")&amp;IF(AND(K389&lt;&gt;"",NOT(ISNUMBER(K389))),"／電圧が数値でない","")&amp;IF(AND(N389&lt;&gt;"",NOT(ISNUMBER(N389))),"／電流が数値でない","")&amp;IF(AND(C389&lt;&gt;"",C389&lt;1),"／開始Uが1未満","")&amp;IF(AND(E389&lt;&gt;"",E389&gt;IFERROR(VLOOKUP(A389,ラック定義!$A:$B,2,FALSE),47)),"／総Uをはみ出す","")&amp;IF(AND(A389&lt;&gt;"",COUNTIF(ラック定義!$A:$A,A389)=0),"／ラックが定義にない","")&amp;IF(AND(SUMPRODUCT((機器台帳!$A$2:$A$400=$A389)*((機器台帳!$B$2:$B$400=$B389)+(機器台帳!$B$2:$B$400="両面")+($B389="両面")&gt;0)*(機器台帳!$C$2:$C$400&lt;=$C389+$D389-1)*(機器台帳!$C$2:$C$400+機器台帳!$D$2:$D$400-1&gt;=$C389)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389&amp;"")))&gt;0)),"／同じUに他の機器(横並びなら正常)","")&amp;IF(AND(M389&lt;&gt;"",COUNTIFS(回路定義!$A:$A,A389,回路定義!$B:$B,M389)=0),"／回路1が定義にない","")&amp;IF(AND(P389&lt;&gt;"",COUNTIFS(回路定義!$A:$A,A389,回路定義!$B:$B,P389)=0),"／回路2が定義にない","")&amp;IF(AND(S389&lt;&gt;"",COUNTIFS(回路定義!$A:$A,A389,回路定義!$B:$B,S389)=0),"／回路3が定義にない",""),2,300)))</f>
        <v/>
      </c>
    </row>
    <row r="390">
      <c r="A390" s="5" t="n"/>
      <c r="B390" s="5" t="n"/>
      <c r="C390" s="5" t="n"/>
      <c r="D390" s="5" t="n"/>
      <c r="E390" s="6">
        <f>IF(C390="","",C390+D390-1)</f>
        <v/>
      </c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6">
        <f>COUNT(N390,Q390,T390)</f>
        <v/>
      </c>
      <c r="Z390" s="6">
        <f>IF(OR(K390="",NOT(ISNUMBER(K390))),"",K390*SUM(N390,Q390,T390))</f>
        <v/>
      </c>
      <c r="AA390" s="6">
        <f>IF(OR(Y390=0,N390=""),"",N390/Y390)</f>
        <v/>
      </c>
      <c r="AB390" s="6">
        <f>IF(OR(Y390=0,Q390=""),"",Q390/Y390)</f>
        <v/>
      </c>
      <c r="AC390" s="6">
        <f>IF(OR(Y390=0,T390=""),"",T390/Y390)</f>
        <v/>
      </c>
      <c r="AD390" s="6">
        <f>IF(F390="","",IF((IF(AND(Y390=0,NOT(SUMPRODUCT(--ISNUMBER(SEARCH({"棚板","棚","アングル","ｱﾝｸﾞﾙ","使用不可","ケーブル","ｹｰﾌﾞﾙ","PatchPnael","パッチ","引き出し","引出","ブランク","ﾌﾞﾗﾝｸ","マネージ","ﾏﾈｰｼﾞ","PDU","ONU"},$F390&amp;"")))&gt;0),NOT(SUMPRODUCT(--ISNUMBER(SEARCH({"電源オフ","未投入","停止","未使用","撤去"},$X390&amp;"")))&gt;0)),"／電力が未記入","")&amp;IF(AND(NOT(ISNUMBER(J390)),NOT(SUMPRODUCT(--ISNUMBER(SEARCH({"棚板","棚","アングル","ｱﾝｸﾞﾙ","使用不可","ケーブル","ｹｰﾌﾞﾙ","PatchPnael","パッチ","引き出し","引出","ブランク","ﾌﾞﾗﾝｸ","マネージ","ﾏﾈｰｼﾞ","PDU","ONU"},$F390&amp;"")))&gt;0)),"／重量が未記入","")&amp;IF(AND(K390&lt;&gt;"",NOT(ISNUMBER(K390))),"／電圧が数値でない","")&amp;IF(AND(N390&lt;&gt;"",NOT(ISNUMBER(N390))),"／電流が数値でない","")&amp;IF(AND(C390&lt;&gt;"",C390&lt;1),"／開始Uが1未満","")&amp;IF(AND(E390&lt;&gt;"",E390&gt;IFERROR(VLOOKUP(A390,ラック定義!$A:$B,2,FALSE),47)),"／総Uをはみ出す","")&amp;IF(AND(A390&lt;&gt;"",COUNTIF(ラック定義!$A:$A,A390)=0),"／ラックが定義にない","")&amp;IF(AND(SUMPRODUCT((機器台帳!$A$2:$A$400=$A390)*((機器台帳!$B$2:$B$400=$B390)+(機器台帳!$B$2:$B$400="両面")+($B390="両面")&gt;0)*(機器台帳!$C$2:$C$400&lt;=$C390+$D390-1)*(機器台帳!$C$2:$C$400+機器台帳!$D$2:$D$400-1&gt;=$C390)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390&amp;"")))&gt;0)),"／同じUに他の機器(横並びなら正常)","")&amp;IF(AND(M390&lt;&gt;"",COUNTIFS(回路定義!$A:$A,A390,回路定義!$B:$B,M390)=0),"／回路1が定義にない","")&amp;IF(AND(P390&lt;&gt;"",COUNTIFS(回路定義!$A:$A,A390,回路定義!$B:$B,P390)=0),"／回路2が定義にない","")&amp;IF(AND(S390&lt;&gt;"",COUNTIFS(回路定義!$A:$A,A390,回路定義!$B:$B,S390)=0),"／回路3が定義にない",""))="","",MID(IF(AND(Y390=0,NOT(SUMPRODUCT(--ISNUMBER(SEARCH({"棚板","棚","アングル","ｱﾝｸﾞﾙ","使用不可","ケーブル","ｹｰﾌﾞﾙ","PatchPnael","パッチ","引き出し","引出","ブランク","ﾌﾞﾗﾝｸ","マネージ","ﾏﾈｰｼﾞ","PDU","ONU"},$F390&amp;"")))&gt;0),NOT(SUMPRODUCT(--ISNUMBER(SEARCH({"電源オフ","未投入","停止","未使用","撤去"},$X390&amp;"")))&gt;0)),"／電力が未記入","")&amp;IF(AND(NOT(ISNUMBER(J390)),NOT(SUMPRODUCT(--ISNUMBER(SEARCH({"棚板","棚","アングル","ｱﾝｸﾞﾙ","使用不可","ケーブル","ｹｰﾌﾞﾙ","PatchPnael","パッチ","引き出し","引出","ブランク","ﾌﾞﾗﾝｸ","マネージ","ﾏﾈｰｼﾞ","PDU","ONU"},$F390&amp;"")))&gt;0)),"／重量が未記入","")&amp;IF(AND(K390&lt;&gt;"",NOT(ISNUMBER(K390))),"／電圧が数値でない","")&amp;IF(AND(N390&lt;&gt;"",NOT(ISNUMBER(N390))),"／電流が数値でない","")&amp;IF(AND(C390&lt;&gt;"",C390&lt;1),"／開始Uが1未満","")&amp;IF(AND(E390&lt;&gt;"",E390&gt;IFERROR(VLOOKUP(A390,ラック定義!$A:$B,2,FALSE),47)),"／総Uをはみ出す","")&amp;IF(AND(A390&lt;&gt;"",COUNTIF(ラック定義!$A:$A,A390)=0),"／ラックが定義にない","")&amp;IF(AND(SUMPRODUCT((機器台帳!$A$2:$A$400=$A390)*((機器台帳!$B$2:$B$400=$B390)+(機器台帳!$B$2:$B$400="両面")+($B390="両面")&gt;0)*(機器台帳!$C$2:$C$400&lt;=$C390+$D390-1)*(機器台帳!$C$2:$C$400+機器台帳!$D$2:$D$400-1&gt;=$C390)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390&amp;"")))&gt;0)),"／同じUに他の機器(横並びなら正常)","")&amp;IF(AND(M390&lt;&gt;"",COUNTIFS(回路定義!$A:$A,A390,回路定義!$B:$B,M390)=0),"／回路1が定義にない","")&amp;IF(AND(P390&lt;&gt;"",COUNTIFS(回路定義!$A:$A,A390,回路定義!$B:$B,P390)=0),"／回路2が定義にない","")&amp;IF(AND(S390&lt;&gt;"",COUNTIFS(回路定義!$A:$A,A390,回路定義!$B:$B,S390)=0),"／回路3が定義にない",""),2,300)))</f>
        <v/>
      </c>
    </row>
    <row r="391">
      <c r="A391" s="5" t="n"/>
      <c r="B391" s="5" t="n"/>
      <c r="C391" s="5" t="n"/>
      <c r="D391" s="5" t="n"/>
      <c r="E391" s="6">
        <f>IF(C391="","",C391+D391-1)</f>
        <v/>
      </c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6">
        <f>COUNT(N391,Q391,T391)</f>
        <v/>
      </c>
      <c r="Z391" s="6">
        <f>IF(OR(K391="",NOT(ISNUMBER(K391))),"",K391*SUM(N391,Q391,T391))</f>
        <v/>
      </c>
      <c r="AA391" s="6">
        <f>IF(OR(Y391=0,N391=""),"",N391/Y391)</f>
        <v/>
      </c>
      <c r="AB391" s="6">
        <f>IF(OR(Y391=0,Q391=""),"",Q391/Y391)</f>
        <v/>
      </c>
      <c r="AC391" s="6">
        <f>IF(OR(Y391=0,T391=""),"",T391/Y391)</f>
        <v/>
      </c>
      <c r="AD391" s="6">
        <f>IF(F391="","",IF((IF(AND(Y391=0,NOT(SUMPRODUCT(--ISNUMBER(SEARCH({"棚板","棚","アングル","ｱﾝｸﾞﾙ","使用不可","ケーブル","ｹｰﾌﾞﾙ","PatchPnael","パッチ","引き出し","引出","ブランク","ﾌﾞﾗﾝｸ","マネージ","ﾏﾈｰｼﾞ","PDU","ONU"},$F391&amp;"")))&gt;0),NOT(SUMPRODUCT(--ISNUMBER(SEARCH({"電源オフ","未投入","停止","未使用","撤去"},$X391&amp;"")))&gt;0)),"／電力が未記入","")&amp;IF(AND(NOT(ISNUMBER(J391)),NOT(SUMPRODUCT(--ISNUMBER(SEARCH({"棚板","棚","アングル","ｱﾝｸﾞﾙ","使用不可","ケーブル","ｹｰﾌﾞﾙ","PatchPnael","パッチ","引き出し","引出","ブランク","ﾌﾞﾗﾝｸ","マネージ","ﾏﾈｰｼﾞ","PDU","ONU"},$F391&amp;"")))&gt;0)),"／重量が未記入","")&amp;IF(AND(K391&lt;&gt;"",NOT(ISNUMBER(K391))),"／電圧が数値でない","")&amp;IF(AND(N391&lt;&gt;"",NOT(ISNUMBER(N391))),"／電流が数値でない","")&amp;IF(AND(C391&lt;&gt;"",C391&lt;1),"／開始Uが1未満","")&amp;IF(AND(E391&lt;&gt;"",E391&gt;IFERROR(VLOOKUP(A391,ラック定義!$A:$B,2,FALSE),47)),"／総Uをはみ出す","")&amp;IF(AND(A391&lt;&gt;"",COUNTIF(ラック定義!$A:$A,A391)=0),"／ラックが定義にない","")&amp;IF(AND(SUMPRODUCT((機器台帳!$A$2:$A$400=$A391)*((機器台帳!$B$2:$B$400=$B391)+(機器台帳!$B$2:$B$400="両面")+($B391="両面")&gt;0)*(機器台帳!$C$2:$C$400&lt;=$C391+$D391-1)*(機器台帳!$C$2:$C$400+機器台帳!$D$2:$D$400-1&gt;=$C391)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391&amp;"")))&gt;0)),"／同じUに他の機器(横並びなら正常)","")&amp;IF(AND(M391&lt;&gt;"",COUNTIFS(回路定義!$A:$A,A391,回路定義!$B:$B,M391)=0),"／回路1が定義にない","")&amp;IF(AND(P391&lt;&gt;"",COUNTIFS(回路定義!$A:$A,A391,回路定義!$B:$B,P391)=0),"／回路2が定義にない","")&amp;IF(AND(S391&lt;&gt;"",COUNTIFS(回路定義!$A:$A,A391,回路定義!$B:$B,S391)=0),"／回路3が定義にない",""))="","",MID(IF(AND(Y391=0,NOT(SUMPRODUCT(--ISNUMBER(SEARCH({"棚板","棚","アングル","ｱﾝｸﾞﾙ","使用不可","ケーブル","ｹｰﾌﾞﾙ","PatchPnael","パッチ","引き出し","引出","ブランク","ﾌﾞﾗﾝｸ","マネージ","ﾏﾈｰｼﾞ","PDU","ONU"},$F391&amp;"")))&gt;0),NOT(SUMPRODUCT(--ISNUMBER(SEARCH({"電源オフ","未投入","停止","未使用","撤去"},$X391&amp;"")))&gt;0)),"／電力が未記入","")&amp;IF(AND(NOT(ISNUMBER(J391)),NOT(SUMPRODUCT(--ISNUMBER(SEARCH({"棚板","棚","アングル","ｱﾝｸﾞﾙ","使用不可","ケーブル","ｹｰﾌﾞﾙ","PatchPnael","パッチ","引き出し","引出","ブランク","ﾌﾞﾗﾝｸ","マネージ","ﾏﾈｰｼﾞ","PDU","ONU"},$F391&amp;"")))&gt;0)),"／重量が未記入","")&amp;IF(AND(K391&lt;&gt;"",NOT(ISNUMBER(K391))),"／電圧が数値でない","")&amp;IF(AND(N391&lt;&gt;"",NOT(ISNUMBER(N391))),"／電流が数値でない","")&amp;IF(AND(C391&lt;&gt;"",C391&lt;1),"／開始Uが1未満","")&amp;IF(AND(E391&lt;&gt;"",E391&gt;IFERROR(VLOOKUP(A391,ラック定義!$A:$B,2,FALSE),47)),"／総Uをはみ出す","")&amp;IF(AND(A391&lt;&gt;"",COUNTIF(ラック定義!$A:$A,A391)=0),"／ラックが定義にない","")&amp;IF(AND(SUMPRODUCT((機器台帳!$A$2:$A$400=$A391)*((機器台帳!$B$2:$B$400=$B391)+(機器台帳!$B$2:$B$400="両面")+($B391="両面")&gt;0)*(機器台帳!$C$2:$C$400&lt;=$C391+$D391-1)*(機器台帳!$C$2:$C$400+機器台帳!$D$2:$D$400-1&gt;=$C391)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391&amp;"")))&gt;0)),"／同じUに他の機器(横並びなら正常)","")&amp;IF(AND(M391&lt;&gt;"",COUNTIFS(回路定義!$A:$A,A391,回路定義!$B:$B,M391)=0),"／回路1が定義にない","")&amp;IF(AND(P391&lt;&gt;"",COUNTIFS(回路定義!$A:$A,A391,回路定義!$B:$B,P391)=0),"／回路2が定義にない","")&amp;IF(AND(S391&lt;&gt;"",COUNTIFS(回路定義!$A:$A,A391,回路定義!$B:$B,S391)=0),"／回路3が定義にない",""),2,300)))</f>
        <v/>
      </c>
    </row>
    <row r="392">
      <c r="A392" s="5" t="n"/>
      <c r="B392" s="5" t="n"/>
      <c r="C392" s="5" t="n"/>
      <c r="D392" s="5" t="n"/>
      <c r="E392" s="6">
        <f>IF(C392="","",C392+D392-1)</f>
        <v/>
      </c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6">
        <f>COUNT(N392,Q392,T392)</f>
        <v/>
      </c>
      <c r="Z392" s="6">
        <f>IF(OR(K392="",NOT(ISNUMBER(K392))),"",K392*SUM(N392,Q392,T392))</f>
        <v/>
      </c>
      <c r="AA392" s="6">
        <f>IF(OR(Y392=0,N392=""),"",N392/Y392)</f>
        <v/>
      </c>
      <c r="AB392" s="6">
        <f>IF(OR(Y392=0,Q392=""),"",Q392/Y392)</f>
        <v/>
      </c>
      <c r="AC392" s="6">
        <f>IF(OR(Y392=0,T392=""),"",T392/Y392)</f>
        <v/>
      </c>
      <c r="AD392" s="6">
        <f>IF(F392="","",IF((IF(AND(Y392=0,NOT(SUMPRODUCT(--ISNUMBER(SEARCH({"棚板","棚","アングル","ｱﾝｸﾞﾙ","使用不可","ケーブル","ｹｰﾌﾞﾙ","PatchPnael","パッチ","引き出し","引出","ブランク","ﾌﾞﾗﾝｸ","マネージ","ﾏﾈｰｼﾞ","PDU","ONU"},$F392&amp;"")))&gt;0),NOT(SUMPRODUCT(--ISNUMBER(SEARCH({"電源オフ","未投入","停止","未使用","撤去"},$X392&amp;"")))&gt;0)),"／電力が未記入","")&amp;IF(AND(NOT(ISNUMBER(J392)),NOT(SUMPRODUCT(--ISNUMBER(SEARCH({"棚板","棚","アングル","ｱﾝｸﾞﾙ","使用不可","ケーブル","ｹｰﾌﾞﾙ","PatchPnael","パッチ","引き出し","引出","ブランク","ﾌﾞﾗﾝｸ","マネージ","ﾏﾈｰｼﾞ","PDU","ONU"},$F392&amp;"")))&gt;0)),"／重量が未記入","")&amp;IF(AND(K392&lt;&gt;"",NOT(ISNUMBER(K392))),"／電圧が数値でない","")&amp;IF(AND(N392&lt;&gt;"",NOT(ISNUMBER(N392))),"／電流が数値でない","")&amp;IF(AND(C392&lt;&gt;"",C392&lt;1),"／開始Uが1未満","")&amp;IF(AND(E392&lt;&gt;"",E392&gt;IFERROR(VLOOKUP(A392,ラック定義!$A:$B,2,FALSE),47)),"／総Uをはみ出す","")&amp;IF(AND(A392&lt;&gt;"",COUNTIF(ラック定義!$A:$A,A392)=0),"／ラックが定義にない","")&amp;IF(AND(SUMPRODUCT((機器台帳!$A$2:$A$400=$A392)*((機器台帳!$B$2:$B$400=$B392)+(機器台帳!$B$2:$B$400="両面")+($B392="両面")&gt;0)*(機器台帳!$C$2:$C$400&lt;=$C392+$D392-1)*(機器台帳!$C$2:$C$400+機器台帳!$D$2:$D$400-1&gt;=$C392)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392&amp;"")))&gt;0)),"／同じUに他の機器(横並びなら正常)","")&amp;IF(AND(M392&lt;&gt;"",COUNTIFS(回路定義!$A:$A,A392,回路定義!$B:$B,M392)=0),"／回路1が定義にない","")&amp;IF(AND(P392&lt;&gt;"",COUNTIFS(回路定義!$A:$A,A392,回路定義!$B:$B,P392)=0),"／回路2が定義にない","")&amp;IF(AND(S392&lt;&gt;"",COUNTIFS(回路定義!$A:$A,A392,回路定義!$B:$B,S392)=0),"／回路3が定義にない",""))="","",MID(IF(AND(Y392=0,NOT(SUMPRODUCT(--ISNUMBER(SEARCH({"棚板","棚","アングル","ｱﾝｸﾞﾙ","使用不可","ケーブル","ｹｰﾌﾞﾙ","PatchPnael","パッチ","引き出し","引出","ブランク","ﾌﾞﾗﾝｸ","マネージ","ﾏﾈｰｼﾞ","PDU","ONU"},$F392&amp;"")))&gt;0),NOT(SUMPRODUCT(--ISNUMBER(SEARCH({"電源オフ","未投入","停止","未使用","撤去"},$X392&amp;"")))&gt;0)),"／電力が未記入","")&amp;IF(AND(NOT(ISNUMBER(J392)),NOT(SUMPRODUCT(--ISNUMBER(SEARCH({"棚板","棚","アングル","ｱﾝｸﾞﾙ","使用不可","ケーブル","ｹｰﾌﾞﾙ","PatchPnael","パッチ","引き出し","引出","ブランク","ﾌﾞﾗﾝｸ","マネージ","ﾏﾈｰｼﾞ","PDU","ONU"},$F392&amp;"")))&gt;0)),"／重量が未記入","")&amp;IF(AND(K392&lt;&gt;"",NOT(ISNUMBER(K392))),"／電圧が数値でない","")&amp;IF(AND(N392&lt;&gt;"",NOT(ISNUMBER(N392))),"／電流が数値でない","")&amp;IF(AND(C392&lt;&gt;"",C392&lt;1),"／開始Uが1未満","")&amp;IF(AND(E392&lt;&gt;"",E392&gt;IFERROR(VLOOKUP(A392,ラック定義!$A:$B,2,FALSE),47)),"／総Uをはみ出す","")&amp;IF(AND(A392&lt;&gt;"",COUNTIF(ラック定義!$A:$A,A392)=0),"／ラックが定義にない","")&amp;IF(AND(SUMPRODUCT((機器台帳!$A$2:$A$400=$A392)*((機器台帳!$B$2:$B$400=$B392)+(機器台帳!$B$2:$B$400="両面")+($B392="両面")&gt;0)*(機器台帳!$C$2:$C$400&lt;=$C392+$D392-1)*(機器台帳!$C$2:$C$400+機器台帳!$D$2:$D$400-1&gt;=$C392)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392&amp;"")))&gt;0)),"／同じUに他の機器(横並びなら正常)","")&amp;IF(AND(M392&lt;&gt;"",COUNTIFS(回路定義!$A:$A,A392,回路定義!$B:$B,M392)=0),"／回路1が定義にない","")&amp;IF(AND(P392&lt;&gt;"",COUNTIFS(回路定義!$A:$A,A392,回路定義!$B:$B,P392)=0),"／回路2が定義にない","")&amp;IF(AND(S392&lt;&gt;"",COUNTIFS(回路定義!$A:$A,A392,回路定義!$B:$B,S392)=0),"／回路3が定義にない",""),2,300)))</f>
        <v/>
      </c>
    </row>
    <row r="393">
      <c r="A393" s="5" t="n"/>
      <c r="B393" s="5" t="n"/>
      <c r="C393" s="5" t="n"/>
      <c r="D393" s="5" t="n"/>
      <c r="E393" s="6">
        <f>IF(C393="","",C393+D393-1)</f>
        <v/>
      </c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6">
        <f>COUNT(N393,Q393,T393)</f>
        <v/>
      </c>
      <c r="Z393" s="6">
        <f>IF(OR(K393="",NOT(ISNUMBER(K393))),"",K393*SUM(N393,Q393,T393))</f>
        <v/>
      </c>
      <c r="AA393" s="6">
        <f>IF(OR(Y393=0,N393=""),"",N393/Y393)</f>
        <v/>
      </c>
      <c r="AB393" s="6">
        <f>IF(OR(Y393=0,Q393=""),"",Q393/Y393)</f>
        <v/>
      </c>
      <c r="AC393" s="6">
        <f>IF(OR(Y393=0,T393=""),"",T393/Y393)</f>
        <v/>
      </c>
      <c r="AD393" s="6">
        <f>IF(F393="","",IF((IF(AND(Y393=0,NOT(SUMPRODUCT(--ISNUMBER(SEARCH({"棚板","棚","アングル","ｱﾝｸﾞﾙ","使用不可","ケーブル","ｹｰﾌﾞﾙ","PatchPnael","パッチ","引き出し","引出","ブランク","ﾌﾞﾗﾝｸ","マネージ","ﾏﾈｰｼﾞ","PDU","ONU"},$F393&amp;"")))&gt;0),NOT(SUMPRODUCT(--ISNUMBER(SEARCH({"電源オフ","未投入","停止","未使用","撤去"},$X393&amp;"")))&gt;0)),"／電力が未記入","")&amp;IF(AND(NOT(ISNUMBER(J393)),NOT(SUMPRODUCT(--ISNUMBER(SEARCH({"棚板","棚","アングル","ｱﾝｸﾞﾙ","使用不可","ケーブル","ｹｰﾌﾞﾙ","PatchPnael","パッチ","引き出し","引出","ブランク","ﾌﾞﾗﾝｸ","マネージ","ﾏﾈｰｼﾞ","PDU","ONU"},$F393&amp;"")))&gt;0)),"／重量が未記入","")&amp;IF(AND(K393&lt;&gt;"",NOT(ISNUMBER(K393))),"／電圧が数値でない","")&amp;IF(AND(N393&lt;&gt;"",NOT(ISNUMBER(N393))),"／電流が数値でない","")&amp;IF(AND(C393&lt;&gt;"",C393&lt;1),"／開始Uが1未満","")&amp;IF(AND(E393&lt;&gt;"",E393&gt;IFERROR(VLOOKUP(A393,ラック定義!$A:$B,2,FALSE),47)),"／総Uをはみ出す","")&amp;IF(AND(A393&lt;&gt;"",COUNTIF(ラック定義!$A:$A,A393)=0),"／ラックが定義にない","")&amp;IF(AND(SUMPRODUCT((機器台帳!$A$2:$A$400=$A393)*((機器台帳!$B$2:$B$400=$B393)+(機器台帳!$B$2:$B$400="両面")+($B393="両面")&gt;0)*(機器台帳!$C$2:$C$400&lt;=$C393+$D393-1)*(機器台帳!$C$2:$C$400+機器台帳!$D$2:$D$400-1&gt;=$C393)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393&amp;"")))&gt;0)),"／同じUに他の機器(横並びなら正常)","")&amp;IF(AND(M393&lt;&gt;"",COUNTIFS(回路定義!$A:$A,A393,回路定義!$B:$B,M393)=0),"／回路1が定義にない","")&amp;IF(AND(P393&lt;&gt;"",COUNTIFS(回路定義!$A:$A,A393,回路定義!$B:$B,P393)=0),"／回路2が定義にない","")&amp;IF(AND(S393&lt;&gt;"",COUNTIFS(回路定義!$A:$A,A393,回路定義!$B:$B,S393)=0),"／回路3が定義にない",""))="","",MID(IF(AND(Y393=0,NOT(SUMPRODUCT(--ISNUMBER(SEARCH({"棚板","棚","アングル","ｱﾝｸﾞﾙ","使用不可","ケーブル","ｹｰﾌﾞﾙ","PatchPnael","パッチ","引き出し","引出","ブランク","ﾌﾞﾗﾝｸ","マネージ","ﾏﾈｰｼﾞ","PDU","ONU"},$F393&amp;"")))&gt;0),NOT(SUMPRODUCT(--ISNUMBER(SEARCH({"電源オフ","未投入","停止","未使用","撤去"},$X393&amp;"")))&gt;0)),"／電力が未記入","")&amp;IF(AND(NOT(ISNUMBER(J393)),NOT(SUMPRODUCT(--ISNUMBER(SEARCH({"棚板","棚","アングル","ｱﾝｸﾞﾙ","使用不可","ケーブル","ｹｰﾌﾞﾙ","PatchPnael","パッチ","引き出し","引出","ブランク","ﾌﾞﾗﾝｸ","マネージ","ﾏﾈｰｼﾞ","PDU","ONU"},$F393&amp;"")))&gt;0)),"／重量が未記入","")&amp;IF(AND(K393&lt;&gt;"",NOT(ISNUMBER(K393))),"／電圧が数値でない","")&amp;IF(AND(N393&lt;&gt;"",NOT(ISNUMBER(N393))),"／電流が数値でない","")&amp;IF(AND(C393&lt;&gt;"",C393&lt;1),"／開始Uが1未満","")&amp;IF(AND(E393&lt;&gt;"",E393&gt;IFERROR(VLOOKUP(A393,ラック定義!$A:$B,2,FALSE),47)),"／総Uをはみ出す","")&amp;IF(AND(A393&lt;&gt;"",COUNTIF(ラック定義!$A:$A,A393)=0),"／ラックが定義にない","")&amp;IF(AND(SUMPRODUCT((機器台帳!$A$2:$A$400=$A393)*((機器台帳!$B$2:$B$400=$B393)+(機器台帳!$B$2:$B$400="両面")+($B393="両面")&gt;0)*(機器台帳!$C$2:$C$400&lt;=$C393+$D393-1)*(機器台帳!$C$2:$C$400+機器台帳!$D$2:$D$400-1&gt;=$C393)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393&amp;"")))&gt;0)),"／同じUに他の機器(横並びなら正常)","")&amp;IF(AND(M393&lt;&gt;"",COUNTIFS(回路定義!$A:$A,A393,回路定義!$B:$B,M393)=0),"／回路1が定義にない","")&amp;IF(AND(P393&lt;&gt;"",COUNTIFS(回路定義!$A:$A,A393,回路定義!$B:$B,P393)=0),"／回路2が定義にない","")&amp;IF(AND(S393&lt;&gt;"",COUNTIFS(回路定義!$A:$A,A393,回路定義!$B:$B,S393)=0),"／回路3が定義にない",""),2,300)))</f>
        <v/>
      </c>
    </row>
    <row r="394">
      <c r="A394" s="5" t="n"/>
      <c r="B394" s="5" t="n"/>
      <c r="C394" s="5" t="n"/>
      <c r="D394" s="5" t="n"/>
      <c r="E394" s="6">
        <f>IF(C394="","",C394+D394-1)</f>
        <v/>
      </c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6">
        <f>COUNT(N394,Q394,T394)</f>
        <v/>
      </c>
      <c r="Z394" s="6">
        <f>IF(OR(K394="",NOT(ISNUMBER(K394))),"",K394*SUM(N394,Q394,T394))</f>
        <v/>
      </c>
      <c r="AA394" s="6">
        <f>IF(OR(Y394=0,N394=""),"",N394/Y394)</f>
        <v/>
      </c>
      <c r="AB394" s="6">
        <f>IF(OR(Y394=0,Q394=""),"",Q394/Y394)</f>
        <v/>
      </c>
      <c r="AC394" s="6">
        <f>IF(OR(Y394=0,T394=""),"",T394/Y394)</f>
        <v/>
      </c>
      <c r="AD394" s="6">
        <f>IF(F394="","",IF((IF(AND(Y394=0,NOT(SUMPRODUCT(--ISNUMBER(SEARCH({"棚板","棚","アングル","ｱﾝｸﾞﾙ","使用不可","ケーブル","ｹｰﾌﾞﾙ","PatchPnael","パッチ","引き出し","引出","ブランク","ﾌﾞﾗﾝｸ","マネージ","ﾏﾈｰｼﾞ","PDU","ONU"},$F394&amp;"")))&gt;0),NOT(SUMPRODUCT(--ISNUMBER(SEARCH({"電源オフ","未投入","停止","未使用","撤去"},$X394&amp;"")))&gt;0)),"／電力が未記入","")&amp;IF(AND(NOT(ISNUMBER(J394)),NOT(SUMPRODUCT(--ISNUMBER(SEARCH({"棚板","棚","アングル","ｱﾝｸﾞﾙ","使用不可","ケーブル","ｹｰﾌﾞﾙ","PatchPnael","パッチ","引き出し","引出","ブランク","ﾌﾞﾗﾝｸ","マネージ","ﾏﾈｰｼﾞ","PDU","ONU"},$F394&amp;"")))&gt;0)),"／重量が未記入","")&amp;IF(AND(K394&lt;&gt;"",NOT(ISNUMBER(K394))),"／電圧が数値でない","")&amp;IF(AND(N394&lt;&gt;"",NOT(ISNUMBER(N394))),"／電流が数値でない","")&amp;IF(AND(C394&lt;&gt;"",C394&lt;1),"／開始Uが1未満","")&amp;IF(AND(E394&lt;&gt;"",E394&gt;IFERROR(VLOOKUP(A394,ラック定義!$A:$B,2,FALSE),47)),"／総Uをはみ出す","")&amp;IF(AND(A394&lt;&gt;"",COUNTIF(ラック定義!$A:$A,A394)=0),"／ラックが定義にない","")&amp;IF(AND(SUMPRODUCT((機器台帳!$A$2:$A$400=$A394)*((機器台帳!$B$2:$B$400=$B394)+(機器台帳!$B$2:$B$400="両面")+($B394="両面")&gt;0)*(機器台帳!$C$2:$C$400&lt;=$C394+$D394-1)*(機器台帳!$C$2:$C$400+機器台帳!$D$2:$D$400-1&gt;=$C394)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394&amp;"")))&gt;0)),"／同じUに他の機器(横並びなら正常)","")&amp;IF(AND(M394&lt;&gt;"",COUNTIFS(回路定義!$A:$A,A394,回路定義!$B:$B,M394)=0),"／回路1が定義にない","")&amp;IF(AND(P394&lt;&gt;"",COUNTIFS(回路定義!$A:$A,A394,回路定義!$B:$B,P394)=0),"／回路2が定義にない","")&amp;IF(AND(S394&lt;&gt;"",COUNTIFS(回路定義!$A:$A,A394,回路定義!$B:$B,S394)=0),"／回路3が定義にない",""))="","",MID(IF(AND(Y394=0,NOT(SUMPRODUCT(--ISNUMBER(SEARCH({"棚板","棚","アングル","ｱﾝｸﾞﾙ","使用不可","ケーブル","ｹｰﾌﾞﾙ","PatchPnael","パッチ","引き出し","引出","ブランク","ﾌﾞﾗﾝｸ","マネージ","ﾏﾈｰｼﾞ","PDU","ONU"},$F394&amp;"")))&gt;0),NOT(SUMPRODUCT(--ISNUMBER(SEARCH({"電源オフ","未投入","停止","未使用","撤去"},$X394&amp;"")))&gt;0)),"／電力が未記入","")&amp;IF(AND(NOT(ISNUMBER(J394)),NOT(SUMPRODUCT(--ISNUMBER(SEARCH({"棚板","棚","アングル","ｱﾝｸﾞﾙ","使用不可","ケーブル","ｹｰﾌﾞﾙ","PatchPnael","パッチ","引き出し","引出","ブランク","ﾌﾞﾗﾝｸ","マネージ","ﾏﾈｰｼﾞ","PDU","ONU"},$F394&amp;"")))&gt;0)),"／重量が未記入","")&amp;IF(AND(K394&lt;&gt;"",NOT(ISNUMBER(K394))),"／電圧が数値でない","")&amp;IF(AND(N394&lt;&gt;"",NOT(ISNUMBER(N394))),"／電流が数値でない","")&amp;IF(AND(C394&lt;&gt;"",C394&lt;1),"／開始Uが1未満","")&amp;IF(AND(E394&lt;&gt;"",E394&gt;IFERROR(VLOOKUP(A394,ラック定義!$A:$B,2,FALSE),47)),"／総Uをはみ出す","")&amp;IF(AND(A394&lt;&gt;"",COUNTIF(ラック定義!$A:$A,A394)=0),"／ラックが定義にない","")&amp;IF(AND(SUMPRODUCT((機器台帳!$A$2:$A$400=$A394)*((機器台帳!$B$2:$B$400=$B394)+(機器台帳!$B$2:$B$400="両面")+($B394="両面")&gt;0)*(機器台帳!$C$2:$C$400&lt;=$C394+$D394-1)*(機器台帳!$C$2:$C$400+機器台帳!$D$2:$D$400-1&gt;=$C394)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394&amp;"")))&gt;0)),"／同じUに他の機器(横並びなら正常)","")&amp;IF(AND(M394&lt;&gt;"",COUNTIFS(回路定義!$A:$A,A394,回路定義!$B:$B,M394)=0),"／回路1が定義にない","")&amp;IF(AND(P394&lt;&gt;"",COUNTIFS(回路定義!$A:$A,A394,回路定義!$B:$B,P394)=0),"／回路2が定義にない","")&amp;IF(AND(S394&lt;&gt;"",COUNTIFS(回路定義!$A:$A,A394,回路定義!$B:$B,S394)=0),"／回路3が定義にない",""),2,300)))</f>
        <v/>
      </c>
    </row>
    <row r="395">
      <c r="A395" s="5" t="n"/>
      <c r="B395" s="5" t="n"/>
      <c r="C395" s="5" t="n"/>
      <c r="D395" s="5" t="n"/>
      <c r="E395" s="6">
        <f>IF(C395="","",C395+D395-1)</f>
        <v/>
      </c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6">
        <f>COUNT(N395,Q395,T395)</f>
        <v/>
      </c>
      <c r="Z395" s="6">
        <f>IF(OR(K395="",NOT(ISNUMBER(K395))),"",K395*SUM(N395,Q395,T395))</f>
        <v/>
      </c>
      <c r="AA395" s="6">
        <f>IF(OR(Y395=0,N395=""),"",N395/Y395)</f>
        <v/>
      </c>
      <c r="AB395" s="6">
        <f>IF(OR(Y395=0,Q395=""),"",Q395/Y395)</f>
        <v/>
      </c>
      <c r="AC395" s="6">
        <f>IF(OR(Y395=0,T395=""),"",T395/Y395)</f>
        <v/>
      </c>
      <c r="AD395" s="6">
        <f>IF(F395="","",IF((IF(AND(Y395=0,NOT(SUMPRODUCT(--ISNUMBER(SEARCH({"棚板","棚","アングル","ｱﾝｸﾞﾙ","使用不可","ケーブル","ｹｰﾌﾞﾙ","PatchPnael","パッチ","引き出し","引出","ブランク","ﾌﾞﾗﾝｸ","マネージ","ﾏﾈｰｼﾞ","PDU","ONU"},$F395&amp;"")))&gt;0),NOT(SUMPRODUCT(--ISNUMBER(SEARCH({"電源オフ","未投入","停止","未使用","撤去"},$X395&amp;"")))&gt;0)),"／電力が未記入","")&amp;IF(AND(NOT(ISNUMBER(J395)),NOT(SUMPRODUCT(--ISNUMBER(SEARCH({"棚板","棚","アングル","ｱﾝｸﾞﾙ","使用不可","ケーブル","ｹｰﾌﾞﾙ","PatchPnael","パッチ","引き出し","引出","ブランク","ﾌﾞﾗﾝｸ","マネージ","ﾏﾈｰｼﾞ","PDU","ONU"},$F395&amp;"")))&gt;0)),"／重量が未記入","")&amp;IF(AND(K395&lt;&gt;"",NOT(ISNUMBER(K395))),"／電圧が数値でない","")&amp;IF(AND(N395&lt;&gt;"",NOT(ISNUMBER(N395))),"／電流が数値でない","")&amp;IF(AND(C395&lt;&gt;"",C395&lt;1),"／開始Uが1未満","")&amp;IF(AND(E395&lt;&gt;"",E395&gt;IFERROR(VLOOKUP(A395,ラック定義!$A:$B,2,FALSE),47)),"／総Uをはみ出す","")&amp;IF(AND(A395&lt;&gt;"",COUNTIF(ラック定義!$A:$A,A395)=0),"／ラックが定義にない","")&amp;IF(AND(SUMPRODUCT((機器台帳!$A$2:$A$400=$A395)*((機器台帳!$B$2:$B$400=$B395)+(機器台帳!$B$2:$B$400="両面")+($B395="両面")&gt;0)*(機器台帳!$C$2:$C$400&lt;=$C395+$D395-1)*(機器台帳!$C$2:$C$400+機器台帳!$D$2:$D$400-1&gt;=$C395)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395&amp;"")))&gt;0)),"／同じUに他の機器(横並びなら正常)","")&amp;IF(AND(M395&lt;&gt;"",COUNTIFS(回路定義!$A:$A,A395,回路定義!$B:$B,M395)=0),"／回路1が定義にない","")&amp;IF(AND(P395&lt;&gt;"",COUNTIFS(回路定義!$A:$A,A395,回路定義!$B:$B,P395)=0),"／回路2が定義にない","")&amp;IF(AND(S395&lt;&gt;"",COUNTIFS(回路定義!$A:$A,A395,回路定義!$B:$B,S395)=0),"／回路3が定義にない",""))="","",MID(IF(AND(Y395=0,NOT(SUMPRODUCT(--ISNUMBER(SEARCH({"棚板","棚","アングル","ｱﾝｸﾞﾙ","使用不可","ケーブル","ｹｰﾌﾞﾙ","PatchPnael","パッチ","引き出し","引出","ブランク","ﾌﾞﾗﾝｸ","マネージ","ﾏﾈｰｼﾞ","PDU","ONU"},$F395&amp;"")))&gt;0),NOT(SUMPRODUCT(--ISNUMBER(SEARCH({"電源オフ","未投入","停止","未使用","撤去"},$X395&amp;"")))&gt;0)),"／電力が未記入","")&amp;IF(AND(NOT(ISNUMBER(J395)),NOT(SUMPRODUCT(--ISNUMBER(SEARCH({"棚板","棚","アングル","ｱﾝｸﾞﾙ","使用不可","ケーブル","ｹｰﾌﾞﾙ","PatchPnael","パッチ","引き出し","引出","ブランク","ﾌﾞﾗﾝｸ","マネージ","ﾏﾈｰｼﾞ","PDU","ONU"},$F395&amp;"")))&gt;0)),"／重量が未記入","")&amp;IF(AND(K395&lt;&gt;"",NOT(ISNUMBER(K395))),"／電圧が数値でない","")&amp;IF(AND(N395&lt;&gt;"",NOT(ISNUMBER(N395))),"／電流が数値でない","")&amp;IF(AND(C395&lt;&gt;"",C395&lt;1),"／開始Uが1未満","")&amp;IF(AND(E395&lt;&gt;"",E395&gt;IFERROR(VLOOKUP(A395,ラック定義!$A:$B,2,FALSE),47)),"／総Uをはみ出す","")&amp;IF(AND(A395&lt;&gt;"",COUNTIF(ラック定義!$A:$A,A395)=0),"／ラックが定義にない","")&amp;IF(AND(SUMPRODUCT((機器台帳!$A$2:$A$400=$A395)*((機器台帳!$B$2:$B$400=$B395)+(機器台帳!$B$2:$B$400="両面")+($B395="両面")&gt;0)*(機器台帳!$C$2:$C$400&lt;=$C395+$D395-1)*(機器台帳!$C$2:$C$400+機器台帳!$D$2:$D$400-1&gt;=$C395)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395&amp;"")))&gt;0)),"／同じUに他の機器(横並びなら正常)","")&amp;IF(AND(M395&lt;&gt;"",COUNTIFS(回路定義!$A:$A,A395,回路定義!$B:$B,M395)=0),"／回路1が定義にない","")&amp;IF(AND(P395&lt;&gt;"",COUNTIFS(回路定義!$A:$A,A395,回路定義!$B:$B,P395)=0),"／回路2が定義にない","")&amp;IF(AND(S395&lt;&gt;"",COUNTIFS(回路定義!$A:$A,A395,回路定義!$B:$B,S395)=0),"／回路3が定義にない",""),2,300)))</f>
        <v/>
      </c>
    </row>
    <row r="396">
      <c r="A396" s="5" t="n"/>
      <c r="B396" s="5" t="n"/>
      <c r="C396" s="5" t="n"/>
      <c r="D396" s="5" t="n"/>
      <c r="E396" s="6">
        <f>IF(C396="","",C396+D396-1)</f>
        <v/>
      </c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6">
        <f>COUNT(N396,Q396,T396)</f>
        <v/>
      </c>
      <c r="Z396" s="6">
        <f>IF(OR(K396="",NOT(ISNUMBER(K396))),"",K396*SUM(N396,Q396,T396))</f>
        <v/>
      </c>
      <c r="AA396" s="6">
        <f>IF(OR(Y396=0,N396=""),"",N396/Y396)</f>
        <v/>
      </c>
      <c r="AB396" s="6">
        <f>IF(OR(Y396=0,Q396=""),"",Q396/Y396)</f>
        <v/>
      </c>
      <c r="AC396" s="6">
        <f>IF(OR(Y396=0,T396=""),"",T396/Y396)</f>
        <v/>
      </c>
      <c r="AD396" s="6">
        <f>IF(F396="","",IF((IF(AND(Y396=0,NOT(SUMPRODUCT(--ISNUMBER(SEARCH({"棚板","棚","アングル","ｱﾝｸﾞﾙ","使用不可","ケーブル","ｹｰﾌﾞﾙ","PatchPnael","パッチ","引き出し","引出","ブランク","ﾌﾞﾗﾝｸ","マネージ","ﾏﾈｰｼﾞ","PDU","ONU"},$F396&amp;"")))&gt;0),NOT(SUMPRODUCT(--ISNUMBER(SEARCH({"電源オフ","未投入","停止","未使用","撤去"},$X396&amp;"")))&gt;0)),"／電力が未記入","")&amp;IF(AND(NOT(ISNUMBER(J396)),NOT(SUMPRODUCT(--ISNUMBER(SEARCH({"棚板","棚","アングル","ｱﾝｸﾞﾙ","使用不可","ケーブル","ｹｰﾌﾞﾙ","PatchPnael","パッチ","引き出し","引出","ブランク","ﾌﾞﾗﾝｸ","マネージ","ﾏﾈｰｼﾞ","PDU","ONU"},$F396&amp;"")))&gt;0)),"／重量が未記入","")&amp;IF(AND(K396&lt;&gt;"",NOT(ISNUMBER(K396))),"／電圧が数値でない","")&amp;IF(AND(N396&lt;&gt;"",NOT(ISNUMBER(N396))),"／電流が数値でない","")&amp;IF(AND(C396&lt;&gt;"",C396&lt;1),"／開始Uが1未満","")&amp;IF(AND(E396&lt;&gt;"",E396&gt;IFERROR(VLOOKUP(A396,ラック定義!$A:$B,2,FALSE),47)),"／総Uをはみ出す","")&amp;IF(AND(A396&lt;&gt;"",COUNTIF(ラック定義!$A:$A,A396)=0),"／ラックが定義にない","")&amp;IF(AND(SUMPRODUCT((機器台帳!$A$2:$A$400=$A396)*((機器台帳!$B$2:$B$400=$B396)+(機器台帳!$B$2:$B$400="両面")+($B396="両面")&gt;0)*(機器台帳!$C$2:$C$400&lt;=$C396+$D396-1)*(機器台帳!$C$2:$C$400+機器台帳!$D$2:$D$400-1&gt;=$C396)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396&amp;"")))&gt;0)),"／同じUに他の機器(横並びなら正常)","")&amp;IF(AND(M396&lt;&gt;"",COUNTIFS(回路定義!$A:$A,A396,回路定義!$B:$B,M396)=0),"／回路1が定義にない","")&amp;IF(AND(P396&lt;&gt;"",COUNTIFS(回路定義!$A:$A,A396,回路定義!$B:$B,P396)=0),"／回路2が定義にない","")&amp;IF(AND(S396&lt;&gt;"",COUNTIFS(回路定義!$A:$A,A396,回路定義!$B:$B,S396)=0),"／回路3が定義にない",""))="","",MID(IF(AND(Y396=0,NOT(SUMPRODUCT(--ISNUMBER(SEARCH({"棚板","棚","アングル","ｱﾝｸﾞﾙ","使用不可","ケーブル","ｹｰﾌﾞﾙ","PatchPnael","パッチ","引き出し","引出","ブランク","ﾌﾞﾗﾝｸ","マネージ","ﾏﾈｰｼﾞ","PDU","ONU"},$F396&amp;"")))&gt;0),NOT(SUMPRODUCT(--ISNUMBER(SEARCH({"電源オフ","未投入","停止","未使用","撤去"},$X396&amp;"")))&gt;0)),"／電力が未記入","")&amp;IF(AND(NOT(ISNUMBER(J396)),NOT(SUMPRODUCT(--ISNUMBER(SEARCH({"棚板","棚","アングル","ｱﾝｸﾞﾙ","使用不可","ケーブル","ｹｰﾌﾞﾙ","PatchPnael","パッチ","引き出し","引出","ブランク","ﾌﾞﾗﾝｸ","マネージ","ﾏﾈｰｼﾞ","PDU","ONU"},$F396&amp;"")))&gt;0)),"／重量が未記入","")&amp;IF(AND(K396&lt;&gt;"",NOT(ISNUMBER(K396))),"／電圧が数値でない","")&amp;IF(AND(N396&lt;&gt;"",NOT(ISNUMBER(N396))),"／電流が数値でない","")&amp;IF(AND(C396&lt;&gt;"",C396&lt;1),"／開始Uが1未満","")&amp;IF(AND(E396&lt;&gt;"",E396&gt;IFERROR(VLOOKUP(A396,ラック定義!$A:$B,2,FALSE),47)),"／総Uをはみ出す","")&amp;IF(AND(A396&lt;&gt;"",COUNTIF(ラック定義!$A:$A,A396)=0),"／ラックが定義にない","")&amp;IF(AND(SUMPRODUCT((機器台帳!$A$2:$A$400=$A396)*((機器台帳!$B$2:$B$400=$B396)+(機器台帳!$B$2:$B$400="両面")+($B396="両面")&gt;0)*(機器台帳!$C$2:$C$400&lt;=$C396+$D396-1)*(機器台帳!$C$2:$C$400+機器台帳!$D$2:$D$400-1&gt;=$C396)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396&amp;"")))&gt;0)),"／同じUに他の機器(横並びなら正常)","")&amp;IF(AND(M396&lt;&gt;"",COUNTIFS(回路定義!$A:$A,A396,回路定義!$B:$B,M396)=0),"／回路1が定義にない","")&amp;IF(AND(P396&lt;&gt;"",COUNTIFS(回路定義!$A:$A,A396,回路定義!$B:$B,P396)=0),"／回路2が定義にない","")&amp;IF(AND(S396&lt;&gt;"",COUNTIFS(回路定義!$A:$A,A396,回路定義!$B:$B,S396)=0),"／回路3が定義にない",""),2,300)))</f>
        <v/>
      </c>
    </row>
    <row r="397">
      <c r="A397" s="5" t="n"/>
      <c r="B397" s="5" t="n"/>
      <c r="C397" s="5" t="n"/>
      <c r="D397" s="5" t="n"/>
      <c r="E397" s="6">
        <f>IF(C397="","",C397+D397-1)</f>
        <v/>
      </c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6">
        <f>COUNT(N397,Q397,T397)</f>
        <v/>
      </c>
      <c r="Z397" s="6">
        <f>IF(OR(K397="",NOT(ISNUMBER(K397))),"",K397*SUM(N397,Q397,T397))</f>
        <v/>
      </c>
      <c r="AA397" s="6">
        <f>IF(OR(Y397=0,N397=""),"",N397/Y397)</f>
        <v/>
      </c>
      <c r="AB397" s="6">
        <f>IF(OR(Y397=0,Q397=""),"",Q397/Y397)</f>
        <v/>
      </c>
      <c r="AC397" s="6">
        <f>IF(OR(Y397=0,T397=""),"",T397/Y397)</f>
        <v/>
      </c>
      <c r="AD397" s="6">
        <f>IF(F397="","",IF((IF(AND(Y397=0,NOT(SUMPRODUCT(--ISNUMBER(SEARCH({"棚板","棚","アングル","ｱﾝｸﾞﾙ","使用不可","ケーブル","ｹｰﾌﾞﾙ","PatchPnael","パッチ","引き出し","引出","ブランク","ﾌﾞﾗﾝｸ","マネージ","ﾏﾈｰｼﾞ","PDU","ONU"},$F397&amp;"")))&gt;0),NOT(SUMPRODUCT(--ISNUMBER(SEARCH({"電源オフ","未投入","停止","未使用","撤去"},$X397&amp;"")))&gt;0)),"／電力が未記入","")&amp;IF(AND(NOT(ISNUMBER(J397)),NOT(SUMPRODUCT(--ISNUMBER(SEARCH({"棚板","棚","アングル","ｱﾝｸﾞﾙ","使用不可","ケーブル","ｹｰﾌﾞﾙ","PatchPnael","パッチ","引き出し","引出","ブランク","ﾌﾞﾗﾝｸ","マネージ","ﾏﾈｰｼﾞ","PDU","ONU"},$F397&amp;"")))&gt;0)),"／重量が未記入","")&amp;IF(AND(K397&lt;&gt;"",NOT(ISNUMBER(K397))),"／電圧が数値でない","")&amp;IF(AND(N397&lt;&gt;"",NOT(ISNUMBER(N397))),"／電流が数値でない","")&amp;IF(AND(C397&lt;&gt;"",C397&lt;1),"／開始Uが1未満","")&amp;IF(AND(E397&lt;&gt;"",E397&gt;IFERROR(VLOOKUP(A397,ラック定義!$A:$B,2,FALSE),47)),"／総Uをはみ出す","")&amp;IF(AND(A397&lt;&gt;"",COUNTIF(ラック定義!$A:$A,A397)=0),"／ラックが定義にない","")&amp;IF(AND(SUMPRODUCT((機器台帳!$A$2:$A$400=$A397)*((機器台帳!$B$2:$B$400=$B397)+(機器台帳!$B$2:$B$400="両面")+($B397="両面")&gt;0)*(機器台帳!$C$2:$C$400&lt;=$C397+$D397-1)*(機器台帳!$C$2:$C$400+機器台帳!$D$2:$D$400-1&gt;=$C397)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397&amp;"")))&gt;0)),"／同じUに他の機器(横並びなら正常)","")&amp;IF(AND(M397&lt;&gt;"",COUNTIFS(回路定義!$A:$A,A397,回路定義!$B:$B,M397)=0),"／回路1が定義にない","")&amp;IF(AND(P397&lt;&gt;"",COUNTIFS(回路定義!$A:$A,A397,回路定義!$B:$B,P397)=0),"／回路2が定義にない","")&amp;IF(AND(S397&lt;&gt;"",COUNTIFS(回路定義!$A:$A,A397,回路定義!$B:$B,S397)=0),"／回路3が定義にない",""))="","",MID(IF(AND(Y397=0,NOT(SUMPRODUCT(--ISNUMBER(SEARCH({"棚板","棚","アングル","ｱﾝｸﾞﾙ","使用不可","ケーブル","ｹｰﾌﾞﾙ","PatchPnael","パッチ","引き出し","引出","ブランク","ﾌﾞﾗﾝｸ","マネージ","ﾏﾈｰｼﾞ","PDU","ONU"},$F397&amp;"")))&gt;0),NOT(SUMPRODUCT(--ISNUMBER(SEARCH({"電源オフ","未投入","停止","未使用","撤去"},$X397&amp;"")))&gt;0)),"／電力が未記入","")&amp;IF(AND(NOT(ISNUMBER(J397)),NOT(SUMPRODUCT(--ISNUMBER(SEARCH({"棚板","棚","アングル","ｱﾝｸﾞﾙ","使用不可","ケーブル","ｹｰﾌﾞﾙ","PatchPnael","パッチ","引き出し","引出","ブランク","ﾌﾞﾗﾝｸ","マネージ","ﾏﾈｰｼﾞ","PDU","ONU"},$F397&amp;"")))&gt;0)),"／重量が未記入","")&amp;IF(AND(K397&lt;&gt;"",NOT(ISNUMBER(K397))),"／電圧が数値でない","")&amp;IF(AND(N397&lt;&gt;"",NOT(ISNUMBER(N397))),"／電流が数値でない","")&amp;IF(AND(C397&lt;&gt;"",C397&lt;1),"／開始Uが1未満","")&amp;IF(AND(E397&lt;&gt;"",E397&gt;IFERROR(VLOOKUP(A397,ラック定義!$A:$B,2,FALSE),47)),"／総Uをはみ出す","")&amp;IF(AND(A397&lt;&gt;"",COUNTIF(ラック定義!$A:$A,A397)=0),"／ラックが定義にない","")&amp;IF(AND(SUMPRODUCT((機器台帳!$A$2:$A$400=$A397)*((機器台帳!$B$2:$B$400=$B397)+(機器台帳!$B$2:$B$400="両面")+($B397="両面")&gt;0)*(機器台帳!$C$2:$C$400&lt;=$C397+$D397-1)*(機器台帳!$C$2:$C$400+機器台帳!$D$2:$D$400-1&gt;=$C397)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397&amp;"")))&gt;0)),"／同じUに他の機器(横並びなら正常)","")&amp;IF(AND(M397&lt;&gt;"",COUNTIFS(回路定義!$A:$A,A397,回路定義!$B:$B,M397)=0),"／回路1が定義にない","")&amp;IF(AND(P397&lt;&gt;"",COUNTIFS(回路定義!$A:$A,A397,回路定義!$B:$B,P397)=0),"／回路2が定義にない","")&amp;IF(AND(S397&lt;&gt;"",COUNTIFS(回路定義!$A:$A,A397,回路定義!$B:$B,S397)=0),"／回路3が定義にない",""),2,300)))</f>
        <v/>
      </c>
    </row>
    <row r="398">
      <c r="A398" s="5" t="n"/>
      <c r="B398" s="5" t="n"/>
      <c r="C398" s="5" t="n"/>
      <c r="D398" s="5" t="n"/>
      <c r="E398" s="6">
        <f>IF(C398="","",C398+D398-1)</f>
        <v/>
      </c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6">
        <f>COUNT(N398,Q398,T398)</f>
        <v/>
      </c>
      <c r="Z398" s="6">
        <f>IF(OR(K398="",NOT(ISNUMBER(K398))),"",K398*SUM(N398,Q398,T398))</f>
        <v/>
      </c>
      <c r="AA398" s="6">
        <f>IF(OR(Y398=0,N398=""),"",N398/Y398)</f>
        <v/>
      </c>
      <c r="AB398" s="6">
        <f>IF(OR(Y398=0,Q398=""),"",Q398/Y398)</f>
        <v/>
      </c>
      <c r="AC398" s="6">
        <f>IF(OR(Y398=0,T398=""),"",T398/Y398)</f>
        <v/>
      </c>
      <c r="AD398" s="6">
        <f>IF(F398="","",IF((IF(AND(Y398=0,NOT(SUMPRODUCT(--ISNUMBER(SEARCH({"棚板","棚","アングル","ｱﾝｸﾞﾙ","使用不可","ケーブル","ｹｰﾌﾞﾙ","PatchPnael","パッチ","引き出し","引出","ブランク","ﾌﾞﾗﾝｸ","マネージ","ﾏﾈｰｼﾞ","PDU","ONU"},$F398&amp;"")))&gt;0),NOT(SUMPRODUCT(--ISNUMBER(SEARCH({"電源オフ","未投入","停止","未使用","撤去"},$X398&amp;"")))&gt;0)),"／電力が未記入","")&amp;IF(AND(NOT(ISNUMBER(J398)),NOT(SUMPRODUCT(--ISNUMBER(SEARCH({"棚板","棚","アングル","ｱﾝｸﾞﾙ","使用不可","ケーブル","ｹｰﾌﾞﾙ","PatchPnael","パッチ","引き出し","引出","ブランク","ﾌﾞﾗﾝｸ","マネージ","ﾏﾈｰｼﾞ","PDU","ONU"},$F398&amp;"")))&gt;0)),"／重量が未記入","")&amp;IF(AND(K398&lt;&gt;"",NOT(ISNUMBER(K398))),"／電圧が数値でない","")&amp;IF(AND(N398&lt;&gt;"",NOT(ISNUMBER(N398))),"／電流が数値でない","")&amp;IF(AND(C398&lt;&gt;"",C398&lt;1),"／開始Uが1未満","")&amp;IF(AND(E398&lt;&gt;"",E398&gt;IFERROR(VLOOKUP(A398,ラック定義!$A:$B,2,FALSE),47)),"／総Uをはみ出す","")&amp;IF(AND(A398&lt;&gt;"",COUNTIF(ラック定義!$A:$A,A398)=0),"／ラックが定義にない","")&amp;IF(AND(SUMPRODUCT((機器台帳!$A$2:$A$400=$A398)*((機器台帳!$B$2:$B$400=$B398)+(機器台帳!$B$2:$B$400="両面")+($B398="両面")&gt;0)*(機器台帳!$C$2:$C$400&lt;=$C398+$D398-1)*(機器台帳!$C$2:$C$400+機器台帳!$D$2:$D$400-1&gt;=$C398)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398&amp;"")))&gt;0)),"／同じUに他の機器(横並びなら正常)","")&amp;IF(AND(M398&lt;&gt;"",COUNTIFS(回路定義!$A:$A,A398,回路定義!$B:$B,M398)=0),"／回路1が定義にない","")&amp;IF(AND(P398&lt;&gt;"",COUNTIFS(回路定義!$A:$A,A398,回路定義!$B:$B,P398)=0),"／回路2が定義にない","")&amp;IF(AND(S398&lt;&gt;"",COUNTIFS(回路定義!$A:$A,A398,回路定義!$B:$B,S398)=0),"／回路3が定義にない",""))="","",MID(IF(AND(Y398=0,NOT(SUMPRODUCT(--ISNUMBER(SEARCH({"棚板","棚","アングル","ｱﾝｸﾞﾙ","使用不可","ケーブル","ｹｰﾌﾞﾙ","PatchPnael","パッチ","引き出し","引出","ブランク","ﾌﾞﾗﾝｸ","マネージ","ﾏﾈｰｼﾞ","PDU","ONU"},$F398&amp;"")))&gt;0),NOT(SUMPRODUCT(--ISNUMBER(SEARCH({"電源オフ","未投入","停止","未使用","撤去"},$X398&amp;"")))&gt;0)),"／電力が未記入","")&amp;IF(AND(NOT(ISNUMBER(J398)),NOT(SUMPRODUCT(--ISNUMBER(SEARCH({"棚板","棚","アングル","ｱﾝｸﾞﾙ","使用不可","ケーブル","ｹｰﾌﾞﾙ","PatchPnael","パッチ","引き出し","引出","ブランク","ﾌﾞﾗﾝｸ","マネージ","ﾏﾈｰｼﾞ","PDU","ONU"},$F398&amp;"")))&gt;0)),"／重量が未記入","")&amp;IF(AND(K398&lt;&gt;"",NOT(ISNUMBER(K398))),"／電圧が数値でない","")&amp;IF(AND(N398&lt;&gt;"",NOT(ISNUMBER(N398))),"／電流が数値でない","")&amp;IF(AND(C398&lt;&gt;"",C398&lt;1),"／開始Uが1未満","")&amp;IF(AND(E398&lt;&gt;"",E398&gt;IFERROR(VLOOKUP(A398,ラック定義!$A:$B,2,FALSE),47)),"／総Uをはみ出す","")&amp;IF(AND(A398&lt;&gt;"",COUNTIF(ラック定義!$A:$A,A398)=0),"／ラックが定義にない","")&amp;IF(AND(SUMPRODUCT((機器台帳!$A$2:$A$400=$A398)*((機器台帳!$B$2:$B$400=$B398)+(機器台帳!$B$2:$B$400="両面")+($B398="両面")&gt;0)*(機器台帳!$C$2:$C$400&lt;=$C398+$D398-1)*(機器台帳!$C$2:$C$400+機器台帳!$D$2:$D$400-1&gt;=$C398)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398&amp;"")))&gt;0)),"／同じUに他の機器(横並びなら正常)","")&amp;IF(AND(M398&lt;&gt;"",COUNTIFS(回路定義!$A:$A,A398,回路定義!$B:$B,M398)=0),"／回路1が定義にない","")&amp;IF(AND(P398&lt;&gt;"",COUNTIFS(回路定義!$A:$A,A398,回路定義!$B:$B,P398)=0),"／回路2が定義にない","")&amp;IF(AND(S398&lt;&gt;"",COUNTIFS(回路定義!$A:$A,A398,回路定義!$B:$B,S398)=0),"／回路3が定義にない",""),2,300)))</f>
        <v/>
      </c>
    </row>
    <row r="399">
      <c r="A399" s="5" t="n"/>
      <c r="B399" s="5" t="n"/>
      <c r="C399" s="5" t="n"/>
      <c r="D399" s="5" t="n"/>
      <c r="E399" s="6">
        <f>IF(C399="","",C399+D399-1)</f>
        <v/>
      </c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6">
        <f>COUNT(N399,Q399,T399)</f>
        <v/>
      </c>
      <c r="Z399" s="6">
        <f>IF(OR(K399="",NOT(ISNUMBER(K399))),"",K399*SUM(N399,Q399,T399))</f>
        <v/>
      </c>
      <c r="AA399" s="6">
        <f>IF(OR(Y399=0,N399=""),"",N399/Y399)</f>
        <v/>
      </c>
      <c r="AB399" s="6">
        <f>IF(OR(Y399=0,Q399=""),"",Q399/Y399)</f>
        <v/>
      </c>
      <c r="AC399" s="6">
        <f>IF(OR(Y399=0,T399=""),"",T399/Y399)</f>
        <v/>
      </c>
      <c r="AD399" s="6">
        <f>IF(F399="","",IF((IF(AND(Y399=0,NOT(SUMPRODUCT(--ISNUMBER(SEARCH({"棚板","棚","アングル","ｱﾝｸﾞﾙ","使用不可","ケーブル","ｹｰﾌﾞﾙ","PatchPnael","パッチ","引き出し","引出","ブランク","ﾌﾞﾗﾝｸ","マネージ","ﾏﾈｰｼﾞ","PDU","ONU"},$F399&amp;"")))&gt;0),NOT(SUMPRODUCT(--ISNUMBER(SEARCH({"電源オフ","未投入","停止","未使用","撤去"},$X399&amp;"")))&gt;0)),"／電力が未記入","")&amp;IF(AND(NOT(ISNUMBER(J399)),NOT(SUMPRODUCT(--ISNUMBER(SEARCH({"棚板","棚","アングル","ｱﾝｸﾞﾙ","使用不可","ケーブル","ｹｰﾌﾞﾙ","PatchPnael","パッチ","引き出し","引出","ブランク","ﾌﾞﾗﾝｸ","マネージ","ﾏﾈｰｼﾞ","PDU","ONU"},$F399&amp;"")))&gt;0)),"／重量が未記入","")&amp;IF(AND(K399&lt;&gt;"",NOT(ISNUMBER(K399))),"／電圧が数値でない","")&amp;IF(AND(N399&lt;&gt;"",NOT(ISNUMBER(N399))),"／電流が数値でない","")&amp;IF(AND(C399&lt;&gt;"",C399&lt;1),"／開始Uが1未満","")&amp;IF(AND(E399&lt;&gt;"",E399&gt;IFERROR(VLOOKUP(A399,ラック定義!$A:$B,2,FALSE),47)),"／総Uをはみ出す","")&amp;IF(AND(A399&lt;&gt;"",COUNTIF(ラック定義!$A:$A,A399)=0),"／ラックが定義にない","")&amp;IF(AND(SUMPRODUCT((機器台帳!$A$2:$A$400=$A399)*((機器台帳!$B$2:$B$400=$B399)+(機器台帳!$B$2:$B$400="両面")+($B399="両面")&gt;0)*(機器台帳!$C$2:$C$400&lt;=$C399+$D399-1)*(機器台帳!$C$2:$C$400+機器台帳!$D$2:$D$400-1&gt;=$C399)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399&amp;"")))&gt;0)),"／同じUに他の機器(横並びなら正常)","")&amp;IF(AND(M399&lt;&gt;"",COUNTIFS(回路定義!$A:$A,A399,回路定義!$B:$B,M399)=0),"／回路1が定義にない","")&amp;IF(AND(P399&lt;&gt;"",COUNTIFS(回路定義!$A:$A,A399,回路定義!$B:$B,P399)=0),"／回路2が定義にない","")&amp;IF(AND(S399&lt;&gt;"",COUNTIFS(回路定義!$A:$A,A399,回路定義!$B:$B,S399)=0),"／回路3が定義にない",""))="","",MID(IF(AND(Y399=0,NOT(SUMPRODUCT(--ISNUMBER(SEARCH({"棚板","棚","アングル","ｱﾝｸﾞﾙ","使用不可","ケーブル","ｹｰﾌﾞﾙ","PatchPnael","パッチ","引き出し","引出","ブランク","ﾌﾞﾗﾝｸ","マネージ","ﾏﾈｰｼﾞ","PDU","ONU"},$F399&amp;"")))&gt;0),NOT(SUMPRODUCT(--ISNUMBER(SEARCH({"電源オフ","未投入","停止","未使用","撤去"},$X399&amp;"")))&gt;0)),"／電力が未記入","")&amp;IF(AND(NOT(ISNUMBER(J399)),NOT(SUMPRODUCT(--ISNUMBER(SEARCH({"棚板","棚","アングル","ｱﾝｸﾞﾙ","使用不可","ケーブル","ｹｰﾌﾞﾙ","PatchPnael","パッチ","引き出し","引出","ブランク","ﾌﾞﾗﾝｸ","マネージ","ﾏﾈｰｼﾞ","PDU","ONU"},$F399&amp;"")))&gt;0)),"／重量が未記入","")&amp;IF(AND(K399&lt;&gt;"",NOT(ISNUMBER(K399))),"／電圧が数値でない","")&amp;IF(AND(N399&lt;&gt;"",NOT(ISNUMBER(N399))),"／電流が数値でない","")&amp;IF(AND(C399&lt;&gt;"",C399&lt;1),"／開始Uが1未満","")&amp;IF(AND(E399&lt;&gt;"",E399&gt;IFERROR(VLOOKUP(A399,ラック定義!$A:$B,2,FALSE),47)),"／総Uをはみ出す","")&amp;IF(AND(A399&lt;&gt;"",COUNTIF(ラック定義!$A:$A,A399)=0),"／ラックが定義にない","")&amp;IF(AND(SUMPRODUCT((機器台帳!$A$2:$A$400=$A399)*((機器台帳!$B$2:$B$400=$B399)+(機器台帳!$B$2:$B$400="両面")+($B399="両面")&gt;0)*(機器台帳!$C$2:$C$400&lt;=$C399+$D399-1)*(機器台帳!$C$2:$C$400+機器台帳!$D$2:$D$400-1&gt;=$C399)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399&amp;"")))&gt;0)),"／同じUに他の機器(横並びなら正常)","")&amp;IF(AND(M399&lt;&gt;"",COUNTIFS(回路定義!$A:$A,A399,回路定義!$B:$B,M399)=0),"／回路1が定義にない","")&amp;IF(AND(P399&lt;&gt;"",COUNTIFS(回路定義!$A:$A,A399,回路定義!$B:$B,P399)=0),"／回路2が定義にない","")&amp;IF(AND(S399&lt;&gt;"",COUNTIFS(回路定義!$A:$A,A399,回路定義!$B:$B,S399)=0),"／回路3が定義にない",""),2,300)))</f>
        <v/>
      </c>
    </row>
    <row r="400">
      <c r="A400" s="5" t="n"/>
      <c r="B400" s="5" t="n"/>
      <c r="C400" s="5" t="n"/>
      <c r="D400" s="5" t="n"/>
      <c r="E400" s="6">
        <f>IF(C400="","",C400+D400-1)</f>
        <v/>
      </c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6">
        <f>COUNT(N400,Q400,T400)</f>
        <v/>
      </c>
      <c r="Z400" s="6">
        <f>IF(OR(K400="",NOT(ISNUMBER(K400))),"",K400*SUM(N400,Q400,T400))</f>
        <v/>
      </c>
      <c r="AA400" s="6">
        <f>IF(OR(Y400=0,N400=""),"",N400/Y400)</f>
        <v/>
      </c>
      <c r="AB400" s="6">
        <f>IF(OR(Y400=0,Q400=""),"",Q400/Y400)</f>
        <v/>
      </c>
      <c r="AC400" s="6">
        <f>IF(OR(Y400=0,T400=""),"",T400/Y400)</f>
        <v/>
      </c>
      <c r="AD400" s="6">
        <f>IF(F400="","",IF((IF(AND(Y400=0,NOT(SUMPRODUCT(--ISNUMBER(SEARCH({"棚板","棚","アングル","ｱﾝｸﾞﾙ","使用不可","ケーブル","ｹｰﾌﾞﾙ","PatchPnael","パッチ","引き出し","引出","ブランク","ﾌﾞﾗﾝｸ","マネージ","ﾏﾈｰｼﾞ","PDU","ONU"},$F400&amp;"")))&gt;0),NOT(SUMPRODUCT(--ISNUMBER(SEARCH({"電源オフ","未投入","停止","未使用","撤去"},$X400&amp;"")))&gt;0)),"／電力が未記入","")&amp;IF(AND(NOT(ISNUMBER(J400)),NOT(SUMPRODUCT(--ISNUMBER(SEARCH({"棚板","棚","アングル","ｱﾝｸﾞﾙ","使用不可","ケーブル","ｹｰﾌﾞﾙ","PatchPnael","パッチ","引き出し","引出","ブランク","ﾌﾞﾗﾝｸ","マネージ","ﾏﾈｰｼﾞ","PDU","ONU"},$F400&amp;"")))&gt;0)),"／重量が未記入","")&amp;IF(AND(K400&lt;&gt;"",NOT(ISNUMBER(K400))),"／電圧が数値でない","")&amp;IF(AND(N400&lt;&gt;"",NOT(ISNUMBER(N400))),"／電流が数値でない","")&amp;IF(AND(C400&lt;&gt;"",C400&lt;1),"／開始Uが1未満","")&amp;IF(AND(E400&lt;&gt;"",E400&gt;IFERROR(VLOOKUP(A400,ラック定義!$A:$B,2,FALSE),47)),"／総Uをはみ出す","")&amp;IF(AND(A400&lt;&gt;"",COUNTIF(ラック定義!$A:$A,A400)=0),"／ラックが定義にない","")&amp;IF(AND(SUMPRODUCT((機器台帳!$A$2:$A$400=$A400)*((機器台帳!$B$2:$B$400=$B400)+(機器台帳!$B$2:$B$400="両面")+($B400="両面")&gt;0)*(機器台帳!$C$2:$C$400&lt;=$C400+$D400-1)*(機器台帳!$C$2:$C$400+機器台帳!$D$2:$D$400-1&gt;=$C400)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400&amp;"")))&gt;0)),"／同じUに他の機器(横並びなら正常)","")&amp;IF(AND(M400&lt;&gt;"",COUNTIFS(回路定義!$A:$A,A400,回路定義!$B:$B,M400)=0),"／回路1が定義にない","")&amp;IF(AND(P400&lt;&gt;"",COUNTIFS(回路定義!$A:$A,A400,回路定義!$B:$B,P400)=0),"／回路2が定義にない","")&amp;IF(AND(S400&lt;&gt;"",COUNTIFS(回路定義!$A:$A,A400,回路定義!$B:$B,S400)=0),"／回路3が定義にない",""))="","",MID(IF(AND(Y400=0,NOT(SUMPRODUCT(--ISNUMBER(SEARCH({"棚板","棚","アングル","ｱﾝｸﾞﾙ","使用不可","ケーブル","ｹｰﾌﾞﾙ","PatchPnael","パッチ","引き出し","引出","ブランク","ﾌﾞﾗﾝｸ","マネージ","ﾏﾈｰｼﾞ","PDU","ONU"},$F400&amp;"")))&gt;0),NOT(SUMPRODUCT(--ISNUMBER(SEARCH({"電源オフ","未投入","停止","未使用","撤去"},$X400&amp;"")))&gt;0)),"／電力が未記入","")&amp;IF(AND(NOT(ISNUMBER(J400)),NOT(SUMPRODUCT(--ISNUMBER(SEARCH({"棚板","棚","アングル","ｱﾝｸﾞﾙ","使用不可","ケーブル","ｹｰﾌﾞﾙ","PatchPnael","パッチ","引き出し","引出","ブランク","ﾌﾞﾗﾝｸ","マネージ","ﾏﾈｰｼﾞ","PDU","ONU"},$F400&amp;"")))&gt;0)),"／重量が未記入","")&amp;IF(AND(K400&lt;&gt;"",NOT(ISNUMBER(K400))),"／電圧が数値でない","")&amp;IF(AND(N400&lt;&gt;"",NOT(ISNUMBER(N400))),"／電流が数値でない","")&amp;IF(AND(C400&lt;&gt;"",C400&lt;1),"／開始Uが1未満","")&amp;IF(AND(E400&lt;&gt;"",E400&gt;IFERROR(VLOOKUP(A400,ラック定義!$A:$B,2,FALSE),47)),"／総Uをはみ出す","")&amp;IF(AND(A400&lt;&gt;"",COUNTIF(ラック定義!$A:$A,A400)=0),"／ラックが定義にない","")&amp;IF(AND(SUMPRODUCT((機器台帳!$A$2:$A$400=$A400)*((機器台帳!$B$2:$B$400=$B400)+(機器台帳!$B$2:$B$400="両面")+($B400="両面")&gt;0)*(機器台帳!$C$2:$C$400&lt;=$C400+$D400-1)*(機器台帳!$C$2:$C$400+機器台帳!$D$2:$D$400-1&gt;=$C400)*(機器台帳!$F$2:$F$400&lt;&gt;""))-1&gt;0,NOT(SUMPRODUCT(--ISNUMBER(SEARCH({"棚板","棚","アングル","ｱﾝｸﾞﾙ","使用不可","ケーブル","ｹｰﾌﾞﾙ","PatchPnael","パッチ","引き出し","引出","ブランク","ﾌﾞﾗﾝｸ","マネージ","ﾏﾈｰｼﾞ","PDU","ONU"},$F400&amp;"")))&gt;0)),"／同じUに他の機器(横並びなら正常)","")&amp;IF(AND(M400&lt;&gt;"",COUNTIFS(回路定義!$A:$A,A400,回路定義!$B:$B,M400)=0),"／回路1が定義にない","")&amp;IF(AND(P400&lt;&gt;"",COUNTIFS(回路定義!$A:$A,A400,回路定義!$B:$B,P400)=0),"／回路2が定義にない","")&amp;IF(AND(S400&lt;&gt;"",COUNTIFS(回路定義!$A:$A,A400,回路定義!$B:$B,S400)=0),"／回路3が定義にない",""),2,300)))</f>
        <v/>
      </c>
    </row>
  </sheetData>
  <autoFilter ref="A1:AD400"/>
  <conditionalFormatting sqref="AD2:AD400">
    <cfRule type="expression" priority="1" dxfId="0">
      <formula>AND($AD2&lt;&gt;"",ISNUMBER(SEARCH("未記入",$AD2)))</formula>
    </cfRule>
    <cfRule type="expression" priority="2" dxfId="1">
      <formula>AND($AD2&lt;&gt;"",NOT(ISNUMBER(SEARCH("未記入",$AD2))))</formula>
    </cfRule>
  </conditionalFormatting>
  <dataValidations count="1">
    <dataValidation sqref="B2:B400" showDropDown="0" showInputMessage="0" showErrorMessage="0" allowBlank="1" type="list">
      <formula1>"前面,背面,両面"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26" customWidth="1" min="3" max="3"/>
    <col width="9" customWidth="1" min="4" max="4"/>
    <col width="10" customWidth="1" min="5" max="5"/>
  </cols>
  <sheetData>
    <row r="1">
      <c r="A1" s="3" t="inlineStr">
        <is>
          <t>ラック</t>
        </is>
      </c>
      <c r="B1" s="3" t="inlineStr">
        <is>
          <t>総U</t>
        </is>
      </c>
      <c r="C1" s="3" t="inlineStr">
        <is>
          <t>寸法</t>
        </is>
      </c>
      <c r="D1" s="3" t="inlineStr">
        <is>
          <t>需要率</t>
        </is>
      </c>
      <c r="E1" s="3" t="inlineStr">
        <is>
          <t>警告閾値</t>
        </is>
      </c>
    </row>
    <row r="2">
      <c r="A2" t="inlineStr">
        <is>
          <t>E24-S8-1</t>
        </is>
      </c>
      <c r="B2" t="n">
        <v>47</v>
      </c>
      <c r="C2" t="inlineStr">
        <is>
          <t>W700xD1000xH2100(47u)</t>
        </is>
      </c>
      <c r="D2" t="n">
        <v>0.6</v>
      </c>
      <c r="E2" s="7" t="n">
        <v>0.8</v>
      </c>
    </row>
    <row r="3">
      <c r="A3" t="inlineStr">
        <is>
          <t>E24-S8-2</t>
        </is>
      </c>
      <c r="B3" t="n">
        <v>47</v>
      </c>
      <c r="C3" t="inlineStr">
        <is>
          <t>W700xD1000xH2100(47u)</t>
        </is>
      </c>
      <c r="D3" t="n">
        <v>0.6</v>
      </c>
      <c r="E3" s="7" t="n">
        <v>0.8</v>
      </c>
    </row>
    <row r="4">
      <c r="A4" t="inlineStr">
        <is>
          <t>E24-S8-3</t>
        </is>
      </c>
      <c r="B4" t="n">
        <v>47</v>
      </c>
      <c r="C4" t="inlineStr">
        <is>
          <t>W700xD1000xH2100(47u)</t>
        </is>
      </c>
      <c r="D4" t="n">
        <v>0.6</v>
      </c>
      <c r="E4" s="7" t="n">
        <v>0.8</v>
      </c>
    </row>
    <row r="5">
      <c r="A5" t="inlineStr">
        <is>
          <t>E24-S8-4</t>
        </is>
      </c>
      <c r="B5" t="n">
        <v>47</v>
      </c>
      <c r="C5" t="inlineStr">
        <is>
          <t>W700xD1000xH2100(47u)</t>
        </is>
      </c>
      <c r="D5" t="n">
        <v>0.6</v>
      </c>
      <c r="E5" s="7" t="n">
        <v>0.8</v>
      </c>
    </row>
    <row r="6">
      <c r="A6" t="inlineStr">
        <is>
          <t>E24-S8-5</t>
        </is>
      </c>
      <c r="B6" t="n">
        <v>47</v>
      </c>
      <c r="C6" t="inlineStr">
        <is>
          <t>W700xD1000xH2100(47u)</t>
        </is>
      </c>
      <c r="D6" t="n">
        <v>0.6</v>
      </c>
      <c r="E6" s="7" t="n">
        <v>0.8</v>
      </c>
    </row>
    <row r="7">
      <c r="A7" t="inlineStr">
        <is>
          <t>E24-S6-1</t>
        </is>
      </c>
      <c r="B7" t="n">
        <v>47</v>
      </c>
      <c r="C7" t="inlineStr">
        <is>
          <t>W700xD1000xH2100(47u)</t>
        </is>
      </c>
      <c r="D7" t="n">
        <v>0.6</v>
      </c>
      <c r="E7" s="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0" customWidth="1" min="4" max="4"/>
  </cols>
  <sheetData>
    <row r="1">
      <c r="A1" s="3" t="inlineStr">
        <is>
          <t>ラック</t>
        </is>
      </c>
      <c r="B1" s="3" t="inlineStr">
        <is>
          <t>回路</t>
        </is>
      </c>
      <c r="C1" s="3" t="inlineStr">
        <is>
          <t>電圧V</t>
        </is>
      </c>
      <c r="D1" s="3" t="inlineStr">
        <is>
          <t>ブレーカA</t>
        </is>
      </c>
    </row>
    <row r="2">
      <c r="A2" t="inlineStr">
        <is>
          <t>E24-S8-1</t>
        </is>
      </c>
      <c r="B2" t="inlineStr">
        <is>
          <t>100V 20A （1）</t>
        </is>
      </c>
      <c r="C2" t="n">
        <v>100</v>
      </c>
      <c r="D2" t="n">
        <v>20</v>
      </c>
    </row>
    <row r="3">
      <c r="A3" t="inlineStr">
        <is>
          <t>E24-S8-1</t>
        </is>
      </c>
      <c r="B3" t="inlineStr">
        <is>
          <t>100V 20A （2）</t>
        </is>
      </c>
      <c r="C3" t="n">
        <v>100</v>
      </c>
      <c r="D3" t="n">
        <v>20</v>
      </c>
    </row>
    <row r="4">
      <c r="A4" t="inlineStr">
        <is>
          <t>E24-S8-1</t>
        </is>
      </c>
      <c r="B4" t="inlineStr">
        <is>
          <t>200V 30A （1）</t>
        </is>
      </c>
      <c r="C4" t="n">
        <v>200</v>
      </c>
      <c r="D4" t="n">
        <v>30</v>
      </c>
    </row>
    <row r="5">
      <c r="A5" t="inlineStr">
        <is>
          <t>E24-S8-2</t>
        </is>
      </c>
      <c r="B5" t="inlineStr">
        <is>
          <t>100V 20A （1）</t>
        </is>
      </c>
      <c r="C5" t="n">
        <v>100</v>
      </c>
      <c r="D5" t="n">
        <v>20</v>
      </c>
    </row>
    <row r="6">
      <c r="A6" t="inlineStr">
        <is>
          <t>E24-S8-2</t>
        </is>
      </c>
      <c r="B6" t="inlineStr">
        <is>
          <t>100V 20A （2）</t>
        </is>
      </c>
      <c r="C6" t="n">
        <v>100</v>
      </c>
      <c r="D6" t="n">
        <v>20</v>
      </c>
    </row>
    <row r="7">
      <c r="A7" t="inlineStr">
        <is>
          <t>E24-S8-2</t>
        </is>
      </c>
      <c r="B7" t="inlineStr">
        <is>
          <t>200V 30A （1）</t>
        </is>
      </c>
      <c r="C7" t="n">
        <v>200</v>
      </c>
      <c r="D7" t="n">
        <v>30</v>
      </c>
    </row>
    <row r="8">
      <c r="A8" t="inlineStr">
        <is>
          <t>E24-S8-3</t>
        </is>
      </c>
      <c r="B8" t="inlineStr">
        <is>
          <t>100V 20A （1）</t>
        </is>
      </c>
      <c r="C8" t="n">
        <v>100</v>
      </c>
      <c r="D8" t="n">
        <v>20</v>
      </c>
    </row>
    <row r="9">
      <c r="A9" t="inlineStr">
        <is>
          <t>E24-S8-3</t>
        </is>
      </c>
      <c r="B9" t="inlineStr">
        <is>
          <t>100V 20A （2）</t>
        </is>
      </c>
      <c r="C9" t="n">
        <v>100</v>
      </c>
      <c r="D9" t="n">
        <v>20</v>
      </c>
    </row>
    <row r="10">
      <c r="A10" t="inlineStr">
        <is>
          <t>E24-S8-4</t>
        </is>
      </c>
      <c r="B10" t="inlineStr">
        <is>
          <t>100V 20A （1）</t>
        </is>
      </c>
      <c r="C10" t="n">
        <v>100</v>
      </c>
      <c r="D10" t="n">
        <v>20</v>
      </c>
    </row>
    <row r="11">
      <c r="A11" t="inlineStr">
        <is>
          <t>E24-S8-4</t>
        </is>
      </c>
      <c r="B11" t="inlineStr">
        <is>
          <t>100V 20A （2）</t>
        </is>
      </c>
      <c r="C11" t="n">
        <v>100</v>
      </c>
      <c r="D11" t="n">
        <v>20</v>
      </c>
    </row>
    <row r="12">
      <c r="A12" t="inlineStr">
        <is>
          <t>E24-S8-5</t>
        </is>
      </c>
      <c r="B12" t="inlineStr">
        <is>
          <t>100V 20A （1）</t>
        </is>
      </c>
      <c r="C12" t="n">
        <v>100</v>
      </c>
      <c r="D12" t="n">
        <v>20</v>
      </c>
    </row>
    <row r="13">
      <c r="A13" t="inlineStr">
        <is>
          <t>E24-S8-5</t>
        </is>
      </c>
      <c r="B13" t="inlineStr">
        <is>
          <t>100V 20A （2）</t>
        </is>
      </c>
      <c r="C13" t="n">
        <v>100</v>
      </c>
      <c r="D13" t="n">
        <v>20</v>
      </c>
    </row>
    <row r="14">
      <c r="A14" t="inlineStr">
        <is>
          <t>E24-S8-5</t>
        </is>
      </c>
      <c r="B14" t="inlineStr">
        <is>
          <t>200V 30A （1）</t>
        </is>
      </c>
      <c r="C14" t="n">
        <v>200</v>
      </c>
      <c r="D14" t="n">
        <v>30</v>
      </c>
    </row>
    <row r="15">
      <c r="A15" t="inlineStr">
        <is>
          <t>E24-S6-1</t>
        </is>
      </c>
      <c r="B15" t="inlineStr">
        <is>
          <t>100V 20A （1）</t>
        </is>
      </c>
      <c r="C15" t="n">
        <v>100</v>
      </c>
      <c r="D15" t="n">
        <v>20</v>
      </c>
    </row>
    <row r="16">
      <c r="A16" t="inlineStr">
        <is>
          <t>E24-S6-1</t>
        </is>
      </c>
      <c r="B16" t="inlineStr">
        <is>
          <t>100V 20A （2）</t>
        </is>
      </c>
      <c r="C16" t="n">
        <v>100</v>
      </c>
      <c r="D16" t="n">
        <v>20</v>
      </c>
    </row>
    <row r="17">
      <c r="A17" t="inlineStr">
        <is>
          <t>E24-S6-1</t>
        </is>
      </c>
      <c r="B17" t="inlineStr">
        <is>
          <t>200V 30A （1）</t>
        </is>
      </c>
      <c r="C17" t="n">
        <v>200</v>
      </c>
      <c r="D1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hidden="1" width="13" customWidth="1" min="3" max="3"/>
    <col width="30" customWidth="1" min="4" max="4"/>
    <col hidden="1" width="13" customWidth="1" min="5" max="5"/>
    <col width="30" customWidth="1" min="6" max="6"/>
    <col hidden="1" width="13" customWidth="1" min="7" max="7"/>
    <col width="30" customWidth="1" min="8" max="8"/>
    <col hidden="1" width="13" customWidth="1" min="9" max="9"/>
    <col width="30" customWidth="1" min="10" max="10"/>
    <col hidden="1" width="13" customWidth="1" min="11" max="11"/>
    <col width="30" customWidth="1" min="12" max="12"/>
    <col hidden="1" width="13" customWidth="1" min="13" max="13"/>
    <col width="30" customWidth="1" min="14" max="14"/>
    <col hidden="1" width="13" customWidth="1" min="15" max="15"/>
    <col width="30" customWidth="1" min="16" max="16"/>
    <col hidden="1" width="13" customWidth="1" min="17" max="17"/>
    <col width="30" customWidth="1" min="18" max="18"/>
    <col hidden="1" width="13" customWidth="1" min="19" max="19"/>
    <col width="30" customWidth="1" min="20" max="20"/>
    <col hidden="1" width="13" customWidth="1" min="21" max="21"/>
    <col width="30" customWidth="1" min="22" max="22"/>
    <col hidden="1" width="13" customWidth="1" min="23" max="23"/>
    <col width="30" customWidth="1" min="24" max="24"/>
    <col hidden="1" width="13" customWidth="1" min="25" max="25"/>
  </cols>
  <sheetData>
    <row r="1">
      <c r="A1" s="8" t="inlineStr">
        <is>
          <t>台帳を直すとこの図も変わります。図のセルは数式なので、直接書き換えないでください。</t>
        </is>
      </c>
    </row>
    <row r="2">
      <c r="B2" s="9" t="inlineStr">
        <is>
          <t>E24-S8-1</t>
        </is>
      </c>
      <c r="D2" s="9" t="inlineStr">
        <is>
          <t>E24-S8-1</t>
        </is>
      </c>
      <c r="F2" s="9" t="inlineStr">
        <is>
          <t>E24-S8-2</t>
        </is>
      </c>
      <c r="H2" s="9" t="inlineStr">
        <is>
          <t>E24-S8-2</t>
        </is>
      </c>
      <c r="J2" s="9" t="inlineStr">
        <is>
          <t>E24-S8-3</t>
        </is>
      </c>
      <c r="L2" s="9" t="inlineStr">
        <is>
          <t>E24-S8-3</t>
        </is>
      </c>
      <c r="N2" s="9" t="inlineStr">
        <is>
          <t>E24-S8-4</t>
        </is>
      </c>
      <c r="P2" s="9" t="inlineStr">
        <is>
          <t>E24-S8-4</t>
        </is>
      </c>
      <c r="R2" s="9" t="inlineStr">
        <is>
          <t>E24-S8-5</t>
        </is>
      </c>
      <c r="T2" s="9" t="inlineStr">
        <is>
          <t>E24-S8-5</t>
        </is>
      </c>
      <c r="V2" s="9" t="inlineStr">
        <is>
          <t>E24-S6-1</t>
        </is>
      </c>
      <c r="X2" s="9" t="inlineStr">
        <is>
          <t>E24-S6-1</t>
        </is>
      </c>
    </row>
    <row r="3">
      <c r="A3" s="10" t="inlineStr">
        <is>
          <t>U</t>
        </is>
      </c>
      <c r="B3" s="9" t="inlineStr">
        <is>
          <t>前面</t>
        </is>
      </c>
      <c r="D3" s="9" t="inlineStr">
        <is>
          <t>背面</t>
        </is>
      </c>
      <c r="F3" s="9" t="inlineStr">
        <is>
          <t>前面</t>
        </is>
      </c>
      <c r="H3" s="9" t="inlineStr">
        <is>
          <t>背面</t>
        </is>
      </c>
      <c r="J3" s="9" t="inlineStr">
        <is>
          <t>前面</t>
        </is>
      </c>
      <c r="L3" s="9" t="inlineStr">
        <is>
          <t>背面</t>
        </is>
      </c>
      <c r="N3" s="9" t="inlineStr">
        <is>
          <t>前面</t>
        </is>
      </c>
      <c r="P3" s="9" t="inlineStr">
        <is>
          <t>背面</t>
        </is>
      </c>
      <c r="R3" s="9" t="inlineStr">
        <is>
          <t>前面</t>
        </is>
      </c>
      <c r="T3" s="9" t="inlineStr">
        <is>
          <t>背面</t>
        </is>
      </c>
      <c r="V3" s="9" t="inlineStr">
        <is>
          <t>前面</t>
        </is>
      </c>
      <c r="X3" s="9" t="inlineStr">
        <is>
          <t>背面</t>
        </is>
      </c>
    </row>
    <row r="4">
      <c r="A4" s="11" t="n">
        <v>47</v>
      </c>
      <c r="B4" s="12">
        <f>IF(SUMPRODUCT((機器台帳!$A$2:$A$400="E24-S8-1")*((機器台帳!$B$2:$B$400="前面")+(機器台帳!$B$2:$B$400="両面")&gt;0)*(機器台帳!$F$2:$F$400&lt;&gt;"")*(機器台帳!$C$2:$C$400&lt;=47)*(機器台帳!$C$2:$C$400+機器台帳!$D$2:$D$400-1&gt;=47))=0,"",INDEX(機器台帳!$F$2:$F$400,MATCH(1,INDEX((機器台帳!$A$2:$A$400="E24-S8-1")*((機器台帳!$B$2:$B$400="前面")+(機器台帳!$B$2:$B$400="両面")&gt;0)*(機器台帳!$F$2:$F$400&lt;&gt;"")*(機器台帳!$C$2:$C$400&lt;=47)*(機器台帳!$C$2:$C$400+機器台帳!$D$2:$D$400-1&gt;=47),0),0))&amp;IF(INDEX(機器台帳!$G$2:$G$400,MATCH(1,INDEX((機器台帳!$A$2:$A$400="E24-S8-1")*((機器台帳!$B$2:$B$400="前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-1")*((機器台帳!$B$2:$B$400="前面")+(機器台帳!$B$2:$B$400="両面")&gt;0)*(機器台帳!$F$2:$F$400&lt;&gt;"")*(機器台帳!$C$2:$C$400&lt;=47)*(機器台帳!$C$2:$C$400+機器台帳!$D$2:$D$400-1&gt;=47),0),0)))&amp;IF(SUMPRODUCT((機器台帳!$A$2:$A$400="E24-S8-1")*((機器台帳!$B$2:$B$400="前面")+(機器台帳!$B$2:$B$400="両面")&gt;0)*(機器台帳!$F$2:$F$400&lt;&gt;"")*(機器台帳!$C$2:$C$400&lt;=47)*(機器台帳!$C$2:$C$400+機器台帳!$D$2:$D$400-1&gt;=47))&gt;1," 他"&amp;(SUMPRODUCT((機器台帳!$A$2:$A$400="E24-S8-1")*((機器台帳!$B$2:$B$400="前面")+(機器台帳!$B$2:$B$400="両面")&gt;0)*(機器台帳!$F$2:$F$400&lt;&gt;"")*(機器台帳!$C$2:$C$400&lt;=47)*(機器台帳!$C$2:$C$400+機器台帳!$D$2:$D$400-1&gt;=47))-1)&amp;"台",""))</f>
        <v/>
      </c>
      <c r="C4">
        <f>IF(SUMPRODUCT((機器台帳!$A$2:$A$400="E24-S8-1")*((機器台帳!$B$2:$B$400="前面")+(機器台帳!$B$2:$B$400="両面")&gt;0)*(機器台帳!$F$2:$F$400&lt;&gt;"")*(機器台帳!$C$2:$C$400&lt;=47)*(機器台帳!$C$2:$C$400+機器台帳!$D$2:$D$400-1&gt;=47))=0,"",INDEX(機器台帳!$I$2:$I$400,MATCH(1,INDEX((機器台帳!$A$2:$A$400="E24-S8-1")*((機器台帳!$B$2:$B$400="前面")+(機器台帳!$B$2:$B$400="両面")&gt;0)*(機器台帳!$F$2:$F$400&lt;&gt;"")*(機器台帳!$C$2:$C$400&lt;=47)*(機器台帳!$C$2:$C$400+機器台帳!$D$2:$D$400-1&gt;=47),0),0))&amp;IF(INDEX(機器台帳!$Y$2:$Y$400,MATCH(1,INDEX((機器台帳!$A$2:$A$400="E24-S8-1")*((機器台帳!$B$2:$B$400="前面")+(機器台帳!$B$2:$B$400="両面")&gt;0)*(機器台帳!$F$2:$F$400&lt;&gt;"")*(機器台帳!$C$2:$C$400&lt;=47)*(機器台帳!$C$2:$C$400+機器台帳!$D$2:$D$400-1&gt;=47),0),0))=0,"|未記入",""))</f>
        <v/>
      </c>
      <c r="D4" s="12">
        <f>IF(SUMPRODUCT((機器台帳!$A$2:$A$400="E24-S8-1")*((機器台帳!$B$2:$B$400="背面")+(機器台帳!$B$2:$B$400="両面")&gt;0)*(機器台帳!$F$2:$F$400&lt;&gt;"")*(機器台帳!$C$2:$C$400&lt;=47)*(機器台帳!$C$2:$C$400+機器台帳!$D$2:$D$400-1&gt;=47))=0,"",INDEX(機器台帳!$F$2:$F$400,MATCH(1,INDEX((機器台帳!$A$2:$A$400="E24-S8-1")*((機器台帳!$B$2:$B$400="背面")+(機器台帳!$B$2:$B$400="両面")&gt;0)*(機器台帳!$F$2:$F$400&lt;&gt;"")*(機器台帳!$C$2:$C$400&lt;=47)*(機器台帳!$C$2:$C$400+機器台帳!$D$2:$D$400-1&gt;=47),0),0))&amp;IF(INDEX(機器台帳!$G$2:$G$400,MATCH(1,INDEX((機器台帳!$A$2:$A$400="E24-S8-1")*((機器台帳!$B$2:$B$400="背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-1")*((機器台帳!$B$2:$B$400="背面")+(機器台帳!$B$2:$B$400="両面")&gt;0)*(機器台帳!$F$2:$F$400&lt;&gt;"")*(機器台帳!$C$2:$C$400&lt;=47)*(機器台帳!$C$2:$C$400+機器台帳!$D$2:$D$400-1&gt;=47),0),0)))&amp;IF(SUMPRODUCT((機器台帳!$A$2:$A$400="E24-S8-1")*((機器台帳!$B$2:$B$400="背面")+(機器台帳!$B$2:$B$400="両面")&gt;0)*(機器台帳!$F$2:$F$400&lt;&gt;"")*(機器台帳!$C$2:$C$400&lt;=47)*(機器台帳!$C$2:$C$400+機器台帳!$D$2:$D$400-1&gt;=47))&gt;1," 他"&amp;(SUMPRODUCT((機器台帳!$A$2:$A$400="E24-S8-1")*((機器台帳!$B$2:$B$400="背面")+(機器台帳!$B$2:$B$400="両面")&gt;0)*(機器台帳!$F$2:$F$400&lt;&gt;"")*(機器台帳!$C$2:$C$400&lt;=47)*(機器台帳!$C$2:$C$400+機器台帳!$D$2:$D$400-1&gt;=47))-1)&amp;"台",""))</f>
        <v/>
      </c>
      <c r="E4">
        <f>IF(SUMPRODUCT((機器台帳!$A$2:$A$400="E24-S8-1")*((機器台帳!$B$2:$B$400="背面")+(機器台帳!$B$2:$B$400="両面")&gt;0)*(機器台帳!$F$2:$F$400&lt;&gt;"")*(機器台帳!$C$2:$C$400&lt;=47)*(機器台帳!$C$2:$C$400+機器台帳!$D$2:$D$400-1&gt;=47))=0,"",INDEX(機器台帳!$I$2:$I$400,MATCH(1,INDEX((機器台帳!$A$2:$A$400="E24-S8-1")*((機器台帳!$B$2:$B$400="背面")+(機器台帳!$B$2:$B$400="両面")&gt;0)*(機器台帳!$F$2:$F$400&lt;&gt;"")*(機器台帳!$C$2:$C$400&lt;=47)*(機器台帳!$C$2:$C$400+機器台帳!$D$2:$D$400-1&gt;=47),0),0))&amp;IF(INDEX(機器台帳!$Y$2:$Y$400,MATCH(1,INDEX((機器台帳!$A$2:$A$400="E24-S8-1")*((機器台帳!$B$2:$B$400="背面")+(機器台帳!$B$2:$B$400="両面")&gt;0)*(機器台帳!$F$2:$F$400&lt;&gt;"")*(機器台帳!$C$2:$C$400&lt;=47)*(機器台帳!$C$2:$C$400+機器台帳!$D$2:$D$400-1&gt;=47),0),0))=0,"|未記入",""))</f>
        <v/>
      </c>
      <c r="F4" s="12">
        <f>IF(SUMPRODUCT((機器台帳!$A$2:$A$400="E24-S8-2")*((機器台帳!$B$2:$B$400="前面")+(機器台帳!$B$2:$B$400="両面")&gt;0)*(機器台帳!$F$2:$F$400&lt;&gt;"")*(機器台帳!$C$2:$C$400&lt;=47)*(機器台帳!$C$2:$C$400+機器台帳!$D$2:$D$400-1&gt;=47))=0,"",INDEX(機器台帳!$F$2:$F$400,MATCH(1,INDEX((機器台帳!$A$2:$A$400="E24-S8-2")*((機器台帳!$B$2:$B$400="前面")+(機器台帳!$B$2:$B$400="両面")&gt;0)*(機器台帳!$F$2:$F$400&lt;&gt;"")*(機器台帳!$C$2:$C$400&lt;=47)*(機器台帳!$C$2:$C$400+機器台帳!$D$2:$D$400-1&gt;=47),0),0))&amp;IF(INDEX(機器台帳!$G$2:$G$400,MATCH(1,INDEX((機器台帳!$A$2:$A$400="E24-S8-2")*((機器台帳!$B$2:$B$400="前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-2")*((機器台帳!$B$2:$B$400="前面")+(機器台帳!$B$2:$B$400="両面")&gt;0)*(機器台帳!$F$2:$F$400&lt;&gt;"")*(機器台帳!$C$2:$C$400&lt;=47)*(機器台帳!$C$2:$C$400+機器台帳!$D$2:$D$400-1&gt;=47),0),0)))&amp;IF(SUMPRODUCT((機器台帳!$A$2:$A$400="E24-S8-2")*((機器台帳!$B$2:$B$400="前面")+(機器台帳!$B$2:$B$400="両面")&gt;0)*(機器台帳!$F$2:$F$400&lt;&gt;"")*(機器台帳!$C$2:$C$400&lt;=47)*(機器台帳!$C$2:$C$400+機器台帳!$D$2:$D$400-1&gt;=47))&gt;1," 他"&amp;(SUMPRODUCT((機器台帳!$A$2:$A$400="E24-S8-2")*((機器台帳!$B$2:$B$400="前面")+(機器台帳!$B$2:$B$400="両面")&gt;0)*(機器台帳!$F$2:$F$400&lt;&gt;"")*(機器台帳!$C$2:$C$400&lt;=47)*(機器台帳!$C$2:$C$400+機器台帳!$D$2:$D$400-1&gt;=47))-1)&amp;"台",""))</f>
        <v/>
      </c>
      <c r="G4">
        <f>IF(SUMPRODUCT((機器台帳!$A$2:$A$400="E24-S8-2")*((機器台帳!$B$2:$B$400="前面")+(機器台帳!$B$2:$B$400="両面")&gt;0)*(機器台帳!$F$2:$F$400&lt;&gt;"")*(機器台帳!$C$2:$C$400&lt;=47)*(機器台帳!$C$2:$C$400+機器台帳!$D$2:$D$400-1&gt;=47))=0,"",INDEX(機器台帳!$I$2:$I$400,MATCH(1,INDEX((機器台帳!$A$2:$A$400="E24-S8-2")*((機器台帳!$B$2:$B$400="前面")+(機器台帳!$B$2:$B$400="両面")&gt;0)*(機器台帳!$F$2:$F$400&lt;&gt;"")*(機器台帳!$C$2:$C$400&lt;=47)*(機器台帳!$C$2:$C$400+機器台帳!$D$2:$D$400-1&gt;=47),0),0))&amp;IF(INDEX(機器台帳!$Y$2:$Y$400,MATCH(1,INDEX((機器台帳!$A$2:$A$400="E24-S8-2")*((機器台帳!$B$2:$B$400="前面")+(機器台帳!$B$2:$B$400="両面")&gt;0)*(機器台帳!$F$2:$F$400&lt;&gt;"")*(機器台帳!$C$2:$C$400&lt;=47)*(機器台帳!$C$2:$C$400+機器台帳!$D$2:$D$400-1&gt;=47),0),0))=0,"|未記入",""))</f>
        <v/>
      </c>
      <c r="H4" s="12">
        <f>IF(SUMPRODUCT((機器台帳!$A$2:$A$400="E24-S8-2")*((機器台帳!$B$2:$B$400="背面")+(機器台帳!$B$2:$B$400="両面")&gt;0)*(機器台帳!$F$2:$F$400&lt;&gt;"")*(機器台帳!$C$2:$C$400&lt;=47)*(機器台帳!$C$2:$C$400+機器台帳!$D$2:$D$400-1&gt;=47))=0,"",INDEX(機器台帳!$F$2:$F$400,MATCH(1,INDEX((機器台帳!$A$2:$A$400="E24-S8-2")*((機器台帳!$B$2:$B$400="背面")+(機器台帳!$B$2:$B$400="両面")&gt;0)*(機器台帳!$F$2:$F$400&lt;&gt;"")*(機器台帳!$C$2:$C$400&lt;=47)*(機器台帳!$C$2:$C$400+機器台帳!$D$2:$D$400-1&gt;=47),0),0))&amp;IF(INDEX(機器台帳!$G$2:$G$400,MATCH(1,INDEX((機器台帳!$A$2:$A$400="E24-S8-2")*((機器台帳!$B$2:$B$400="背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-2")*((機器台帳!$B$2:$B$400="背面")+(機器台帳!$B$2:$B$400="両面")&gt;0)*(機器台帳!$F$2:$F$400&lt;&gt;"")*(機器台帳!$C$2:$C$400&lt;=47)*(機器台帳!$C$2:$C$400+機器台帳!$D$2:$D$400-1&gt;=47),0),0)))&amp;IF(SUMPRODUCT((機器台帳!$A$2:$A$400="E24-S8-2")*((機器台帳!$B$2:$B$400="背面")+(機器台帳!$B$2:$B$400="両面")&gt;0)*(機器台帳!$F$2:$F$400&lt;&gt;"")*(機器台帳!$C$2:$C$400&lt;=47)*(機器台帳!$C$2:$C$400+機器台帳!$D$2:$D$400-1&gt;=47))&gt;1," 他"&amp;(SUMPRODUCT((機器台帳!$A$2:$A$400="E24-S8-2")*((機器台帳!$B$2:$B$400="背面")+(機器台帳!$B$2:$B$400="両面")&gt;0)*(機器台帳!$F$2:$F$400&lt;&gt;"")*(機器台帳!$C$2:$C$400&lt;=47)*(機器台帳!$C$2:$C$400+機器台帳!$D$2:$D$400-1&gt;=47))-1)&amp;"台",""))</f>
        <v/>
      </c>
      <c r="I4">
        <f>IF(SUMPRODUCT((機器台帳!$A$2:$A$400="E24-S8-2")*((機器台帳!$B$2:$B$400="背面")+(機器台帳!$B$2:$B$400="両面")&gt;0)*(機器台帳!$F$2:$F$400&lt;&gt;"")*(機器台帳!$C$2:$C$400&lt;=47)*(機器台帳!$C$2:$C$400+機器台帳!$D$2:$D$400-1&gt;=47))=0,"",INDEX(機器台帳!$I$2:$I$400,MATCH(1,INDEX((機器台帳!$A$2:$A$400="E24-S8-2")*((機器台帳!$B$2:$B$400="背面")+(機器台帳!$B$2:$B$400="両面")&gt;0)*(機器台帳!$F$2:$F$400&lt;&gt;"")*(機器台帳!$C$2:$C$400&lt;=47)*(機器台帳!$C$2:$C$400+機器台帳!$D$2:$D$400-1&gt;=47),0),0))&amp;IF(INDEX(機器台帳!$Y$2:$Y$400,MATCH(1,INDEX((機器台帳!$A$2:$A$400="E24-S8-2")*((機器台帳!$B$2:$B$400="背面")+(機器台帳!$B$2:$B$400="両面")&gt;0)*(機器台帳!$F$2:$F$400&lt;&gt;"")*(機器台帳!$C$2:$C$400&lt;=47)*(機器台帳!$C$2:$C$400+機器台帳!$D$2:$D$400-1&gt;=47),0),0))=0,"|未記入",""))</f>
        <v/>
      </c>
      <c r="J4" s="12">
        <f>IF(SUMPRODUCT((機器台帳!$A$2:$A$400="E24-S8-3")*((機器台帳!$B$2:$B$400="前面")+(機器台帳!$B$2:$B$400="両面")&gt;0)*(機器台帳!$F$2:$F$400&lt;&gt;"")*(機器台帳!$C$2:$C$400&lt;=47)*(機器台帳!$C$2:$C$400+機器台帳!$D$2:$D$400-1&gt;=47))=0,"",INDEX(機器台帳!$F$2:$F$400,MATCH(1,INDEX((機器台帳!$A$2:$A$400="E24-S8-3")*((機器台帳!$B$2:$B$400="前面")+(機器台帳!$B$2:$B$400="両面")&gt;0)*(機器台帳!$F$2:$F$400&lt;&gt;"")*(機器台帳!$C$2:$C$400&lt;=47)*(機器台帳!$C$2:$C$400+機器台帳!$D$2:$D$400-1&gt;=47),0),0))&amp;IF(INDEX(機器台帳!$G$2:$G$400,MATCH(1,INDEX((機器台帳!$A$2:$A$400="E24-S8-3")*((機器台帳!$B$2:$B$400="前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-3")*((機器台帳!$B$2:$B$400="前面")+(機器台帳!$B$2:$B$400="両面")&gt;0)*(機器台帳!$F$2:$F$400&lt;&gt;"")*(機器台帳!$C$2:$C$400&lt;=47)*(機器台帳!$C$2:$C$400+機器台帳!$D$2:$D$400-1&gt;=47),0),0)))&amp;IF(SUMPRODUCT((機器台帳!$A$2:$A$400="E24-S8-3")*((機器台帳!$B$2:$B$400="前面")+(機器台帳!$B$2:$B$400="両面")&gt;0)*(機器台帳!$F$2:$F$400&lt;&gt;"")*(機器台帳!$C$2:$C$400&lt;=47)*(機器台帳!$C$2:$C$400+機器台帳!$D$2:$D$400-1&gt;=47))&gt;1," 他"&amp;(SUMPRODUCT((機器台帳!$A$2:$A$400="E24-S8-3")*((機器台帳!$B$2:$B$400="前面")+(機器台帳!$B$2:$B$400="両面")&gt;0)*(機器台帳!$F$2:$F$400&lt;&gt;"")*(機器台帳!$C$2:$C$400&lt;=47)*(機器台帳!$C$2:$C$400+機器台帳!$D$2:$D$400-1&gt;=47))-1)&amp;"台",""))</f>
        <v/>
      </c>
      <c r="K4">
        <f>IF(SUMPRODUCT((機器台帳!$A$2:$A$400="E24-S8-3")*((機器台帳!$B$2:$B$400="前面")+(機器台帳!$B$2:$B$400="両面")&gt;0)*(機器台帳!$F$2:$F$400&lt;&gt;"")*(機器台帳!$C$2:$C$400&lt;=47)*(機器台帳!$C$2:$C$400+機器台帳!$D$2:$D$400-1&gt;=47))=0,"",INDEX(機器台帳!$I$2:$I$400,MATCH(1,INDEX((機器台帳!$A$2:$A$400="E24-S8-3")*((機器台帳!$B$2:$B$400="前面")+(機器台帳!$B$2:$B$400="両面")&gt;0)*(機器台帳!$F$2:$F$400&lt;&gt;"")*(機器台帳!$C$2:$C$400&lt;=47)*(機器台帳!$C$2:$C$400+機器台帳!$D$2:$D$400-1&gt;=47),0),0))&amp;IF(INDEX(機器台帳!$Y$2:$Y$400,MATCH(1,INDEX((機器台帳!$A$2:$A$400="E24-S8-3")*((機器台帳!$B$2:$B$400="前面")+(機器台帳!$B$2:$B$400="両面")&gt;0)*(機器台帳!$F$2:$F$400&lt;&gt;"")*(機器台帳!$C$2:$C$400&lt;=47)*(機器台帳!$C$2:$C$400+機器台帳!$D$2:$D$400-1&gt;=47),0),0))=0,"|未記入",""))</f>
        <v/>
      </c>
      <c r="L4" s="12">
        <f>IF(SUMPRODUCT((機器台帳!$A$2:$A$400="E24-S8-3")*((機器台帳!$B$2:$B$400="背面")+(機器台帳!$B$2:$B$400="両面")&gt;0)*(機器台帳!$F$2:$F$400&lt;&gt;"")*(機器台帳!$C$2:$C$400&lt;=47)*(機器台帳!$C$2:$C$400+機器台帳!$D$2:$D$400-1&gt;=47))=0,"",INDEX(機器台帳!$F$2:$F$400,MATCH(1,INDEX((機器台帳!$A$2:$A$400="E24-S8-3")*((機器台帳!$B$2:$B$400="背面")+(機器台帳!$B$2:$B$400="両面")&gt;0)*(機器台帳!$F$2:$F$400&lt;&gt;"")*(機器台帳!$C$2:$C$400&lt;=47)*(機器台帳!$C$2:$C$400+機器台帳!$D$2:$D$400-1&gt;=47),0),0))&amp;IF(INDEX(機器台帳!$G$2:$G$400,MATCH(1,INDEX((機器台帳!$A$2:$A$400="E24-S8-3")*((機器台帳!$B$2:$B$400="背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-3")*((機器台帳!$B$2:$B$400="背面")+(機器台帳!$B$2:$B$400="両面")&gt;0)*(機器台帳!$F$2:$F$400&lt;&gt;"")*(機器台帳!$C$2:$C$400&lt;=47)*(機器台帳!$C$2:$C$400+機器台帳!$D$2:$D$400-1&gt;=47),0),0)))&amp;IF(SUMPRODUCT((機器台帳!$A$2:$A$400="E24-S8-3")*((機器台帳!$B$2:$B$400="背面")+(機器台帳!$B$2:$B$400="両面")&gt;0)*(機器台帳!$F$2:$F$400&lt;&gt;"")*(機器台帳!$C$2:$C$400&lt;=47)*(機器台帳!$C$2:$C$400+機器台帳!$D$2:$D$400-1&gt;=47))&gt;1," 他"&amp;(SUMPRODUCT((機器台帳!$A$2:$A$400="E24-S8-3")*((機器台帳!$B$2:$B$400="背面")+(機器台帳!$B$2:$B$400="両面")&gt;0)*(機器台帳!$F$2:$F$400&lt;&gt;"")*(機器台帳!$C$2:$C$400&lt;=47)*(機器台帳!$C$2:$C$400+機器台帳!$D$2:$D$400-1&gt;=47))-1)&amp;"台",""))</f>
        <v/>
      </c>
      <c r="M4">
        <f>IF(SUMPRODUCT((機器台帳!$A$2:$A$400="E24-S8-3")*((機器台帳!$B$2:$B$400="背面")+(機器台帳!$B$2:$B$400="両面")&gt;0)*(機器台帳!$F$2:$F$400&lt;&gt;"")*(機器台帳!$C$2:$C$400&lt;=47)*(機器台帳!$C$2:$C$400+機器台帳!$D$2:$D$400-1&gt;=47))=0,"",INDEX(機器台帳!$I$2:$I$400,MATCH(1,INDEX((機器台帳!$A$2:$A$400="E24-S8-3")*((機器台帳!$B$2:$B$400="背面")+(機器台帳!$B$2:$B$400="両面")&gt;0)*(機器台帳!$F$2:$F$400&lt;&gt;"")*(機器台帳!$C$2:$C$400&lt;=47)*(機器台帳!$C$2:$C$400+機器台帳!$D$2:$D$400-1&gt;=47),0),0))&amp;IF(INDEX(機器台帳!$Y$2:$Y$400,MATCH(1,INDEX((機器台帳!$A$2:$A$400="E24-S8-3")*((機器台帳!$B$2:$B$400="背面")+(機器台帳!$B$2:$B$400="両面")&gt;0)*(機器台帳!$F$2:$F$400&lt;&gt;"")*(機器台帳!$C$2:$C$400&lt;=47)*(機器台帳!$C$2:$C$400+機器台帳!$D$2:$D$400-1&gt;=47),0),0))=0,"|未記入",""))</f>
        <v/>
      </c>
      <c r="N4" s="12">
        <f>IF(SUMPRODUCT((機器台帳!$A$2:$A$400="E24-S8-4")*((機器台帳!$B$2:$B$400="前面")+(機器台帳!$B$2:$B$400="両面")&gt;0)*(機器台帳!$F$2:$F$400&lt;&gt;"")*(機器台帳!$C$2:$C$400&lt;=47)*(機器台帳!$C$2:$C$400+機器台帳!$D$2:$D$400-1&gt;=47))=0,"",INDEX(機器台帳!$F$2:$F$400,MATCH(1,INDEX((機器台帳!$A$2:$A$400="E24-S8-4")*((機器台帳!$B$2:$B$400="前面")+(機器台帳!$B$2:$B$400="両面")&gt;0)*(機器台帳!$F$2:$F$400&lt;&gt;"")*(機器台帳!$C$2:$C$400&lt;=47)*(機器台帳!$C$2:$C$400+機器台帳!$D$2:$D$400-1&gt;=47),0),0))&amp;IF(INDEX(機器台帳!$G$2:$G$400,MATCH(1,INDEX((機器台帳!$A$2:$A$400="E24-S8-4")*((機器台帳!$B$2:$B$400="前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-4")*((機器台帳!$B$2:$B$400="前面")+(機器台帳!$B$2:$B$400="両面")&gt;0)*(機器台帳!$F$2:$F$400&lt;&gt;"")*(機器台帳!$C$2:$C$400&lt;=47)*(機器台帳!$C$2:$C$400+機器台帳!$D$2:$D$400-1&gt;=47),0),0)))&amp;IF(SUMPRODUCT((機器台帳!$A$2:$A$400="E24-S8-4")*((機器台帳!$B$2:$B$400="前面")+(機器台帳!$B$2:$B$400="両面")&gt;0)*(機器台帳!$F$2:$F$400&lt;&gt;"")*(機器台帳!$C$2:$C$400&lt;=47)*(機器台帳!$C$2:$C$400+機器台帳!$D$2:$D$400-1&gt;=47))&gt;1," 他"&amp;(SUMPRODUCT((機器台帳!$A$2:$A$400="E24-S8-4")*((機器台帳!$B$2:$B$400="前面")+(機器台帳!$B$2:$B$400="両面")&gt;0)*(機器台帳!$F$2:$F$400&lt;&gt;"")*(機器台帳!$C$2:$C$400&lt;=47)*(機器台帳!$C$2:$C$400+機器台帳!$D$2:$D$400-1&gt;=47))-1)&amp;"台",""))</f>
        <v/>
      </c>
      <c r="O4">
        <f>IF(SUMPRODUCT((機器台帳!$A$2:$A$400="E24-S8-4")*((機器台帳!$B$2:$B$400="前面")+(機器台帳!$B$2:$B$400="両面")&gt;0)*(機器台帳!$F$2:$F$400&lt;&gt;"")*(機器台帳!$C$2:$C$400&lt;=47)*(機器台帳!$C$2:$C$400+機器台帳!$D$2:$D$400-1&gt;=47))=0,"",INDEX(機器台帳!$I$2:$I$400,MATCH(1,INDEX((機器台帳!$A$2:$A$400="E24-S8-4")*((機器台帳!$B$2:$B$400="前面")+(機器台帳!$B$2:$B$400="両面")&gt;0)*(機器台帳!$F$2:$F$400&lt;&gt;"")*(機器台帳!$C$2:$C$400&lt;=47)*(機器台帳!$C$2:$C$400+機器台帳!$D$2:$D$400-1&gt;=47),0),0))&amp;IF(INDEX(機器台帳!$Y$2:$Y$400,MATCH(1,INDEX((機器台帳!$A$2:$A$400="E24-S8-4")*((機器台帳!$B$2:$B$400="前面")+(機器台帳!$B$2:$B$400="両面")&gt;0)*(機器台帳!$F$2:$F$400&lt;&gt;"")*(機器台帳!$C$2:$C$400&lt;=47)*(機器台帳!$C$2:$C$400+機器台帳!$D$2:$D$400-1&gt;=47),0),0))=0,"|未記入",""))</f>
        <v/>
      </c>
      <c r="P4" s="12">
        <f>IF(SUMPRODUCT((機器台帳!$A$2:$A$400="E24-S8-4")*((機器台帳!$B$2:$B$400="背面")+(機器台帳!$B$2:$B$400="両面")&gt;0)*(機器台帳!$F$2:$F$400&lt;&gt;"")*(機器台帳!$C$2:$C$400&lt;=47)*(機器台帳!$C$2:$C$400+機器台帳!$D$2:$D$400-1&gt;=47))=0,"",INDEX(機器台帳!$F$2:$F$400,MATCH(1,INDEX((機器台帳!$A$2:$A$400="E24-S8-4")*((機器台帳!$B$2:$B$400="背面")+(機器台帳!$B$2:$B$400="両面")&gt;0)*(機器台帳!$F$2:$F$400&lt;&gt;"")*(機器台帳!$C$2:$C$400&lt;=47)*(機器台帳!$C$2:$C$400+機器台帳!$D$2:$D$400-1&gt;=47),0),0))&amp;IF(INDEX(機器台帳!$G$2:$G$400,MATCH(1,INDEX((機器台帳!$A$2:$A$400="E24-S8-4")*((機器台帳!$B$2:$B$400="背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-4")*((機器台帳!$B$2:$B$400="背面")+(機器台帳!$B$2:$B$400="両面")&gt;0)*(機器台帳!$F$2:$F$400&lt;&gt;"")*(機器台帳!$C$2:$C$400&lt;=47)*(機器台帳!$C$2:$C$400+機器台帳!$D$2:$D$400-1&gt;=47),0),0)))&amp;IF(SUMPRODUCT((機器台帳!$A$2:$A$400="E24-S8-4")*((機器台帳!$B$2:$B$400="背面")+(機器台帳!$B$2:$B$400="両面")&gt;0)*(機器台帳!$F$2:$F$400&lt;&gt;"")*(機器台帳!$C$2:$C$400&lt;=47)*(機器台帳!$C$2:$C$400+機器台帳!$D$2:$D$400-1&gt;=47))&gt;1," 他"&amp;(SUMPRODUCT((機器台帳!$A$2:$A$400="E24-S8-4")*((機器台帳!$B$2:$B$400="背面")+(機器台帳!$B$2:$B$400="両面")&gt;0)*(機器台帳!$F$2:$F$400&lt;&gt;"")*(機器台帳!$C$2:$C$400&lt;=47)*(機器台帳!$C$2:$C$400+機器台帳!$D$2:$D$400-1&gt;=47))-1)&amp;"台",""))</f>
        <v/>
      </c>
      <c r="Q4">
        <f>IF(SUMPRODUCT((機器台帳!$A$2:$A$400="E24-S8-4")*((機器台帳!$B$2:$B$400="背面")+(機器台帳!$B$2:$B$400="両面")&gt;0)*(機器台帳!$F$2:$F$400&lt;&gt;"")*(機器台帳!$C$2:$C$400&lt;=47)*(機器台帳!$C$2:$C$400+機器台帳!$D$2:$D$400-1&gt;=47))=0,"",INDEX(機器台帳!$I$2:$I$400,MATCH(1,INDEX((機器台帳!$A$2:$A$400="E24-S8-4")*((機器台帳!$B$2:$B$400="背面")+(機器台帳!$B$2:$B$400="両面")&gt;0)*(機器台帳!$F$2:$F$400&lt;&gt;"")*(機器台帳!$C$2:$C$400&lt;=47)*(機器台帳!$C$2:$C$400+機器台帳!$D$2:$D$400-1&gt;=47),0),0))&amp;IF(INDEX(機器台帳!$Y$2:$Y$400,MATCH(1,INDEX((機器台帳!$A$2:$A$400="E24-S8-4")*((機器台帳!$B$2:$B$400="背面")+(機器台帳!$B$2:$B$400="両面")&gt;0)*(機器台帳!$F$2:$F$400&lt;&gt;"")*(機器台帳!$C$2:$C$400&lt;=47)*(機器台帳!$C$2:$C$400+機器台帳!$D$2:$D$400-1&gt;=47),0),0))=0,"|未記入",""))</f>
        <v/>
      </c>
      <c r="R4" s="12">
        <f>IF(SUMPRODUCT((機器台帳!$A$2:$A$400="E24-S8-5")*((機器台帳!$B$2:$B$400="前面")+(機器台帳!$B$2:$B$400="両面")&gt;0)*(機器台帳!$F$2:$F$400&lt;&gt;"")*(機器台帳!$C$2:$C$400&lt;=47)*(機器台帳!$C$2:$C$400+機器台帳!$D$2:$D$400-1&gt;=47))=0,"",INDEX(機器台帳!$F$2:$F$400,MATCH(1,INDEX((機器台帳!$A$2:$A$400="E24-S8-5")*((機器台帳!$B$2:$B$400="前面")+(機器台帳!$B$2:$B$400="両面")&gt;0)*(機器台帳!$F$2:$F$400&lt;&gt;"")*(機器台帳!$C$2:$C$400&lt;=47)*(機器台帳!$C$2:$C$400+機器台帳!$D$2:$D$400-1&gt;=47),0),0))&amp;IF(INDEX(機器台帳!$G$2:$G$400,MATCH(1,INDEX((機器台帳!$A$2:$A$400="E24-S8-5")*((機器台帳!$B$2:$B$400="前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-5")*((機器台帳!$B$2:$B$400="前面")+(機器台帳!$B$2:$B$400="両面")&gt;0)*(機器台帳!$F$2:$F$400&lt;&gt;"")*(機器台帳!$C$2:$C$400&lt;=47)*(機器台帳!$C$2:$C$400+機器台帳!$D$2:$D$400-1&gt;=47),0),0)))&amp;IF(SUMPRODUCT((機器台帳!$A$2:$A$400="E24-S8-5")*((機器台帳!$B$2:$B$400="前面")+(機器台帳!$B$2:$B$400="両面")&gt;0)*(機器台帳!$F$2:$F$400&lt;&gt;"")*(機器台帳!$C$2:$C$400&lt;=47)*(機器台帳!$C$2:$C$400+機器台帳!$D$2:$D$400-1&gt;=47))&gt;1," 他"&amp;(SUMPRODUCT((機器台帳!$A$2:$A$400="E24-S8-5")*((機器台帳!$B$2:$B$400="前面")+(機器台帳!$B$2:$B$400="両面")&gt;0)*(機器台帳!$F$2:$F$400&lt;&gt;"")*(機器台帳!$C$2:$C$400&lt;=47)*(機器台帳!$C$2:$C$400+機器台帳!$D$2:$D$400-1&gt;=47))-1)&amp;"台",""))</f>
        <v/>
      </c>
      <c r="S4">
        <f>IF(SUMPRODUCT((機器台帳!$A$2:$A$400="E24-S8-5")*((機器台帳!$B$2:$B$400="前面")+(機器台帳!$B$2:$B$400="両面")&gt;0)*(機器台帳!$F$2:$F$400&lt;&gt;"")*(機器台帳!$C$2:$C$400&lt;=47)*(機器台帳!$C$2:$C$400+機器台帳!$D$2:$D$400-1&gt;=47))=0,"",INDEX(機器台帳!$I$2:$I$400,MATCH(1,INDEX((機器台帳!$A$2:$A$400="E24-S8-5")*((機器台帳!$B$2:$B$400="前面")+(機器台帳!$B$2:$B$400="両面")&gt;0)*(機器台帳!$F$2:$F$400&lt;&gt;"")*(機器台帳!$C$2:$C$400&lt;=47)*(機器台帳!$C$2:$C$400+機器台帳!$D$2:$D$400-1&gt;=47),0),0))&amp;IF(INDEX(機器台帳!$Y$2:$Y$400,MATCH(1,INDEX((機器台帳!$A$2:$A$400="E24-S8-5")*((機器台帳!$B$2:$B$400="前面")+(機器台帳!$B$2:$B$400="両面")&gt;0)*(機器台帳!$F$2:$F$400&lt;&gt;"")*(機器台帳!$C$2:$C$400&lt;=47)*(機器台帳!$C$2:$C$400+機器台帳!$D$2:$D$400-1&gt;=47),0),0))=0,"|未記入",""))</f>
        <v/>
      </c>
      <c r="T4" s="12">
        <f>IF(SUMPRODUCT((機器台帳!$A$2:$A$400="E24-S8-5")*((機器台帳!$B$2:$B$400="背面")+(機器台帳!$B$2:$B$400="両面")&gt;0)*(機器台帳!$F$2:$F$400&lt;&gt;"")*(機器台帳!$C$2:$C$400&lt;=47)*(機器台帳!$C$2:$C$400+機器台帳!$D$2:$D$400-1&gt;=47))=0,"",INDEX(機器台帳!$F$2:$F$400,MATCH(1,INDEX((機器台帳!$A$2:$A$400="E24-S8-5")*((機器台帳!$B$2:$B$400="背面")+(機器台帳!$B$2:$B$400="両面")&gt;0)*(機器台帳!$F$2:$F$400&lt;&gt;"")*(機器台帳!$C$2:$C$400&lt;=47)*(機器台帳!$C$2:$C$400+機器台帳!$D$2:$D$400-1&gt;=47),0),0))&amp;IF(INDEX(機器台帳!$G$2:$G$400,MATCH(1,INDEX((機器台帳!$A$2:$A$400="E24-S8-5")*((機器台帳!$B$2:$B$400="背面")+(機器台帳!$B$2:$B$400="両面")&gt;0)*(機器台帳!$F$2:$F$400&lt;&gt;"")*(機器台帳!$C$2:$C$400&lt;=47)*(機器台帳!$C$2:$C$400+機器台帳!$D$2:$D$400-1&gt;=47),0),0))=""," "," "&amp;INDEX(機器台帳!$G$2:$G$400,MATCH(1,INDEX((機器台帳!$A$2:$A$400="E24-S8-5")*((機器台帳!$B$2:$B$400="背面")+(機器台帳!$B$2:$B$400="両面")&gt;0)*(機器台帳!$F$2:$F$400&lt;&gt;"")*(機器台帳!$C$2:$C$400&lt;=47)*(機器台帳!$C$2:$C$400+機器台帳!$D$2:$D$400-1&gt;=47),0),0)))&amp;IF(SUMPRODUCT((機器台帳!$A$2:$A$400="E24-S8-5")*((機器台帳!$B$2:$B$400="背面")+(機器台帳!$B$2:$B$400="両面")&gt;0)*(機器台帳!$F$2:$F$400&lt;&gt;"")*(機器台帳!$C$2:$C$400&lt;=47)*(機器台帳!$C$2:$C$400+機器台帳!$D$2:$D$400-1&gt;=47))&gt;1," 他"&amp;(SUMPRODUCT((機器台帳!$A$2:$A$400="E24-S8-5")*((機器台帳!$B$2:$B$400="背面")+(機器台帳!$B$2:$B$400="両面")&gt;0)*(機器台帳!$F$2:$F$400&lt;&gt;"")*(機器台帳!$C$2:$C$400&lt;=47)*(機器台帳!$C$2:$C$400+機器台帳!$D$2:$D$400-1&gt;=47))-1)&amp;"台",""))</f>
        <v/>
      </c>
      <c r="U4">
        <f>IF(SUMPRODUCT((機器台帳!$A$2:$A$400="E24-S8-5")*((機器台帳!$B$2:$B$400="背面")+(機器台帳!$B$2:$B$400="両面")&gt;0)*(機器台帳!$F$2:$F$400&lt;&gt;"")*(機器台帳!$C$2:$C$400&lt;=47)*(機器台帳!$C$2:$C$400+機器台帳!$D$2:$D$400-1&gt;=47))=0,"",INDEX(機器台帳!$I$2:$I$400,MATCH(1,INDEX((機器台帳!$A$2:$A$400="E24-S8-5")*((機器台帳!$B$2:$B$400="背面")+(機器台帳!$B$2:$B$400="両面")&gt;0)*(機器台帳!$F$2:$F$400&lt;&gt;"")*(機器台帳!$C$2:$C$400&lt;=47)*(機器台帳!$C$2:$C$400+機器台帳!$D$2:$D$400-1&gt;=47),0),0))&amp;IF(INDEX(機器台帳!$Y$2:$Y$400,MATCH(1,INDEX((機器台帳!$A$2:$A$400="E24-S8-5")*((機器台帳!$B$2:$B$400="背面")+(機器台帳!$B$2:$B$400="両面")&gt;0)*(機器台帳!$F$2:$F$400&lt;&gt;"")*(機器台帳!$C$2:$C$400&lt;=47)*(機器台帳!$C$2:$C$400+機器台帳!$D$2:$D$400-1&gt;=47),0),0))=0,"|未記入",""))</f>
        <v/>
      </c>
      <c r="V4" s="12">
        <f>IF(SUMPRODUCT((機器台帳!$A$2:$A$400="E24-S6-1")*((機器台帳!$B$2:$B$400="前面")+(機器台帳!$B$2:$B$400="両面")&gt;0)*(機器台帳!$F$2:$F$400&lt;&gt;"")*(機器台帳!$C$2:$C$400&lt;=47)*(機器台帳!$C$2:$C$400+機器台帳!$D$2:$D$400-1&gt;=47))=0,"",INDEX(機器台帳!$F$2:$F$400,MATCH(1,INDEX((機器台帳!$A$2:$A$400="E24-S6-1")*((機器台帳!$B$2:$B$400="前面")+(機器台帳!$B$2:$B$400="両面")&gt;0)*(機器台帳!$F$2:$F$400&lt;&gt;"")*(機器台帳!$C$2:$C$400&lt;=47)*(機器台帳!$C$2:$C$400+機器台帳!$D$2:$D$400-1&gt;=47),0),0))&amp;IF(INDEX(機器台帳!$G$2:$G$400,MATCH(1,INDEX((機器台帳!$A$2:$A$400="E24-S6-1")*((機器台帳!$B$2:$B$400="前面")+(機器台帳!$B$2:$B$400="両面")&gt;0)*(機器台帳!$F$2:$F$400&lt;&gt;"")*(機器台帳!$C$2:$C$400&lt;=47)*(機器台帳!$C$2:$C$400+機器台帳!$D$2:$D$400-1&gt;=47),0),0))=""," "," "&amp;INDEX(機器台帳!$G$2:$G$400,MATCH(1,INDEX((機器台帳!$A$2:$A$400="E24-S6-1")*((機器台帳!$B$2:$B$400="前面")+(機器台帳!$B$2:$B$400="両面")&gt;0)*(機器台帳!$F$2:$F$400&lt;&gt;"")*(機器台帳!$C$2:$C$400&lt;=47)*(機器台帳!$C$2:$C$400+機器台帳!$D$2:$D$400-1&gt;=47),0),0)))&amp;IF(SUMPRODUCT((機器台帳!$A$2:$A$400="E24-S6-1")*((機器台帳!$B$2:$B$400="前面")+(機器台帳!$B$2:$B$400="両面")&gt;0)*(機器台帳!$F$2:$F$400&lt;&gt;"")*(機器台帳!$C$2:$C$400&lt;=47)*(機器台帳!$C$2:$C$400+機器台帳!$D$2:$D$400-1&gt;=47))&gt;1," 他"&amp;(SUMPRODUCT((機器台帳!$A$2:$A$400="E24-S6-1")*((機器台帳!$B$2:$B$400="前面")+(機器台帳!$B$2:$B$400="両面")&gt;0)*(機器台帳!$F$2:$F$400&lt;&gt;"")*(機器台帳!$C$2:$C$400&lt;=47)*(機器台帳!$C$2:$C$400+機器台帳!$D$2:$D$400-1&gt;=47))-1)&amp;"台",""))</f>
        <v/>
      </c>
      <c r="W4">
        <f>IF(SUMPRODUCT((機器台帳!$A$2:$A$400="E24-S6-1")*((機器台帳!$B$2:$B$400="前面")+(機器台帳!$B$2:$B$400="両面")&gt;0)*(機器台帳!$F$2:$F$400&lt;&gt;"")*(機器台帳!$C$2:$C$400&lt;=47)*(機器台帳!$C$2:$C$400+機器台帳!$D$2:$D$400-1&gt;=47))=0,"",INDEX(機器台帳!$I$2:$I$400,MATCH(1,INDEX((機器台帳!$A$2:$A$400="E24-S6-1")*((機器台帳!$B$2:$B$400="前面")+(機器台帳!$B$2:$B$400="両面")&gt;0)*(機器台帳!$F$2:$F$400&lt;&gt;"")*(機器台帳!$C$2:$C$400&lt;=47)*(機器台帳!$C$2:$C$400+機器台帳!$D$2:$D$400-1&gt;=47),0),0))&amp;IF(INDEX(機器台帳!$Y$2:$Y$400,MATCH(1,INDEX((機器台帳!$A$2:$A$400="E24-S6-1")*((機器台帳!$B$2:$B$400="前面")+(機器台帳!$B$2:$B$400="両面")&gt;0)*(機器台帳!$F$2:$F$400&lt;&gt;"")*(機器台帳!$C$2:$C$400&lt;=47)*(機器台帳!$C$2:$C$400+機器台帳!$D$2:$D$400-1&gt;=47),0),0))=0,"|未記入",""))</f>
        <v/>
      </c>
      <c r="X4" s="12">
        <f>IF(SUMPRODUCT((機器台帳!$A$2:$A$400="E24-S6-1")*((機器台帳!$B$2:$B$400="背面")+(機器台帳!$B$2:$B$400="両面")&gt;0)*(機器台帳!$F$2:$F$400&lt;&gt;"")*(機器台帳!$C$2:$C$400&lt;=47)*(機器台帳!$C$2:$C$400+機器台帳!$D$2:$D$400-1&gt;=47))=0,"",INDEX(機器台帳!$F$2:$F$400,MATCH(1,INDEX((機器台帳!$A$2:$A$400="E24-S6-1")*((機器台帳!$B$2:$B$400="背面")+(機器台帳!$B$2:$B$400="両面")&gt;0)*(機器台帳!$F$2:$F$400&lt;&gt;"")*(機器台帳!$C$2:$C$400&lt;=47)*(機器台帳!$C$2:$C$400+機器台帳!$D$2:$D$400-1&gt;=47),0),0))&amp;IF(INDEX(機器台帳!$G$2:$G$400,MATCH(1,INDEX((機器台帳!$A$2:$A$400="E24-S6-1")*((機器台帳!$B$2:$B$400="背面")+(機器台帳!$B$2:$B$400="両面")&gt;0)*(機器台帳!$F$2:$F$400&lt;&gt;"")*(機器台帳!$C$2:$C$400&lt;=47)*(機器台帳!$C$2:$C$400+機器台帳!$D$2:$D$400-1&gt;=47),0),0))=""," "," "&amp;INDEX(機器台帳!$G$2:$G$400,MATCH(1,INDEX((機器台帳!$A$2:$A$400="E24-S6-1")*((機器台帳!$B$2:$B$400="背面")+(機器台帳!$B$2:$B$400="両面")&gt;0)*(機器台帳!$F$2:$F$400&lt;&gt;"")*(機器台帳!$C$2:$C$400&lt;=47)*(機器台帳!$C$2:$C$400+機器台帳!$D$2:$D$400-1&gt;=47),0),0)))&amp;IF(SUMPRODUCT((機器台帳!$A$2:$A$400="E24-S6-1")*((機器台帳!$B$2:$B$400="背面")+(機器台帳!$B$2:$B$400="両面")&gt;0)*(機器台帳!$F$2:$F$400&lt;&gt;"")*(機器台帳!$C$2:$C$400&lt;=47)*(機器台帳!$C$2:$C$400+機器台帳!$D$2:$D$400-1&gt;=47))&gt;1," 他"&amp;(SUMPRODUCT((機器台帳!$A$2:$A$400="E24-S6-1")*((機器台帳!$B$2:$B$400="背面")+(機器台帳!$B$2:$B$400="両面")&gt;0)*(機器台帳!$F$2:$F$400&lt;&gt;"")*(機器台帳!$C$2:$C$400&lt;=47)*(機器台帳!$C$2:$C$400+機器台帳!$D$2:$D$400-1&gt;=47))-1)&amp;"台",""))</f>
        <v/>
      </c>
      <c r="Y4">
        <f>IF(SUMPRODUCT((機器台帳!$A$2:$A$400="E24-S6-1")*((機器台帳!$B$2:$B$400="背面")+(機器台帳!$B$2:$B$400="両面")&gt;0)*(機器台帳!$F$2:$F$400&lt;&gt;"")*(機器台帳!$C$2:$C$400&lt;=47)*(機器台帳!$C$2:$C$400+機器台帳!$D$2:$D$400-1&gt;=47))=0,"",INDEX(機器台帳!$I$2:$I$400,MATCH(1,INDEX((機器台帳!$A$2:$A$400="E24-S6-1")*((機器台帳!$B$2:$B$400="背面")+(機器台帳!$B$2:$B$400="両面")&gt;0)*(機器台帳!$F$2:$F$400&lt;&gt;"")*(機器台帳!$C$2:$C$400&lt;=47)*(機器台帳!$C$2:$C$400+機器台帳!$D$2:$D$400-1&gt;=47),0),0))&amp;IF(INDEX(機器台帳!$Y$2:$Y$400,MATCH(1,INDEX((機器台帳!$A$2:$A$400="E24-S6-1")*((機器台帳!$B$2:$B$400="背面")+(機器台帳!$B$2:$B$400="両面")&gt;0)*(機器台帳!$F$2:$F$400&lt;&gt;"")*(機器台帳!$C$2:$C$400&lt;=47)*(機器台帳!$C$2:$C$400+機器台帳!$D$2:$D$400-1&gt;=47),0),0))=0,"|未記入",""))</f>
        <v/>
      </c>
    </row>
    <row r="5">
      <c r="A5" s="11" t="n">
        <v>46</v>
      </c>
      <c r="B5" s="12">
        <f>IF(SUMPRODUCT((機器台帳!$A$2:$A$400="E24-S8-1")*((機器台帳!$B$2:$B$400="前面")+(機器台帳!$B$2:$B$400="両面")&gt;0)*(機器台帳!$F$2:$F$400&lt;&gt;"")*(機器台帳!$C$2:$C$400&lt;=46)*(機器台帳!$C$2:$C$400+機器台帳!$D$2:$D$400-1&gt;=46))=0,"",INDEX(機器台帳!$F$2:$F$400,MATCH(1,INDEX((機器台帳!$A$2:$A$400="E24-S8-1")*((機器台帳!$B$2:$B$400="前面")+(機器台帳!$B$2:$B$400="両面")&gt;0)*(機器台帳!$F$2:$F$400&lt;&gt;"")*(機器台帳!$C$2:$C$400&lt;=46)*(機器台帳!$C$2:$C$400+機器台帳!$D$2:$D$400-1&gt;=46),0),0))&amp;IF(INDEX(機器台帳!$G$2:$G$400,MATCH(1,INDEX((機器台帳!$A$2:$A$400="E24-S8-1")*((機器台帳!$B$2:$B$400="前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-1")*((機器台帳!$B$2:$B$400="前面")+(機器台帳!$B$2:$B$400="両面")&gt;0)*(機器台帳!$F$2:$F$400&lt;&gt;"")*(機器台帳!$C$2:$C$400&lt;=46)*(機器台帳!$C$2:$C$400+機器台帳!$D$2:$D$400-1&gt;=46),0),0)))&amp;IF(SUMPRODUCT((機器台帳!$A$2:$A$400="E24-S8-1")*((機器台帳!$B$2:$B$400="前面")+(機器台帳!$B$2:$B$400="両面")&gt;0)*(機器台帳!$F$2:$F$400&lt;&gt;"")*(機器台帳!$C$2:$C$400&lt;=46)*(機器台帳!$C$2:$C$400+機器台帳!$D$2:$D$400-1&gt;=46))&gt;1," 他"&amp;(SUMPRODUCT((機器台帳!$A$2:$A$400="E24-S8-1")*((機器台帳!$B$2:$B$400="前面")+(機器台帳!$B$2:$B$400="両面")&gt;0)*(機器台帳!$F$2:$F$400&lt;&gt;"")*(機器台帳!$C$2:$C$400&lt;=46)*(機器台帳!$C$2:$C$400+機器台帳!$D$2:$D$400-1&gt;=46))-1)&amp;"台",""))</f>
        <v/>
      </c>
      <c r="C5">
        <f>IF(SUMPRODUCT((機器台帳!$A$2:$A$400="E24-S8-1")*((機器台帳!$B$2:$B$400="前面")+(機器台帳!$B$2:$B$400="両面")&gt;0)*(機器台帳!$F$2:$F$400&lt;&gt;"")*(機器台帳!$C$2:$C$400&lt;=46)*(機器台帳!$C$2:$C$400+機器台帳!$D$2:$D$400-1&gt;=46))=0,"",INDEX(機器台帳!$I$2:$I$400,MATCH(1,INDEX((機器台帳!$A$2:$A$400="E24-S8-1")*((機器台帳!$B$2:$B$400="前面")+(機器台帳!$B$2:$B$400="両面")&gt;0)*(機器台帳!$F$2:$F$400&lt;&gt;"")*(機器台帳!$C$2:$C$400&lt;=46)*(機器台帳!$C$2:$C$400+機器台帳!$D$2:$D$400-1&gt;=46),0),0))&amp;IF(INDEX(機器台帳!$Y$2:$Y$400,MATCH(1,INDEX((機器台帳!$A$2:$A$400="E24-S8-1")*((機器台帳!$B$2:$B$400="前面")+(機器台帳!$B$2:$B$400="両面")&gt;0)*(機器台帳!$F$2:$F$400&lt;&gt;"")*(機器台帳!$C$2:$C$400&lt;=46)*(機器台帳!$C$2:$C$400+機器台帳!$D$2:$D$400-1&gt;=46),0),0))=0,"|未記入",""))</f>
        <v/>
      </c>
      <c r="D5" s="12">
        <f>IF(SUMPRODUCT((機器台帳!$A$2:$A$400="E24-S8-1")*((機器台帳!$B$2:$B$400="背面")+(機器台帳!$B$2:$B$400="両面")&gt;0)*(機器台帳!$F$2:$F$400&lt;&gt;"")*(機器台帳!$C$2:$C$400&lt;=46)*(機器台帳!$C$2:$C$400+機器台帳!$D$2:$D$400-1&gt;=46))=0,"",INDEX(機器台帳!$F$2:$F$400,MATCH(1,INDEX((機器台帳!$A$2:$A$400="E24-S8-1")*((機器台帳!$B$2:$B$400="背面")+(機器台帳!$B$2:$B$400="両面")&gt;0)*(機器台帳!$F$2:$F$400&lt;&gt;"")*(機器台帳!$C$2:$C$400&lt;=46)*(機器台帳!$C$2:$C$400+機器台帳!$D$2:$D$400-1&gt;=46),0),0))&amp;IF(INDEX(機器台帳!$G$2:$G$400,MATCH(1,INDEX((機器台帳!$A$2:$A$400="E24-S8-1")*((機器台帳!$B$2:$B$400="背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-1")*((機器台帳!$B$2:$B$400="背面")+(機器台帳!$B$2:$B$400="両面")&gt;0)*(機器台帳!$F$2:$F$400&lt;&gt;"")*(機器台帳!$C$2:$C$400&lt;=46)*(機器台帳!$C$2:$C$400+機器台帳!$D$2:$D$400-1&gt;=46),0),0)))&amp;IF(SUMPRODUCT((機器台帳!$A$2:$A$400="E24-S8-1")*((機器台帳!$B$2:$B$400="背面")+(機器台帳!$B$2:$B$400="両面")&gt;0)*(機器台帳!$F$2:$F$400&lt;&gt;"")*(機器台帳!$C$2:$C$400&lt;=46)*(機器台帳!$C$2:$C$400+機器台帳!$D$2:$D$400-1&gt;=46))&gt;1," 他"&amp;(SUMPRODUCT((機器台帳!$A$2:$A$400="E24-S8-1")*((機器台帳!$B$2:$B$400="背面")+(機器台帳!$B$2:$B$400="両面")&gt;0)*(機器台帳!$F$2:$F$400&lt;&gt;"")*(機器台帳!$C$2:$C$400&lt;=46)*(機器台帳!$C$2:$C$400+機器台帳!$D$2:$D$400-1&gt;=46))-1)&amp;"台",""))</f>
        <v/>
      </c>
      <c r="E5">
        <f>IF(SUMPRODUCT((機器台帳!$A$2:$A$400="E24-S8-1")*((機器台帳!$B$2:$B$400="背面")+(機器台帳!$B$2:$B$400="両面")&gt;0)*(機器台帳!$F$2:$F$400&lt;&gt;"")*(機器台帳!$C$2:$C$400&lt;=46)*(機器台帳!$C$2:$C$400+機器台帳!$D$2:$D$400-1&gt;=46))=0,"",INDEX(機器台帳!$I$2:$I$400,MATCH(1,INDEX((機器台帳!$A$2:$A$400="E24-S8-1")*((機器台帳!$B$2:$B$400="背面")+(機器台帳!$B$2:$B$400="両面")&gt;0)*(機器台帳!$F$2:$F$400&lt;&gt;"")*(機器台帳!$C$2:$C$400&lt;=46)*(機器台帳!$C$2:$C$400+機器台帳!$D$2:$D$400-1&gt;=46),0),0))&amp;IF(INDEX(機器台帳!$Y$2:$Y$400,MATCH(1,INDEX((機器台帳!$A$2:$A$400="E24-S8-1")*((機器台帳!$B$2:$B$400="背面")+(機器台帳!$B$2:$B$400="両面")&gt;0)*(機器台帳!$F$2:$F$400&lt;&gt;"")*(機器台帳!$C$2:$C$400&lt;=46)*(機器台帳!$C$2:$C$400+機器台帳!$D$2:$D$400-1&gt;=46),0),0))=0,"|未記入",""))</f>
        <v/>
      </c>
      <c r="F5" s="12">
        <f>IF(SUMPRODUCT((機器台帳!$A$2:$A$400="E24-S8-2")*((機器台帳!$B$2:$B$400="前面")+(機器台帳!$B$2:$B$400="両面")&gt;0)*(機器台帳!$F$2:$F$400&lt;&gt;"")*(機器台帳!$C$2:$C$400&lt;=46)*(機器台帳!$C$2:$C$400+機器台帳!$D$2:$D$400-1&gt;=46))=0,"",INDEX(機器台帳!$F$2:$F$400,MATCH(1,INDEX((機器台帳!$A$2:$A$400="E24-S8-2")*((機器台帳!$B$2:$B$400="前面")+(機器台帳!$B$2:$B$400="両面")&gt;0)*(機器台帳!$F$2:$F$400&lt;&gt;"")*(機器台帳!$C$2:$C$400&lt;=46)*(機器台帳!$C$2:$C$400+機器台帳!$D$2:$D$400-1&gt;=46),0),0))&amp;IF(INDEX(機器台帳!$G$2:$G$400,MATCH(1,INDEX((機器台帳!$A$2:$A$400="E24-S8-2")*((機器台帳!$B$2:$B$400="前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-2")*((機器台帳!$B$2:$B$400="前面")+(機器台帳!$B$2:$B$400="両面")&gt;0)*(機器台帳!$F$2:$F$400&lt;&gt;"")*(機器台帳!$C$2:$C$400&lt;=46)*(機器台帳!$C$2:$C$400+機器台帳!$D$2:$D$400-1&gt;=46),0),0)))&amp;IF(SUMPRODUCT((機器台帳!$A$2:$A$400="E24-S8-2")*((機器台帳!$B$2:$B$400="前面")+(機器台帳!$B$2:$B$400="両面")&gt;0)*(機器台帳!$F$2:$F$400&lt;&gt;"")*(機器台帳!$C$2:$C$400&lt;=46)*(機器台帳!$C$2:$C$400+機器台帳!$D$2:$D$400-1&gt;=46))&gt;1," 他"&amp;(SUMPRODUCT((機器台帳!$A$2:$A$400="E24-S8-2")*((機器台帳!$B$2:$B$400="前面")+(機器台帳!$B$2:$B$400="両面")&gt;0)*(機器台帳!$F$2:$F$400&lt;&gt;"")*(機器台帳!$C$2:$C$400&lt;=46)*(機器台帳!$C$2:$C$400+機器台帳!$D$2:$D$400-1&gt;=46))-1)&amp;"台",""))</f>
        <v/>
      </c>
      <c r="G5">
        <f>IF(SUMPRODUCT((機器台帳!$A$2:$A$400="E24-S8-2")*((機器台帳!$B$2:$B$400="前面")+(機器台帳!$B$2:$B$400="両面")&gt;0)*(機器台帳!$F$2:$F$400&lt;&gt;"")*(機器台帳!$C$2:$C$400&lt;=46)*(機器台帳!$C$2:$C$400+機器台帳!$D$2:$D$400-1&gt;=46))=0,"",INDEX(機器台帳!$I$2:$I$400,MATCH(1,INDEX((機器台帳!$A$2:$A$400="E24-S8-2")*((機器台帳!$B$2:$B$400="前面")+(機器台帳!$B$2:$B$400="両面")&gt;0)*(機器台帳!$F$2:$F$400&lt;&gt;"")*(機器台帳!$C$2:$C$400&lt;=46)*(機器台帳!$C$2:$C$400+機器台帳!$D$2:$D$400-1&gt;=46),0),0))&amp;IF(INDEX(機器台帳!$Y$2:$Y$400,MATCH(1,INDEX((機器台帳!$A$2:$A$400="E24-S8-2")*((機器台帳!$B$2:$B$400="前面")+(機器台帳!$B$2:$B$400="両面")&gt;0)*(機器台帳!$F$2:$F$400&lt;&gt;"")*(機器台帳!$C$2:$C$400&lt;=46)*(機器台帳!$C$2:$C$400+機器台帳!$D$2:$D$400-1&gt;=46),0),0))=0,"|未記入",""))</f>
        <v/>
      </c>
      <c r="H5" s="12">
        <f>IF(SUMPRODUCT((機器台帳!$A$2:$A$400="E24-S8-2")*((機器台帳!$B$2:$B$400="背面")+(機器台帳!$B$2:$B$400="両面")&gt;0)*(機器台帳!$F$2:$F$400&lt;&gt;"")*(機器台帳!$C$2:$C$400&lt;=46)*(機器台帳!$C$2:$C$400+機器台帳!$D$2:$D$400-1&gt;=46))=0,"",INDEX(機器台帳!$F$2:$F$400,MATCH(1,INDEX((機器台帳!$A$2:$A$400="E24-S8-2")*((機器台帳!$B$2:$B$400="背面")+(機器台帳!$B$2:$B$400="両面")&gt;0)*(機器台帳!$F$2:$F$400&lt;&gt;"")*(機器台帳!$C$2:$C$400&lt;=46)*(機器台帳!$C$2:$C$400+機器台帳!$D$2:$D$400-1&gt;=46),0),0))&amp;IF(INDEX(機器台帳!$G$2:$G$400,MATCH(1,INDEX((機器台帳!$A$2:$A$400="E24-S8-2")*((機器台帳!$B$2:$B$400="背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-2")*((機器台帳!$B$2:$B$400="背面")+(機器台帳!$B$2:$B$400="両面")&gt;0)*(機器台帳!$F$2:$F$400&lt;&gt;"")*(機器台帳!$C$2:$C$400&lt;=46)*(機器台帳!$C$2:$C$400+機器台帳!$D$2:$D$400-1&gt;=46),0),0)))&amp;IF(SUMPRODUCT((機器台帳!$A$2:$A$400="E24-S8-2")*((機器台帳!$B$2:$B$400="背面")+(機器台帳!$B$2:$B$400="両面")&gt;0)*(機器台帳!$F$2:$F$400&lt;&gt;"")*(機器台帳!$C$2:$C$400&lt;=46)*(機器台帳!$C$2:$C$400+機器台帳!$D$2:$D$400-1&gt;=46))&gt;1," 他"&amp;(SUMPRODUCT((機器台帳!$A$2:$A$400="E24-S8-2")*((機器台帳!$B$2:$B$400="背面")+(機器台帳!$B$2:$B$400="両面")&gt;0)*(機器台帳!$F$2:$F$400&lt;&gt;"")*(機器台帳!$C$2:$C$400&lt;=46)*(機器台帳!$C$2:$C$400+機器台帳!$D$2:$D$400-1&gt;=46))-1)&amp;"台",""))</f>
        <v/>
      </c>
      <c r="I5">
        <f>IF(SUMPRODUCT((機器台帳!$A$2:$A$400="E24-S8-2")*((機器台帳!$B$2:$B$400="背面")+(機器台帳!$B$2:$B$400="両面")&gt;0)*(機器台帳!$F$2:$F$400&lt;&gt;"")*(機器台帳!$C$2:$C$400&lt;=46)*(機器台帳!$C$2:$C$400+機器台帳!$D$2:$D$400-1&gt;=46))=0,"",INDEX(機器台帳!$I$2:$I$400,MATCH(1,INDEX((機器台帳!$A$2:$A$400="E24-S8-2")*((機器台帳!$B$2:$B$400="背面")+(機器台帳!$B$2:$B$400="両面")&gt;0)*(機器台帳!$F$2:$F$400&lt;&gt;"")*(機器台帳!$C$2:$C$400&lt;=46)*(機器台帳!$C$2:$C$400+機器台帳!$D$2:$D$400-1&gt;=46),0),0))&amp;IF(INDEX(機器台帳!$Y$2:$Y$400,MATCH(1,INDEX((機器台帳!$A$2:$A$400="E24-S8-2")*((機器台帳!$B$2:$B$400="背面")+(機器台帳!$B$2:$B$400="両面")&gt;0)*(機器台帳!$F$2:$F$400&lt;&gt;"")*(機器台帳!$C$2:$C$400&lt;=46)*(機器台帳!$C$2:$C$400+機器台帳!$D$2:$D$400-1&gt;=46),0),0))=0,"|未記入",""))</f>
        <v/>
      </c>
      <c r="J5" s="12">
        <f>IF(SUMPRODUCT((機器台帳!$A$2:$A$400="E24-S8-3")*((機器台帳!$B$2:$B$400="前面")+(機器台帳!$B$2:$B$400="両面")&gt;0)*(機器台帳!$F$2:$F$400&lt;&gt;"")*(機器台帳!$C$2:$C$400&lt;=46)*(機器台帳!$C$2:$C$400+機器台帳!$D$2:$D$400-1&gt;=46))=0,"",INDEX(機器台帳!$F$2:$F$400,MATCH(1,INDEX((機器台帳!$A$2:$A$400="E24-S8-3")*((機器台帳!$B$2:$B$400="前面")+(機器台帳!$B$2:$B$400="両面")&gt;0)*(機器台帳!$F$2:$F$400&lt;&gt;"")*(機器台帳!$C$2:$C$400&lt;=46)*(機器台帳!$C$2:$C$400+機器台帳!$D$2:$D$400-1&gt;=46),0),0))&amp;IF(INDEX(機器台帳!$G$2:$G$400,MATCH(1,INDEX((機器台帳!$A$2:$A$400="E24-S8-3")*((機器台帳!$B$2:$B$400="前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-3")*((機器台帳!$B$2:$B$400="前面")+(機器台帳!$B$2:$B$400="両面")&gt;0)*(機器台帳!$F$2:$F$400&lt;&gt;"")*(機器台帳!$C$2:$C$400&lt;=46)*(機器台帳!$C$2:$C$400+機器台帳!$D$2:$D$400-1&gt;=46),0),0)))&amp;IF(SUMPRODUCT((機器台帳!$A$2:$A$400="E24-S8-3")*((機器台帳!$B$2:$B$400="前面")+(機器台帳!$B$2:$B$400="両面")&gt;0)*(機器台帳!$F$2:$F$400&lt;&gt;"")*(機器台帳!$C$2:$C$400&lt;=46)*(機器台帳!$C$2:$C$400+機器台帳!$D$2:$D$400-1&gt;=46))&gt;1," 他"&amp;(SUMPRODUCT((機器台帳!$A$2:$A$400="E24-S8-3")*((機器台帳!$B$2:$B$400="前面")+(機器台帳!$B$2:$B$400="両面")&gt;0)*(機器台帳!$F$2:$F$400&lt;&gt;"")*(機器台帳!$C$2:$C$400&lt;=46)*(機器台帳!$C$2:$C$400+機器台帳!$D$2:$D$400-1&gt;=46))-1)&amp;"台",""))</f>
        <v/>
      </c>
      <c r="K5">
        <f>IF(SUMPRODUCT((機器台帳!$A$2:$A$400="E24-S8-3")*((機器台帳!$B$2:$B$400="前面")+(機器台帳!$B$2:$B$400="両面")&gt;0)*(機器台帳!$F$2:$F$400&lt;&gt;"")*(機器台帳!$C$2:$C$400&lt;=46)*(機器台帳!$C$2:$C$400+機器台帳!$D$2:$D$400-1&gt;=46))=0,"",INDEX(機器台帳!$I$2:$I$400,MATCH(1,INDEX((機器台帳!$A$2:$A$400="E24-S8-3")*((機器台帳!$B$2:$B$400="前面")+(機器台帳!$B$2:$B$400="両面")&gt;0)*(機器台帳!$F$2:$F$400&lt;&gt;"")*(機器台帳!$C$2:$C$400&lt;=46)*(機器台帳!$C$2:$C$400+機器台帳!$D$2:$D$400-1&gt;=46),0),0))&amp;IF(INDEX(機器台帳!$Y$2:$Y$400,MATCH(1,INDEX((機器台帳!$A$2:$A$400="E24-S8-3")*((機器台帳!$B$2:$B$400="前面")+(機器台帳!$B$2:$B$400="両面")&gt;0)*(機器台帳!$F$2:$F$400&lt;&gt;"")*(機器台帳!$C$2:$C$400&lt;=46)*(機器台帳!$C$2:$C$400+機器台帳!$D$2:$D$400-1&gt;=46),0),0))=0,"|未記入",""))</f>
        <v/>
      </c>
      <c r="L5" s="12">
        <f>IF(SUMPRODUCT((機器台帳!$A$2:$A$400="E24-S8-3")*((機器台帳!$B$2:$B$400="背面")+(機器台帳!$B$2:$B$400="両面")&gt;0)*(機器台帳!$F$2:$F$400&lt;&gt;"")*(機器台帳!$C$2:$C$400&lt;=46)*(機器台帳!$C$2:$C$400+機器台帳!$D$2:$D$400-1&gt;=46))=0,"",INDEX(機器台帳!$F$2:$F$400,MATCH(1,INDEX((機器台帳!$A$2:$A$400="E24-S8-3")*((機器台帳!$B$2:$B$400="背面")+(機器台帳!$B$2:$B$400="両面")&gt;0)*(機器台帳!$F$2:$F$400&lt;&gt;"")*(機器台帳!$C$2:$C$400&lt;=46)*(機器台帳!$C$2:$C$400+機器台帳!$D$2:$D$400-1&gt;=46),0),0))&amp;IF(INDEX(機器台帳!$G$2:$G$400,MATCH(1,INDEX((機器台帳!$A$2:$A$400="E24-S8-3")*((機器台帳!$B$2:$B$400="背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-3")*((機器台帳!$B$2:$B$400="背面")+(機器台帳!$B$2:$B$400="両面")&gt;0)*(機器台帳!$F$2:$F$400&lt;&gt;"")*(機器台帳!$C$2:$C$400&lt;=46)*(機器台帳!$C$2:$C$400+機器台帳!$D$2:$D$400-1&gt;=46),0),0)))&amp;IF(SUMPRODUCT((機器台帳!$A$2:$A$400="E24-S8-3")*((機器台帳!$B$2:$B$400="背面")+(機器台帳!$B$2:$B$400="両面")&gt;0)*(機器台帳!$F$2:$F$400&lt;&gt;"")*(機器台帳!$C$2:$C$400&lt;=46)*(機器台帳!$C$2:$C$400+機器台帳!$D$2:$D$400-1&gt;=46))&gt;1," 他"&amp;(SUMPRODUCT((機器台帳!$A$2:$A$400="E24-S8-3")*((機器台帳!$B$2:$B$400="背面")+(機器台帳!$B$2:$B$400="両面")&gt;0)*(機器台帳!$F$2:$F$400&lt;&gt;"")*(機器台帳!$C$2:$C$400&lt;=46)*(機器台帳!$C$2:$C$400+機器台帳!$D$2:$D$400-1&gt;=46))-1)&amp;"台",""))</f>
        <v/>
      </c>
      <c r="M5">
        <f>IF(SUMPRODUCT((機器台帳!$A$2:$A$400="E24-S8-3")*((機器台帳!$B$2:$B$400="背面")+(機器台帳!$B$2:$B$400="両面")&gt;0)*(機器台帳!$F$2:$F$400&lt;&gt;"")*(機器台帳!$C$2:$C$400&lt;=46)*(機器台帳!$C$2:$C$400+機器台帳!$D$2:$D$400-1&gt;=46))=0,"",INDEX(機器台帳!$I$2:$I$400,MATCH(1,INDEX((機器台帳!$A$2:$A$400="E24-S8-3")*((機器台帳!$B$2:$B$400="背面")+(機器台帳!$B$2:$B$400="両面")&gt;0)*(機器台帳!$F$2:$F$400&lt;&gt;"")*(機器台帳!$C$2:$C$400&lt;=46)*(機器台帳!$C$2:$C$400+機器台帳!$D$2:$D$400-1&gt;=46),0),0))&amp;IF(INDEX(機器台帳!$Y$2:$Y$400,MATCH(1,INDEX((機器台帳!$A$2:$A$400="E24-S8-3")*((機器台帳!$B$2:$B$400="背面")+(機器台帳!$B$2:$B$400="両面")&gt;0)*(機器台帳!$F$2:$F$400&lt;&gt;"")*(機器台帳!$C$2:$C$400&lt;=46)*(機器台帳!$C$2:$C$400+機器台帳!$D$2:$D$400-1&gt;=46),0),0))=0,"|未記入",""))</f>
        <v/>
      </c>
      <c r="N5" s="12">
        <f>IF(SUMPRODUCT((機器台帳!$A$2:$A$400="E24-S8-4")*((機器台帳!$B$2:$B$400="前面")+(機器台帳!$B$2:$B$400="両面")&gt;0)*(機器台帳!$F$2:$F$400&lt;&gt;"")*(機器台帳!$C$2:$C$400&lt;=46)*(機器台帳!$C$2:$C$400+機器台帳!$D$2:$D$400-1&gt;=46))=0,"",INDEX(機器台帳!$F$2:$F$400,MATCH(1,INDEX((機器台帳!$A$2:$A$400="E24-S8-4")*((機器台帳!$B$2:$B$400="前面")+(機器台帳!$B$2:$B$400="両面")&gt;0)*(機器台帳!$F$2:$F$400&lt;&gt;"")*(機器台帳!$C$2:$C$400&lt;=46)*(機器台帳!$C$2:$C$400+機器台帳!$D$2:$D$400-1&gt;=46),0),0))&amp;IF(INDEX(機器台帳!$G$2:$G$400,MATCH(1,INDEX((機器台帳!$A$2:$A$400="E24-S8-4")*((機器台帳!$B$2:$B$400="前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-4")*((機器台帳!$B$2:$B$400="前面")+(機器台帳!$B$2:$B$400="両面")&gt;0)*(機器台帳!$F$2:$F$400&lt;&gt;"")*(機器台帳!$C$2:$C$400&lt;=46)*(機器台帳!$C$2:$C$400+機器台帳!$D$2:$D$400-1&gt;=46),0),0)))&amp;IF(SUMPRODUCT((機器台帳!$A$2:$A$400="E24-S8-4")*((機器台帳!$B$2:$B$400="前面")+(機器台帳!$B$2:$B$400="両面")&gt;0)*(機器台帳!$F$2:$F$400&lt;&gt;"")*(機器台帳!$C$2:$C$400&lt;=46)*(機器台帳!$C$2:$C$400+機器台帳!$D$2:$D$400-1&gt;=46))&gt;1," 他"&amp;(SUMPRODUCT((機器台帳!$A$2:$A$400="E24-S8-4")*((機器台帳!$B$2:$B$400="前面")+(機器台帳!$B$2:$B$400="両面")&gt;0)*(機器台帳!$F$2:$F$400&lt;&gt;"")*(機器台帳!$C$2:$C$400&lt;=46)*(機器台帳!$C$2:$C$400+機器台帳!$D$2:$D$400-1&gt;=46))-1)&amp;"台",""))</f>
        <v/>
      </c>
      <c r="O5">
        <f>IF(SUMPRODUCT((機器台帳!$A$2:$A$400="E24-S8-4")*((機器台帳!$B$2:$B$400="前面")+(機器台帳!$B$2:$B$400="両面")&gt;0)*(機器台帳!$F$2:$F$400&lt;&gt;"")*(機器台帳!$C$2:$C$400&lt;=46)*(機器台帳!$C$2:$C$400+機器台帳!$D$2:$D$400-1&gt;=46))=0,"",INDEX(機器台帳!$I$2:$I$400,MATCH(1,INDEX((機器台帳!$A$2:$A$400="E24-S8-4")*((機器台帳!$B$2:$B$400="前面")+(機器台帳!$B$2:$B$400="両面")&gt;0)*(機器台帳!$F$2:$F$400&lt;&gt;"")*(機器台帳!$C$2:$C$400&lt;=46)*(機器台帳!$C$2:$C$400+機器台帳!$D$2:$D$400-1&gt;=46),0),0))&amp;IF(INDEX(機器台帳!$Y$2:$Y$400,MATCH(1,INDEX((機器台帳!$A$2:$A$400="E24-S8-4")*((機器台帳!$B$2:$B$400="前面")+(機器台帳!$B$2:$B$400="両面")&gt;0)*(機器台帳!$F$2:$F$400&lt;&gt;"")*(機器台帳!$C$2:$C$400&lt;=46)*(機器台帳!$C$2:$C$400+機器台帳!$D$2:$D$400-1&gt;=46),0),0))=0,"|未記入",""))</f>
        <v/>
      </c>
      <c r="P5" s="12">
        <f>IF(SUMPRODUCT((機器台帳!$A$2:$A$400="E24-S8-4")*((機器台帳!$B$2:$B$400="背面")+(機器台帳!$B$2:$B$400="両面")&gt;0)*(機器台帳!$F$2:$F$400&lt;&gt;"")*(機器台帳!$C$2:$C$400&lt;=46)*(機器台帳!$C$2:$C$400+機器台帳!$D$2:$D$400-1&gt;=46))=0,"",INDEX(機器台帳!$F$2:$F$400,MATCH(1,INDEX((機器台帳!$A$2:$A$400="E24-S8-4")*((機器台帳!$B$2:$B$400="背面")+(機器台帳!$B$2:$B$400="両面")&gt;0)*(機器台帳!$F$2:$F$400&lt;&gt;"")*(機器台帳!$C$2:$C$400&lt;=46)*(機器台帳!$C$2:$C$400+機器台帳!$D$2:$D$400-1&gt;=46),0),0))&amp;IF(INDEX(機器台帳!$G$2:$G$400,MATCH(1,INDEX((機器台帳!$A$2:$A$400="E24-S8-4")*((機器台帳!$B$2:$B$400="背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-4")*((機器台帳!$B$2:$B$400="背面")+(機器台帳!$B$2:$B$400="両面")&gt;0)*(機器台帳!$F$2:$F$400&lt;&gt;"")*(機器台帳!$C$2:$C$400&lt;=46)*(機器台帳!$C$2:$C$400+機器台帳!$D$2:$D$400-1&gt;=46),0),0)))&amp;IF(SUMPRODUCT((機器台帳!$A$2:$A$400="E24-S8-4")*((機器台帳!$B$2:$B$400="背面")+(機器台帳!$B$2:$B$400="両面")&gt;0)*(機器台帳!$F$2:$F$400&lt;&gt;"")*(機器台帳!$C$2:$C$400&lt;=46)*(機器台帳!$C$2:$C$400+機器台帳!$D$2:$D$400-1&gt;=46))&gt;1," 他"&amp;(SUMPRODUCT((機器台帳!$A$2:$A$400="E24-S8-4")*((機器台帳!$B$2:$B$400="背面")+(機器台帳!$B$2:$B$400="両面")&gt;0)*(機器台帳!$F$2:$F$400&lt;&gt;"")*(機器台帳!$C$2:$C$400&lt;=46)*(機器台帳!$C$2:$C$400+機器台帳!$D$2:$D$400-1&gt;=46))-1)&amp;"台",""))</f>
        <v/>
      </c>
      <c r="Q5">
        <f>IF(SUMPRODUCT((機器台帳!$A$2:$A$400="E24-S8-4")*((機器台帳!$B$2:$B$400="背面")+(機器台帳!$B$2:$B$400="両面")&gt;0)*(機器台帳!$F$2:$F$400&lt;&gt;"")*(機器台帳!$C$2:$C$400&lt;=46)*(機器台帳!$C$2:$C$400+機器台帳!$D$2:$D$400-1&gt;=46))=0,"",INDEX(機器台帳!$I$2:$I$400,MATCH(1,INDEX((機器台帳!$A$2:$A$400="E24-S8-4")*((機器台帳!$B$2:$B$400="背面")+(機器台帳!$B$2:$B$400="両面")&gt;0)*(機器台帳!$F$2:$F$400&lt;&gt;"")*(機器台帳!$C$2:$C$400&lt;=46)*(機器台帳!$C$2:$C$400+機器台帳!$D$2:$D$400-1&gt;=46),0),0))&amp;IF(INDEX(機器台帳!$Y$2:$Y$400,MATCH(1,INDEX((機器台帳!$A$2:$A$400="E24-S8-4")*((機器台帳!$B$2:$B$400="背面")+(機器台帳!$B$2:$B$400="両面")&gt;0)*(機器台帳!$F$2:$F$400&lt;&gt;"")*(機器台帳!$C$2:$C$400&lt;=46)*(機器台帳!$C$2:$C$400+機器台帳!$D$2:$D$400-1&gt;=46),0),0))=0,"|未記入",""))</f>
        <v/>
      </c>
      <c r="R5" s="12">
        <f>IF(SUMPRODUCT((機器台帳!$A$2:$A$400="E24-S8-5")*((機器台帳!$B$2:$B$400="前面")+(機器台帳!$B$2:$B$400="両面")&gt;0)*(機器台帳!$F$2:$F$400&lt;&gt;"")*(機器台帳!$C$2:$C$400&lt;=46)*(機器台帳!$C$2:$C$400+機器台帳!$D$2:$D$400-1&gt;=46))=0,"",INDEX(機器台帳!$F$2:$F$400,MATCH(1,INDEX((機器台帳!$A$2:$A$400="E24-S8-5")*((機器台帳!$B$2:$B$400="前面")+(機器台帳!$B$2:$B$400="両面")&gt;0)*(機器台帳!$F$2:$F$400&lt;&gt;"")*(機器台帳!$C$2:$C$400&lt;=46)*(機器台帳!$C$2:$C$400+機器台帳!$D$2:$D$400-1&gt;=46),0),0))&amp;IF(INDEX(機器台帳!$G$2:$G$400,MATCH(1,INDEX((機器台帳!$A$2:$A$400="E24-S8-5")*((機器台帳!$B$2:$B$400="前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-5")*((機器台帳!$B$2:$B$400="前面")+(機器台帳!$B$2:$B$400="両面")&gt;0)*(機器台帳!$F$2:$F$400&lt;&gt;"")*(機器台帳!$C$2:$C$400&lt;=46)*(機器台帳!$C$2:$C$400+機器台帳!$D$2:$D$400-1&gt;=46),0),0)))&amp;IF(SUMPRODUCT((機器台帳!$A$2:$A$400="E24-S8-5")*((機器台帳!$B$2:$B$400="前面")+(機器台帳!$B$2:$B$400="両面")&gt;0)*(機器台帳!$F$2:$F$400&lt;&gt;"")*(機器台帳!$C$2:$C$400&lt;=46)*(機器台帳!$C$2:$C$400+機器台帳!$D$2:$D$400-1&gt;=46))&gt;1," 他"&amp;(SUMPRODUCT((機器台帳!$A$2:$A$400="E24-S8-5")*((機器台帳!$B$2:$B$400="前面")+(機器台帳!$B$2:$B$400="両面")&gt;0)*(機器台帳!$F$2:$F$400&lt;&gt;"")*(機器台帳!$C$2:$C$400&lt;=46)*(機器台帳!$C$2:$C$400+機器台帳!$D$2:$D$400-1&gt;=46))-1)&amp;"台",""))</f>
        <v/>
      </c>
      <c r="S5">
        <f>IF(SUMPRODUCT((機器台帳!$A$2:$A$400="E24-S8-5")*((機器台帳!$B$2:$B$400="前面")+(機器台帳!$B$2:$B$400="両面")&gt;0)*(機器台帳!$F$2:$F$400&lt;&gt;"")*(機器台帳!$C$2:$C$400&lt;=46)*(機器台帳!$C$2:$C$400+機器台帳!$D$2:$D$400-1&gt;=46))=0,"",INDEX(機器台帳!$I$2:$I$400,MATCH(1,INDEX((機器台帳!$A$2:$A$400="E24-S8-5")*((機器台帳!$B$2:$B$400="前面")+(機器台帳!$B$2:$B$400="両面")&gt;0)*(機器台帳!$F$2:$F$400&lt;&gt;"")*(機器台帳!$C$2:$C$400&lt;=46)*(機器台帳!$C$2:$C$400+機器台帳!$D$2:$D$400-1&gt;=46),0),0))&amp;IF(INDEX(機器台帳!$Y$2:$Y$400,MATCH(1,INDEX((機器台帳!$A$2:$A$400="E24-S8-5")*((機器台帳!$B$2:$B$400="前面")+(機器台帳!$B$2:$B$400="両面")&gt;0)*(機器台帳!$F$2:$F$400&lt;&gt;"")*(機器台帳!$C$2:$C$400&lt;=46)*(機器台帳!$C$2:$C$400+機器台帳!$D$2:$D$400-1&gt;=46),0),0))=0,"|未記入",""))</f>
        <v/>
      </c>
      <c r="T5" s="12">
        <f>IF(SUMPRODUCT((機器台帳!$A$2:$A$400="E24-S8-5")*((機器台帳!$B$2:$B$400="背面")+(機器台帳!$B$2:$B$400="両面")&gt;0)*(機器台帳!$F$2:$F$400&lt;&gt;"")*(機器台帳!$C$2:$C$400&lt;=46)*(機器台帳!$C$2:$C$400+機器台帳!$D$2:$D$400-1&gt;=46))=0,"",INDEX(機器台帳!$F$2:$F$400,MATCH(1,INDEX((機器台帳!$A$2:$A$400="E24-S8-5")*((機器台帳!$B$2:$B$400="背面")+(機器台帳!$B$2:$B$400="両面")&gt;0)*(機器台帳!$F$2:$F$400&lt;&gt;"")*(機器台帳!$C$2:$C$400&lt;=46)*(機器台帳!$C$2:$C$400+機器台帳!$D$2:$D$400-1&gt;=46),0),0))&amp;IF(INDEX(機器台帳!$G$2:$G$400,MATCH(1,INDEX((機器台帳!$A$2:$A$400="E24-S8-5")*((機器台帳!$B$2:$B$400="背面")+(機器台帳!$B$2:$B$400="両面")&gt;0)*(機器台帳!$F$2:$F$400&lt;&gt;"")*(機器台帳!$C$2:$C$400&lt;=46)*(機器台帳!$C$2:$C$400+機器台帳!$D$2:$D$400-1&gt;=46),0),0))=""," "," "&amp;INDEX(機器台帳!$G$2:$G$400,MATCH(1,INDEX((機器台帳!$A$2:$A$400="E24-S8-5")*((機器台帳!$B$2:$B$400="背面")+(機器台帳!$B$2:$B$400="両面")&gt;0)*(機器台帳!$F$2:$F$400&lt;&gt;"")*(機器台帳!$C$2:$C$400&lt;=46)*(機器台帳!$C$2:$C$400+機器台帳!$D$2:$D$400-1&gt;=46),0),0)))&amp;IF(SUMPRODUCT((機器台帳!$A$2:$A$400="E24-S8-5")*((機器台帳!$B$2:$B$400="背面")+(機器台帳!$B$2:$B$400="両面")&gt;0)*(機器台帳!$F$2:$F$400&lt;&gt;"")*(機器台帳!$C$2:$C$400&lt;=46)*(機器台帳!$C$2:$C$400+機器台帳!$D$2:$D$400-1&gt;=46))&gt;1," 他"&amp;(SUMPRODUCT((機器台帳!$A$2:$A$400="E24-S8-5")*((機器台帳!$B$2:$B$400="背面")+(機器台帳!$B$2:$B$400="両面")&gt;0)*(機器台帳!$F$2:$F$400&lt;&gt;"")*(機器台帳!$C$2:$C$400&lt;=46)*(機器台帳!$C$2:$C$400+機器台帳!$D$2:$D$400-1&gt;=46))-1)&amp;"台",""))</f>
        <v/>
      </c>
      <c r="U5">
        <f>IF(SUMPRODUCT((機器台帳!$A$2:$A$400="E24-S8-5")*((機器台帳!$B$2:$B$400="背面")+(機器台帳!$B$2:$B$400="両面")&gt;0)*(機器台帳!$F$2:$F$400&lt;&gt;"")*(機器台帳!$C$2:$C$400&lt;=46)*(機器台帳!$C$2:$C$400+機器台帳!$D$2:$D$400-1&gt;=46))=0,"",INDEX(機器台帳!$I$2:$I$400,MATCH(1,INDEX((機器台帳!$A$2:$A$400="E24-S8-5")*((機器台帳!$B$2:$B$400="背面")+(機器台帳!$B$2:$B$400="両面")&gt;0)*(機器台帳!$F$2:$F$400&lt;&gt;"")*(機器台帳!$C$2:$C$400&lt;=46)*(機器台帳!$C$2:$C$400+機器台帳!$D$2:$D$400-1&gt;=46),0),0))&amp;IF(INDEX(機器台帳!$Y$2:$Y$400,MATCH(1,INDEX((機器台帳!$A$2:$A$400="E24-S8-5")*((機器台帳!$B$2:$B$400="背面")+(機器台帳!$B$2:$B$400="両面")&gt;0)*(機器台帳!$F$2:$F$400&lt;&gt;"")*(機器台帳!$C$2:$C$400&lt;=46)*(機器台帳!$C$2:$C$400+機器台帳!$D$2:$D$400-1&gt;=46),0),0))=0,"|未記入",""))</f>
        <v/>
      </c>
      <c r="V5" s="12">
        <f>IF(SUMPRODUCT((機器台帳!$A$2:$A$400="E24-S6-1")*((機器台帳!$B$2:$B$400="前面")+(機器台帳!$B$2:$B$400="両面")&gt;0)*(機器台帳!$F$2:$F$400&lt;&gt;"")*(機器台帳!$C$2:$C$400&lt;=46)*(機器台帳!$C$2:$C$400+機器台帳!$D$2:$D$400-1&gt;=46))=0,"",INDEX(機器台帳!$F$2:$F$400,MATCH(1,INDEX((機器台帳!$A$2:$A$400="E24-S6-1")*((機器台帳!$B$2:$B$400="前面")+(機器台帳!$B$2:$B$400="両面")&gt;0)*(機器台帳!$F$2:$F$400&lt;&gt;"")*(機器台帳!$C$2:$C$400&lt;=46)*(機器台帳!$C$2:$C$400+機器台帳!$D$2:$D$400-1&gt;=46),0),0))&amp;IF(INDEX(機器台帳!$G$2:$G$400,MATCH(1,INDEX((機器台帳!$A$2:$A$400="E24-S6-1")*((機器台帳!$B$2:$B$400="前面")+(機器台帳!$B$2:$B$400="両面")&gt;0)*(機器台帳!$F$2:$F$400&lt;&gt;"")*(機器台帳!$C$2:$C$400&lt;=46)*(機器台帳!$C$2:$C$400+機器台帳!$D$2:$D$400-1&gt;=46),0),0))=""," "," "&amp;INDEX(機器台帳!$G$2:$G$400,MATCH(1,INDEX((機器台帳!$A$2:$A$400="E24-S6-1")*((機器台帳!$B$2:$B$400="前面")+(機器台帳!$B$2:$B$400="両面")&gt;0)*(機器台帳!$F$2:$F$400&lt;&gt;"")*(機器台帳!$C$2:$C$400&lt;=46)*(機器台帳!$C$2:$C$400+機器台帳!$D$2:$D$400-1&gt;=46),0),0)))&amp;IF(SUMPRODUCT((機器台帳!$A$2:$A$400="E24-S6-1")*((機器台帳!$B$2:$B$400="前面")+(機器台帳!$B$2:$B$400="両面")&gt;0)*(機器台帳!$F$2:$F$400&lt;&gt;"")*(機器台帳!$C$2:$C$400&lt;=46)*(機器台帳!$C$2:$C$400+機器台帳!$D$2:$D$400-1&gt;=46))&gt;1," 他"&amp;(SUMPRODUCT((機器台帳!$A$2:$A$400="E24-S6-1")*((機器台帳!$B$2:$B$400="前面")+(機器台帳!$B$2:$B$400="両面")&gt;0)*(機器台帳!$F$2:$F$400&lt;&gt;"")*(機器台帳!$C$2:$C$400&lt;=46)*(機器台帳!$C$2:$C$400+機器台帳!$D$2:$D$400-1&gt;=46))-1)&amp;"台",""))</f>
        <v/>
      </c>
      <c r="W5">
        <f>IF(SUMPRODUCT((機器台帳!$A$2:$A$400="E24-S6-1")*((機器台帳!$B$2:$B$400="前面")+(機器台帳!$B$2:$B$400="両面")&gt;0)*(機器台帳!$F$2:$F$400&lt;&gt;"")*(機器台帳!$C$2:$C$400&lt;=46)*(機器台帳!$C$2:$C$400+機器台帳!$D$2:$D$400-1&gt;=46))=0,"",INDEX(機器台帳!$I$2:$I$400,MATCH(1,INDEX((機器台帳!$A$2:$A$400="E24-S6-1")*((機器台帳!$B$2:$B$400="前面")+(機器台帳!$B$2:$B$400="両面")&gt;0)*(機器台帳!$F$2:$F$400&lt;&gt;"")*(機器台帳!$C$2:$C$400&lt;=46)*(機器台帳!$C$2:$C$400+機器台帳!$D$2:$D$400-1&gt;=46),0),0))&amp;IF(INDEX(機器台帳!$Y$2:$Y$400,MATCH(1,INDEX((機器台帳!$A$2:$A$400="E24-S6-1")*((機器台帳!$B$2:$B$400="前面")+(機器台帳!$B$2:$B$400="両面")&gt;0)*(機器台帳!$F$2:$F$400&lt;&gt;"")*(機器台帳!$C$2:$C$400&lt;=46)*(機器台帳!$C$2:$C$400+機器台帳!$D$2:$D$400-1&gt;=46),0),0))=0,"|未記入",""))</f>
        <v/>
      </c>
      <c r="X5" s="12">
        <f>IF(SUMPRODUCT((機器台帳!$A$2:$A$400="E24-S6-1")*((機器台帳!$B$2:$B$400="背面")+(機器台帳!$B$2:$B$400="両面")&gt;0)*(機器台帳!$F$2:$F$400&lt;&gt;"")*(機器台帳!$C$2:$C$400&lt;=46)*(機器台帳!$C$2:$C$400+機器台帳!$D$2:$D$400-1&gt;=46))=0,"",INDEX(機器台帳!$F$2:$F$400,MATCH(1,INDEX((機器台帳!$A$2:$A$400="E24-S6-1")*((機器台帳!$B$2:$B$400="背面")+(機器台帳!$B$2:$B$400="両面")&gt;0)*(機器台帳!$F$2:$F$400&lt;&gt;"")*(機器台帳!$C$2:$C$400&lt;=46)*(機器台帳!$C$2:$C$400+機器台帳!$D$2:$D$400-1&gt;=46),0),0))&amp;IF(INDEX(機器台帳!$G$2:$G$400,MATCH(1,INDEX((機器台帳!$A$2:$A$400="E24-S6-1")*((機器台帳!$B$2:$B$400="背面")+(機器台帳!$B$2:$B$400="両面")&gt;0)*(機器台帳!$F$2:$F$400&lt;&gt;"")*(機器台帳!$C$2:$C$400&lt;=46)*(機器台帳!$C$2:$C$400+機器台帳!$D$2:$D$400-1&gt;=46),0),0))=""," "," "&amp;INDEX(機器台帳!$G$2:$G$400,MATCH(1,INDEX((機器台帳!$A$2:$A$400="E24-S6-1")*((機器台帳!$B$2:$B$400="背面")+(機器台帳!$B$2:$B$400="両面")&gt;0)*(機器台帳!$F$2:$F$400&lt;&gt;"")*(機器台帳!$C$2:$C$400&lt;=46)*(機器台帳!$C$2:$C$400+機器台帳!$D$2:$D$400-1&gt;=46),0),0)))&amp;IF(SUMPRODUCT((機器台帳!$A$2:$A$400="E24-S6-1")*((機器台帳!$B$2:$B$400="背面")+(機器台帳!$B$2:$B$400="両面")&gt;0)*(機器台帳!$F$2:$F$400&lt;&gt;"")*(機器台帳!$C$2:$C$400&lt;=46)*(機器台帳!$C$2:$C$400+機器台帳!$D$2:$D$400-1&gt;=46))&gt;1," 他"&amp;(SUMPRODUCT((機器台帳!$A$2:$A$400="E24-S6-1")*((機器台帳!$B$2:$B$400="背面")+(機器台帳!$B$2:$B$400="両面")&gt;0)*(機器台帳!$F$2:$F$400&lt;&gt;"")*(機器台帳!$C$2:$C$400&lt;=46)*(機器台帳!$C$2:$C$400+機器台帳!$D$2:$D$400-1&gt;=46))-1)&amp;"台",""))</f>
        <v/>
      </c>
      <c r="Y5">
        <f>IF(SUMPRODUCT((機器台帳!$A$2:$A$400="E24-S6-1")*((機器台帳!$B$2:$B$400="背面")+(機器台帳!$B$2:$B$400="両面")&gt;0)*(機器台帳!$F$2:$F$400&lt;&gt;"")*(機器台帳!$C$2:$C$400&lt;=46)*(機器台帳!$C$2:$C$400+機器台帳!$D$2:$D$400-1&gt;=46))=0,"",INDEX(機器台帳!$I$2:$I$400,MATCH(1,INDEX((機器台帳!$A$2:$A$400="E24-S6-1")*((機器台帳!$B$2:$B$400="背面")+(機器台帳!$B$2:$B$400="両面")&gt;0)*(機器台帳!$F$2:$F$400&lt;&gt;"")*(機器台帳!$C$2:$C$400&lt;=46)*(機器台帳!$C$2:$C$400+機器台帳!$D$2:$D$400-1&gt;=46),0),0))&amp;IF(INDEX(機器台帳!$Y$2:$Y$400,MATCH(1,INDEX((機器台帳!$A$2:$A$400="E24-S6-1")*((機器台帳!$B$2:$B$400="背面")+(機器台帳!$B$2:$B$400="両面")&gt;0)*(機器台帳!$F$2:$F$400&lt;&gt;"")*(機器台帳!$C$2:$C$400&lt;=46)*(機器台帳!$C$2:$C$400+機器台帳!$D$2:$D$400-1&gt;=46),0),0))=0,"|未記入",""))</f>
        <v/>
      </c>
    </row>
    <row r="6">
      <c r="A6" s="11" t="n">
        <v>45</v>
      </c>
      <c r="B6" s="12">
        <f>IF(SUMPRODUCT((機器台帳!$A$2:$A$400="E24-S8-1")*((機器台帳!$B$2:$B$400="前面")+(機器台帳!$B$2:$B$400="両面")&gt;0)*(機器台帳!$F$2:$F$400&lt;&gt;"")*(機器台帳!$C$2:$C$400&lt;=45)*(機器台帳!$C$2:$C$400+機器台帳!$D$2:$D$400-1&gt;=45))=0,"",INDEX(機器台帳!$F$2:$F$400,MATCH(1,INDEX((機器台帳!$A$2:$A$400="E24-S8-1")*((機器台帳!$B$2:$B$400="前面")+(機器台帳!$B$2:$B$400="両面")&gt;0)*(機器台帳!$F$2:$F$400&lt;&gt;"")*(機器台帳!$C$2:$C$400&lt;=45)*(機器台帳!$C$2:$C$400+機器台帳!$D$2:$D$400-1&gt;=45),0),0))&amp;IF(INDEX(機器台帳!$G$2:$G$400,MATCH(1,INDEX((機器台帳!$A$2:$A$400="E24-S8-1")*((機器台帳!$B$2:$B$400="前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-1")*((機器台帳!$B$2:$B$400="前面")+(機器台帳!$B$2:$B$400="両面")&gt;0)*(機器台帳!$F$2:$F$400&lt;&gt;"")*(機器台帳!$C$2:$C$400&lt;=45)*(機器台帳!$C$2:$C$400+機器台帳!$D$2:$D$400-1&gt;=45),0),0)))&amp;IF(SUMPRODUCT((機器台帳!$A$2:$A$400="E24-S8-1")*((機器台帳!$B$2:$B$400="前面")+(機器台帳!$B$2:$B$400="両面")&gt;0)*(機器台帳!$F$2:$F$400&lt;&gt;"")*(機器台帳!$C$2:$C$400&lt;=45)*(機器台帳!$C$2:$C$400+機器台帳!$D$2:$D$400-1&gt;=45))&gt;1," 他"&amp;(SUMPRODUCT((機器台帳!$A$2:$A$400="E24-S8-1")*((機器台帳!$B$2:$B$400="前面")+(機器台帳!$B$2:$B$400="両面")&gt;0)*(機器台帳!$F$2:$F$400&lt;&gt;"")*(機器台帳!$C$2:$C$400&lt;=45)*(機器台帳!$C$2:$C$400+機器台帳!$D$2:$D$400-1&gt;=45))-1)&amp;"台",""))</f>
        <v/>
      </c>
      <c r="C6">
        <f>IF(SUMPRODUCT((機器台帳!$A$2:$A$400="E24-S8-1")*((機器台帳!$B$2:$B$400="前面")+(機器台帳!$B$2:$B$400="両面")&gt;0)*(機器台帳!$F$2:$F$400&lt;&gt;"")*(機器台帳!$C$2:$C$400&lt;=45)*(機器台帳!$C$2:$C$400+機器台帳!$D$2:$D$400-1&gt;=45))=0,"",INDEX(機器台帳!$I$2:$I$400,MATCH(1,INDEX((機器台帳!$A$2:$A$400="E24-S8-1")*((機器台帳!$B$2:$B$400="前面")+(機器台帳!$B$2:$B$400="両面")&gt;0)*(機器台帳!$F$2:$F$400&lt;&gt;"")*(機器台帳!$C$2:$C$400&lt;=45)*(機器台帳!$C$2:$C$400+機器台帳!$D$2:$D$400-1&gt;=45),0),0))&amp;IF(INDEX(機器台帳!$Y$2:$Y$400,MATCH(1,INDEX((機器台帳!$A$2:$A$400="E24-S8-1")*((機器台帳!$B$2:$B$400="前面")+(機器台帳!$B$2:$B$400="両面")&gt;0)*(機器台帳!$F$2:$F$400&lt;&gt;"")*(機器台帳!$C$2:$C$400&lt;=45)*(機器台帳!$C$2:$C$400+機器台帳!$D$2:$D$400-1&gt;=45),0),0))=0,"|未記入",""))</f>
        <v/>
      </c>
      <c r="D6" s="12">
        <f>IF(SUMPRODUCT((機器台帳!$A$2:$A$400="E24-S8-1")*((機器台帳!$B$2:$B$400="背面")+(機器台帳!$B$2:$B$400="両面")&gt;0)*(機器台帳!$F$2:$F$400&lt;&gt;"")*(機器台帳!$C$2:$C$400&lt;=45)*(機器台帳!$C$2:$C$400+機器台帳!$D$2:$D$400-1&gt;=45))=0,"",INDEX(機器台帳!$F$2:$F$400,MATCH(1,INDEX((機器台帳!$A$2:$A$400="E24-S8-1")*((機器台帳!$B$2:$B$400="背面")+(機器台帳!$B$2:$B$400="両面")&gt;0)*(機器台帳!$F$2:$F$400&lt;&gt;"")*(機器台帳!$C$2:$C$400&lt;=45)*(機器台帳!$C$2:$C$400+機器台帳!$D$2:$D$400-1&gt;=45),0),0))&amp;IF(INDEX(機器台帳!$G$2:$G$400,MATCH(1,INDEX((機器台帳!$A$2:$A$400="E24-S8-1")*((機器台帳!$B$2:$B$400="背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-1")*((機器台帳!$B$2:$B$400="背面")+(機器台帳!$B$2:$B$400="両面")&gt;0)*(機器台帳!$F$2:$F$400&lt;&gt;"")*(機器台帳!$C$2:$C$400&lt;=45)*(機器台帳!$C$2:$C$400+機器台帳!$D$2:$D$400-1&gt;=45),0),0)))&amp;IF(SUMPRODUCT((機器台帳!$A$2:$A$400="E24-S8-1")*((機器台帳!$B$2:$B$400="背面")+(機器台帳!$B$2:$B$400="両面")&gt;0)*(機器台帳!$F$2:$F$400&lt;&gt;"")*(機器台帳!$C$2:$C$400&lt;=45)*(機器台帳!$C$2:$C$400+機器台帳!$D$2:$D$400-1&gt;=45))&gt;1," 他"&amp;(SUMPRODUCT((機器台帳!$A$2:$A$400="E24-S8-1")*((機器台帳!$B$2:$B$400="背面")+(機器台帳!$B$2:$B$400="両面")&gt;0)*(機器台帳!$F$2:$F$400&lt;&gt;"")*(機器台帳!$C$2:$C$400&lt;=45)*(機器台帳!$C$2:$C$400+機器台帳!$D$2:$D$400-1&gt;=45))-1)&amp;"台",""))</f>
        <v/>
      </c>
      <c r="E6">
        <f>IF(SUMPRODUCT((機器台帳!$A$2:$A$400="E24-S8-1")*((機器台帳!$B$2:$B$400="背面")+(機器台帳!$B$2:$B$400="両面")&gt;0)*(機器台帳!$F$2:$F$400&lt;&gt;"")*(機器台帳!$C$2:$C$400&lt;=45)*(機器台帳!$C$2:$C$400+機器台帳!$D$2:$D$400-1&gt;=45))=0,"",INDEX(機器台帳!$I$2:$I$400,MATCH(1,INDEX((機器台帳!$A$2:$A$400="E24-S8-1")*((機器台帳!$B$2:$B$400="背面")+(機器台帳!$B$2:$B$400="両面")&gt;0)*(機器台帳!$F$2:$F$400&lt;&gt;"")*(機器台帳!$C$2:$C$400&lt;=45)*(機器台帳!$C$2:$C$400+機器台帳!$D$2:$D$400-1&gt;=45),0),0))&amp;IF(INDEX(機器台帳!$Y$2:$Y$400,MATCH(1,INDEX((機器台帳!$A$2:$A$400="E24-S8-1")*((機器台帳!$B$2:$B$400="背面")+(機器台帳!$B$2:$B$400="両面")&gt;0)*(機器台帳!$F$2:$F$400&lt;&gt;"")*(機器台帳!$C$2:$C$400&lt;=45)*(機器台帳!$C$2:$C$400+機器台帳!$D$2:$D$400-1&gt;=45),0),0))=0,"|未記入",""))</f>
        <v/>
      </c>
      <c r="F6" s="12">
        <f>IF(SUMPRODUCT((機器台帳!$A$2:$A$400="E24-S8-2")*((機器台帳!$B$2:$B$400="前面")+(機器台帳!$B$2:$B$400="両面")&gt;0)*(機器台帳!$F$2:$F$400&lt;&gt;"")*(機器台帳!$C$2:$C$400&lt;=45)*(機器台帳!$C$2:$C$400+機器台帳!$D$2:$D$400-1&gt;=45))=0,"",INDEX(機器台帳!$F$2:$F$400,MATCH(1,INDEX((機器台帳!$A$2:$A$400="E24-S8-2")*((機器台帳!$B$2:$B$400="前面")+(機器台帳!$B$2:$B$400="両面")&gt;0)*(機器台帳!$F$2:$F$400&lt;&gt;"")*(機器台帳!$C$2:$C$400&lt;=45)*(機器台帳!$C$2:$C$400+機器台帳!$D$2:$D$400-1&gt;=45),0),0))&amp;IF(INDEX(機器台帳!$G$2:$G$400,MATCH(1,INDEX((機器台帳!$A$2:$A$400="E24-S8-2")*((機器台帳!$B$2:$B$400="前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-2")*((機器台帳!$B$2:$B$400="前面")+(機器台帳!$B$2:$B$400="両面")&gt;0)*(機器台帳!$F$2:$F$400&lt;&gt;"")*(機器台帳!$C$2:$C$400&lt;=45)*(機器台帳!$C$2:$C$400+機器台帳!$D$2:$D$400-1&gt;=45),0),0)))&amp;IF(SUMPRODUCT((機器台帳!$A$2:$A$400="E24-S8-2")*((機器台帳!$B$2:$B$400="前面")+(機器台帳!$B$2:$B$400="両面")&gt;0)*(機器台帳!$F$2:$F$400&lt;&gt;"")*(機器台帳!$C$2:$C$400&lt;=45)*(機器台帳!$C$2:$C$400+機器台帳!$D$2:$D$400-1&gt;=45))&gt;1," 他"&amp;(SUMPRODUCT((機器台帳!$A$2:$A$400="E24-S8-2")*((機器台帳!$B$2:$B$400="前面")+(機器台帳!$B$2:$B$400="両面")&gt;0)*(機器台帳!$F$2:$F$400&lt;&gt;"")*(機器台帳!$C$2:$C$400&lt;=45)*(機器台帳!$C$2:$C$400+機器台帳!$D$2:$D$400-1&gt;=45))-1)&amp;"台",""))</f>
        <v/>
      </c>
      <c r="G6">
        <f>IF(SUMPRODUCT((機器台帳!$A$2:$A$400="E24-S8-2")*((機器台帳!$B$2:$B$400="前面")+(機器台帳!$B$2:$B$400="両面")&gt;0)*(機器台帳!$F$2:$F$400&lt;&gt;"")*(機器台帳!$C$2:$C$400&lt;=45)*(機器台帳!$C$2:$C$400+機器台帳!$D$2:$D$400-1&gt;=45))=0,"",INDEX(機器台帳!$I$2:$I$400,MATCH(1,INDEX((機器台帳!$A$2:$A$400="E24-S8-2")*((機器台帳!$B$2:$B$400="前面")+(機器台帳!$B$2:$B$400="両面")&gt;0)*(機器台帳!$F$2:$F$400&lt;&gt;"")*(機器台帳!$C$2:$C$400&lt;=45)*(機器台帳!$C$2:$C$400+機器台帳!$D$2:$D$400-1&gt;=45),0),0))&amp;IF(INDEX(機器台帳!$Y$2:$Y$400,MATCH(1,INDEX((機器台帳!$A$2:$A$400="E24-S8-2")*((機器台帳!$B$2:$B$400="前面")+(機器台帳!$B$2:$B$400="両面")&gt;0)*(機器台帳!$F$2:$F$400&lt;&gt;"")*(機器台帳!$C$2:$C$400&lt;=45)*(機器台帳!$C$2:$C$400+機器台帳!$D$2:$D$400-1&gt;=45),0),0))=0,"|未記入",""))</f>
        <v/>
      </c>
      <c r="H6" s="12">
        <f>IF(SUMPRODUCT((機器台帳!$A$2:$A$400="E24-S8-2")*((機器台帳!$B$2:$B$400="背面")+(機器台帳!$B$2:$B$400="両面")&gt;0)*(機器台帳!$F$2:$F$400&lt;&gt;"")*(機器台帳!$C$2:$C$400&lt;=45)*(機器台帳!$C$2:$C$400+機器台帳!$D$2:$D$400-1&gt;=45))=0,"",INDEX(機器台帳!$F$2:$F$400,MATCH(1,INDEX((機器台帳!$A$2:$A$400="E24-S8-2")*((機器台帳!$B$2:$B$400="背面")+(機器台帳!$B$2:$B$400="両面")&gt;0)*(機器台帳!$F$2:$F$400&lt;&gt;"")*(機器台帳!$C$2:$C$400&lt;=45)*(機器台帳!$C$2:$C$400+機器台帳!$D$2:$D$400-1&gt;=45),0),0))&amp;IF(INDEX(機器台帳!$G$2:$G$400,MATCH(1,INDEX((機器台帳!$A$2:$A$400="E24-S8-2")*((機器台帳!$B$2:$B$400="背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-2")*((機器台帳!$B$2:$B$400="背面")+(機器台帳!$B$2:$B$400="両面")&gt;0)*(機器台帳!$F$2:$F$400&lt;&gt;"")*(機器台帳!$C$2:$C$400&lt;=45)*(機器台帳!$C$2:$C$400+機器台帳!$D$2:$D$400-1&gt;=45),0),0)))&amp;IF(SUMPRODUCT((機器台帳!$A$2:$A$400="E24-S8-2")*((機器台帳!$B$2:$B$400="背面")+(機器台帳!$B$2:$B$400="両面")&gt;0)*(機器台帳!$F$2:$F$400&lt;&gt;"")*(機器台帳!$C$2:$C$400&lt;=45)*(機器台帳!$C$2:$C$400+機器台帳!$D$2:$D$400-1&gt;=45))&gt;1," 他"&amp;(SUMPRODUCT((機器台帳!$A$2:$A$400="E24-S8-2")*((機器台帳!$B$2:$B$400="背面")+(機器台帳!$B$2:$B$400="両面")&gt;0)*(機器台帳!$F$2:$F$400&lt;&gt;"")*(機器台帳!$C$2:$C$400&lt;=45)*(機器台帳!$C$2:$C$400+機器台帳!$D$2:$D$400-1&gt;=45))-1)&amp;"台",""))</f>
        <v/>
      </c>
      <c r="I6">
        <f>IF(SUMPRODUCT((機器台帳!$A$2:$A$400="E24-S8-2")*((機器台帳!$B$2:$B$400="背面")+(機器台帳!$B$2:$B$400="両面")&gt;0)*(機器台帳!$F$2:$F$400&lt;&gt;"")*(機器台帳!$C$2:$C$400&lt;=45)*(機器台帳!$C$2:$C$400+機器台帳!$D$2:$D$400-1&gt;=45))=0,"",INDEX(機器台帳!$I$2:$I$400,MATCH(1,INDEX((機器台帳!$A$2:$A$400="E24-S8-2")*((機器台帳!$B$2:$B$400="背面")+(機器台帳!$B$2:$B$400="両面")&gt;0)*(機器台帳!$F$2:$F$400&lt;&gt;"")*(機器台帳!$C$2:$C$400&lt;=45)*(機器台帳!$C$2:$C$400+機器台帳!$D$2:$D$400-1&gt;=45),0),0))&amp;IF(INDEX(機器台帳!$Y$2:$Y$400,MATCH(1,INDEX((機器台帳!$A$2:$A$400="E24-S8-2")*((機器台帳!$B$2:$B$400="背面")+(機器台帳!$B$2:$B$400="両面")&gt;0)*(機器台帳!$F$2:$F$400&lt;&gt;"")*(機器台帳!$C$2:$C$400&lt;=45)*(機器台帳!$C$2:$C$400+機器台帳!$D$2:$D$400-1&gt;=45),0),0))=0,"|未記入",""))</f>
        <v/>
      </c>
      <c r="J6" s="12">
        <f>IF(SUMPRODUCT((機器台帳!$A$2:$A$400="E24-S8-3")*((機器台帳!$B$2:$B$400="前面")+(機器台帳!$B$2:$B$400="両面")&gt;0)*(機器台帳!$F$2:$F$400&lt;&gt;"")*(機器台帳!$C$2:$C$400&lt;=45)*(機器台帳!$C$2:$C$400+機器台帳!$D$2:$D$400-1&gt;=45))=0,"",INDEX(機器台帳!$F$2:$F$400,MATCH(1,INDEX((機器台帳!$A$2:$A$400="E24-S8-3")*((機器台帳!$B$2:$B$400="前面")+(機器台帳!$B$2:$B$400="両面")&gt;0)*(機器台帳!$F$2:$F$400&lt;&gt;"")*(機器台帳!$C$2:$C$400&lt;=45)*(機器台帳!$C$2:$C$400+機器台帳!$D$2:$D$400-1&gt;=45),0),0))&amp;IF(INDEX(機器台帳!$G$2:$G$400,MATCH(1,INDEX((機器台帳!$A$2:$A$400="E24-S8-3")*((機器台帳!$B$2:$B$400="前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-3")*((機器台帳!$B$2:$B$400="前面")+(機器台帳!$B$2:$B$400="両面")&gt;0)*(機器台帳!$F$2:$F$400&lt;&gt;"")*(機器台帳!$C$2:$C$400&lt;=45)*(機器台帳!$C$2:$C$400+機器台帳!$D$2:$D$400-1&gt;=45),0),0)))&amp;IF(SUMPRODUCT((機器台帳!$A$2:$A$400="E24-S8-3")*((機器台帳!$B$2:$B$400="前面")+(機器台帳!$B$2:$B$400="両面")&gt;0)*(機器台帳!$F$2:$F$400&lt;&gt;"")*(機器台帳!$C$2:$C$400&lt;=45)*(機器台帳!$C$2:$C$400+機器台帳!$D$2:$D$400-1&gt;=45))&gt;1," 他"&amp;(SUMPRODUCT((機器台帳!$A$2:$A$400="E24-S8-3")*((機器台帳!$B$2:$B$400="前面")+(機器台帳!$B$2:$B$400="両面")&gt;0)*(機器台帳!$F$2:$F$400&lt;&gt;"")*(機器台帳!$C$2:$C$400&lt;=45)*(機器台帳!$C$2:$C$400+機器台帳!$D$2:$D$400-1&gt;=45))-1)&amp;"台",""))</f>
        <v/>
      </c>
      <c r="K6">
        <f>IF(SUMPRODUCT((機器台帳!$A$2:$A$400="E24-S8-3")*((機器台帳!$B$2:$B$400="前面")+(機器台帳!$B$2:$B$400="両面")&gt;0)*(機器台帳!$F$2:$F$400&lt;&gt;"")*(機器台帳!$C$2:$C$400&lt;=45)*(機器台帳!$C$2:$C$400+機器台帳!$D$2:$D$400-1&gt;=45))=0,"",INDEX(機器台帳!$I$2:$I$400,MATCH(1,INDEX((機器台帳!$A$2:$A$400="E24-S8-3")*((機器台帳!$B$2:$B$400="前面")+(機器台帳!$B$2:$B$400="両面")&gt;0)*(機器台帳!$F$2:$F$400&lt;&gt;"")*(機器台帳!$C$2:$C$400&lt;=45)*(機器台帳!$C$2:$C$400+機器台帳!$D$2:$D$400-1&gt;=45),0),0))&amp;IF(INDEX(機器台帳!$Y$2:$Y$400,MATCH(1,INDEX((機器台帳!$A$2:$A$400="E24-S8-3")*((機器台帳!$B$2:$B$400="前面")+(機器台帳!$B$2:$B$400="両面")&gt;0)*(機器台帳!$F$2:$F$400&lt;&gt;"")*(機器台帳!$C$2:$C$400&lt;=45)*(機器台帳!$C$2:$C$400+機器台帳!$D$2:$D$400-1&gt;=45),0),0))=0,"|未記入",""))</f>
        <v/>
      </c>
      <c r="L6" s="12">
        <f>IF(SUMPRODUCT((機器台帳!$A$2:$A$400="E24-S8-3")*((機器台帳!$B$2:$B$400="背面")+(機器台帳!$B$2:$B$400="両面")&gt;0)*(機器台帳!$F$2:$F$400&lt;&gt;"")*(機器台帳!$C$2:$C$400&lt;=45)*(機器台帳!$C$2:$C$400+機器台帳!$D$2:$D$400-1&gt;=45))=0,"",INDEX(機器台帳!$F$2:$F$400,MATCH(1,INDEX((機器台帳!$A$2:$A$400="E24-S8-3")*((機器台帳!$B$2:$B$400="背面")+(機器台帳!$B$2:$B$400="両面")&gt;0)*(機器台帳!$F$2:$F$400&lt;&gt;"")*(機器台帳!$C$2:$C$400&lt;=45)*(機器台帳!$C$2:$C$400+機器台帳!$D$2:$D$400-1&gt;=45),0),0))&amp;IF(INDEX(機器台帳!$G$2:$G$400,MATCH(1,INDEX((機器台帳!$A$2:$A$400="E24-S8-3")*((機器台帳!$B$2:$B$400="背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-3")*((機器台帳!$B$2:$B$400="背面")+(機器台帳!$B$2:$B$400="両面")&gt;0)*(機器台帳!$F$2:$F$400&lt;&gt;"")*(機器台帳!$C$2:$C$400&lt;=45)*(機器台帳!$C$2:$C$400+機器台帳!$D$2:$D$400-1&gt;=45),0),0)))&amp;IF(SUMPRODUCT((機器台帳!$A$2:$A$400="E24-S8-3")*((機器台帳!$B$2:$B$400="背面")+(機器台帳!$B$2:$B$400="両面")&gt;0)*(機器台帳!$F$2:$F$400&lt;&gt;"")*(機器台帳!$C$2:$C$400&lt;=45)*(機器台帳!$C$2:$C$400+機器台帳!$D$2:$D$400-1&gt;=45))&gt;1," 他"&amp;(SUMPRODUCT((機器台帳!$A$2:$A$400="E24-S8-3")*((機器台帳!$B$2:$B$400="背面")+(機器台帳!$B$2:$B$400="両面")&gt;0)*(機器台帳!$F$2:$F$400&lt;&gt;"")*(機器台帳!$C$2:$C$400&lt;=45)*(機器台帳!$C$2:$C$400+機器台帳!$D$2:$D$400-1&gt;=45))-1)&amp;"台",""))</f>
        <v/>
      </c>
      <c r="M6">
        <f>IF(SUMPRODUCT((機器台帳!$A$2:$A$400="E24-S8-3")*((機器台帳!$B$2:$B$400="背面")+(機器台帳!$B$2:$B$400="両面")&gt;0)*(機器台帳!$F$2:$F$400&lt;&gt;"")*(機器台帳!$C$2:$C$400&lt;=45)*(機器台帳!$C$2:$C$400+機器台帳!$D$2:$D$400-1&gt;=45))=0,"",INDEX(機器台帳!$I$2:$I$400,MATCH(1,INDEX((機器台帳!$A$2:$A$400="E24-S8-3")*((機器台帳!$B$2:$B$400="背面")+(機器台帳!$B$2:$B$400="両面")&gt;0)*(機器台帳!$F$2:$F$400&lt;&gt;"")*(機器台帳!$C$2:$C$400&lt;=45)*(機器台帳!$C$2:$C$400+機器台帳!$D$2:$D$400-1&gt;=45),0),0))&amp;IF(INDEX(機器台帳!$Y$2:$Y$400,MATCH(1,INDEX((機器台帳!$A$2:$A$400="E24-S8-3")*((機器台帳!$B$2:$B$400="背面")+(機器台帳!$B$2:$B$400="両面")&gt;0)*(機器台帳!$F$2:$F$400&lt;&gt;"")*(機器台帳!$C$2:$C$400&lt;=45)*(機器台帳!$C$2:$C$400+機器台帳!$D$2:$D$400-1&gt;=45),0),0))=0,"|未記入",""))</f>
        <v/>
      </c>
      <c r="N6" s="12">
        <f>IF(SUMPRODUCT((機器台帳!$A$2:$A$400="E24-S8-4")*((機器台帳!$B$2:$B$400="前面")+(機器台帳!$B$2:$B$400="両面")&gt;0)*(機器台帳!$F$2:$F$400&lt;&gt;"")*(機器台帳!$C$2:$C$400&lt;=45)*(機器台帳!$C$2:$C$400+機器台帳!$D$2:$D$400-1&gt;=45))=0,"",INDEX(機器台帳!$F$2:$F$400,MATCH(1,INDEX((機器台帳!$A$2:$A$400="E24-S8-4")*((機器台帳!$B$2:$B$400="前面")+(機器台帳!$B$2:$B$400="両面")&gt;0)*(機器台帳!$F$2:$F$400&lt;&gt;"")*(機器台帳!$C$2:$C$400&lt;=45)*(機器台帳!$C$2:$C$400+機器台帳!$D$2:$D$400-1&gt;=45),0),0))&amp;IF(INDEX(機器台帳!$G$2:$G$400,MATCH(1,INDEX((機器台帳!$A$2:$A$400="E24-S8-4")*((機器台帳!$B$2:$B$400="前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-4")*((機器台帳!$B$2:$B$400="前面")+(機器台帳!$B$2:$B$400="両面")&gt;0)*(機器台帳!$F$2:$F$400&lt;&gt;"")*(機器台帳!$C$2:$C$400&lt;=45)*(機器台帳!$C$2:$C$400+機器台帳!$D$2:$D$400-1&gt;=45),0),0)))&amp;IF(SUMPRODUCT((機器台帳!$A$2:$A$400="E24-S8-4")*((機器台帳!$B$2:$B$400="前面")+(機器台帳!$B$2:$B$400="両面")&gt;0)*(機器台帳!$F$2:$F$400&lt;&gt;"")*(機器台帳!$C$2:$C$400&lt;=45)*(機器台帳!$C$2:$C$400+機器台帳!$D$2:$D$400-1&gt;=45))&gt;1," 他"&amp;(SUMPRODUCT((機器台帳!$A$2:$A$400="E24-S8-4")*((機器台帳!$B$2:$B$400="前面")+(機器台帳!$B$2:$B$400="両面")&gt;0)*(機器台帳!$F$2:$F$400&lt;&gt;"")*(機器台帳!$C$2:$C$400&lt;=45)*(機器台帳!$C$2:$C$400+機器台帳!$D$2:$D$400-1&gt;=45))-1)&amp;"台",""))</f>
        <v/>
      </c>
      <c r="O6">
        <f>IF(SUMPRODUCT((機器台帳!$A$2:$A$400="E24-S8-4")*((機器台帳!$B$2:$B$400="前面")+(機器台帳!$B$2:$B$400="両面")&gt;0)*(機器台帳!$F$2:$F$400&lt;&gt;"")*(機器台帳!$C$2:$C$400&lt;=45)*(機器台帳!$C$2:$C$400+機器台帳!$D$2:$D$400-1&gt;=45))=0,"",INDEX(機器台帳!$I$2:$I$400,MATCH(1,INDEX((機器台帳!$A$2:$A$400="E24-S8-4")*((機器台帳!$B$2:$B$400="前面")+(機器台帳!$B$2:$B$400="両面")&gt;0)*(機器台帳!$F$2:$F$400&lt;&gt;"")*(機器台帳!$C$2:$C$400&lt;=45)*(機器台帳!$C$2:$C$400+機器台帳!$D$2:$D$400-1&gt;=45),0),0))&amp;IF(INDEX(機器台帳!$Y$2:$Y$400,MATCH(1,INDEX((機器台帳!$A$2:$A$400="E24-S8-4")*((機器台帳!$B$2:$B$400="前面")+(機器台帳!$B$2:$B$400="両面")&gt;0)*(機器台帳!$F$2:$F$400&lt;&gt;"")*(機器台帳!$C$2:$C$400&lt;=45)*(機器台帳!$C$2:$C$400+機器台帳!$D$2:$D$400-1&gt;=45),0),0))=0,"|未記入",""))</f>
        <v/>
      </c>
      <c r="P6" s="12">
        <f>IF(SUMPRODUCT((機器台帳!$A$2:$A$400="E24-S8-4")*((機器台帳!$B$2:$B$400="背面")+(機器台帳!$B$2:$B$400="両面")&gt;0)*(機器台帳!$F$2:$F$400&lt;&gt;"")*(機器台帳!$C$2:$C$400&lt;=45)*(機器台帳!$C$2:$C$400+機器台帳!$D$2:$D$400-1&gt;=45))=0,"",INDEX(機器台帳!$F$2:$F$400,MATCH(1,INDEX((機器台帳!$A$2:$A$400="E24-S8-4")*((機器台帳!$B$2:$B$400="背面")+(機器台帳!$B$2:$B$400="両面")&gt;0)*(機器台帳!$F$2:$F$400&lt;&gt;"")*(機器台帳!$C$2:$C$400&lt;=45)*(機器台帳!$C$2:$C$400+機器台帳!$D$2:$D$400-1&gt;=45),0),0))&amp;IF(INDEX(機器台帳!$G$2:$G$400,MATCH(1,INDEX((機器台帳!$A$2:$A$400="E24-S8-4")*((機器台帳!$B$2:$B$400="背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-4")*((機器台帳!$B$2:$B$400="背面")+(機器台帳!$B$2:$B$400="両面")&gt;0)*(機器台帳!$F$2:$F$400&lt;&gt;"")*(機器台帳!$C$2:$C$400&lt;=45)*(機器台帳!$C$2:$C$400+機器台帳!$D$2:$D$400-1&gt;=45),0),0)))&amp;IF(SUMPRODUCT((機器台帳!$A$2:$A$400="E24-S8-4")*((機器台帳!$B$2:$B$400="背面")+(機器台帳!$B$2:$B$400="両面")&gt;0)*(機器台帳!$F$2:$F$400&lt;&gt;"")*(機器台帳!$C$2:$C$400&lt;=45)*(機器台帳!$C$2:$C$400+機器台帳!$D$2:$D$400-1&gt;=45))&gt;1," 他"&amp;(SUMPRODUCT((機器台帳!$A$2:$A$400="E24-S8-4")*((機器台帳!$B$2:$B$400="背面")+(機器台帳!$B$2:$B$400="両面")&gt;0)*(機器台帳!$F$2:$F$400&lt;&gt;"")*(機器台帳!$C$2:$C$400&lt;=45)*(機器台帳!$C$2:$C$400+機器台帳!$D$2:$D$400-1&gt;=45))-1)&amp;"台",""))</f>
        <v/>
      </c>
      <c r="Q6">
        <f>IF(SUMPRODUCT((機器台帳!$A$2:$A$400="E24-S8-4")*((機器台帳!$B$2:$B$400="背面")+(機器台帳!$B$2:$B$400="両面")&gt;0)*(機器台帳!$F$2:$F$400&lt;&gt;"")*(機器台帳!$C$2:$C$400&lt;=45)*(機器台帳!$C$2:$C$400+機器台帳!$D$2:$D$400-1&gt;=45))=0,"",INDEX(機器台帳!$I$2:$I$400,MATCH(1,INDEX((機器台帳!$A$2:$A$400="E24-S8-4")*((機器台帳!$B$2:$B$400="背面")+(機器台帳!$B$2:$B$400="両面")&gt;0)*(機器台帳!$F$2:$F$400&lt;&gt;"")*(機器台帳!$C$2:$C$400&lt;=45)*(機器台帳!$C$2:$C$400+機器台帳!$D$2:$D$400-1&gt;=45),0),0))&amp;IF(INDEX(機器台帳!$Y$2:$Y$400,MATCH(1,INDEX((機器台帳!$A$2:$A$400="E24-S8-4")*((機器台帳!$B$2:$B$400="背面")+(機器台帳!$B$2:$B$400="両面")&gt;0)*(機器台帳!$F$2:$F$400&lt;&gt;"")*(機器台帳!$C$2:$C$400&lt;=45)*(機器台帳!$C$2:$C$400+機器台帳!$D$2:$D$400-1&gt;=45),0),0))=0,"|未記入",""))</f>
        <v/>
      </c>
      <c r="R6" s="12">
        <f>IF(SUMPRODUCT((機器台帳!$A$2:$A$400="E24-S8-5")*((機器台帳!$B$2:$B$400="前面")+(機器台帳!$B$2:$B$400="両面")&gt;0)*(機器台帳!$F$2:$F$400&lt;&gt;"")*(機器台帳!$C$2:$C$400&lt;=45)*(機器台帳!$C$2:$C$400+機器台帳!$D$2:$D$400-1&gt;=45))=0,"",INDEX(機器台帳!$F$2:$F$400,MATCH(1,INDEX((機器台帳!$A$2:$A$400="E24-S8-5")*((機器台帳!$B$2:$B$400="前面")+(機器台帳!$B$2:$B$400="両面")&gt;0)*(機器台帳!$F$2:$F$400&lt;&gt;"")*(機器台帳!$C$2:$C$400&lt;=45)*(機器台帳!$C$2:$C$400+機器台帳!$D$2:$D$400-1&gt;=45),0),0))&amp;IF(INDEX(機器台帳!$G$2:$G$400,MATCH(1,INDEX((機器台帳!$A$2:$A$400="E24-S8-5")*((機器台帳!$B$2:$B$400="前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-5")*((機器台帳!$B$2:$B$400="前面")+(機器台帳!$B$2:$B$400="両面")&gt;0)*(機器台帳!$F$2:$F$400&lt;&gt;"")*(機器台帳!$C$2:$C$400&lt;=45)*(機器台帳!$C$2:$C$400+機器台帳!$D$2:$D$400-1&gt;=45),0),0)))&amp;IF(SUMPRODUCT((機器台帳!$A$2:$A$400="E24-S8-5")*((機器台帳!$B$2:$B$400="前面")+(機器台帳!$B$2:$B$400="両面")&gt;0)*(機器台帳!$F$2:$F$400&lt;&gt;"")*(機器台帳!$C$2:$C$400&lt;=45)*(機器台帳!$C$2:$C$400+機器台帳!$D$2:$D$400-1&gt;=45))&gt;1," 他"&amp;(SUMPRODUCT((機器台帳!$A$2:$A$400="E24-S8-5")*((機器台帳!$B$2:$B$400="前面")+(機器台帳!$B$2:$B$400="両面")&gt;0)*(機器台帳!$F$2:$F$400&lt;&gt;"")*(機器台帳!$C$2:$C$400&lt;=45)*(機器台帳!$C$2:$C$400+機器台帳!$D$2:$D$400-1&gt;=45))-1)&amp;"台",""))</f>
        <v/>
      </c>
      <c r="S6">
        <f>IF(SUMPRODUCT((機器台帳!$A$2:$A$400="E24-S8-5")*((機器台帳!$B$2:$B$400="前面")+(機器台帳!$B$2:$B$400="両面")&gt;0)*(機器台帳!$F$2:$F$400&lt;&gt;"")*(機器台帳!$C$2:$C$400&lt;=45)*(機器台帳!$C$2:$C$400+機器台帳!$D$2:$D$400-1&gt;=45))=0,"",INDEX(機器台帳!$I$2:$I$400,MATCH(1,INDEX((機器台帳!$A$2:$A$400="E24-S8-5")*((機器台帳!$B$2:$B$400="前面")+(機器台帳!$B$2:$B$400="両面")&gt;0)*(機器台帳!$F$2:$F$400&lt;&gt;"")*(機器台帳!$C$2:$C$400&lt;=45)*(機器台帳!$C$2:$C$400+機器台帳!$D$2:$D$400-1&gt;=45),0),0))&amp;IF(INDEX(機器台帳!$Y$2:$Y$400,MATCH(1,INDEX((機器台帳!$A$2:$A$400="E24-S8-5")*((機器台帳!$B$2:$B$400="前面")+(機器台帳!$B$2:$B$400="両面")&gt;0)*(機器台帳!$F$2:$F$400&lt;&gt;"")*(機器台帳!$C$2:$C$400&lt;=45)*(機器台帳!$C$2:$C$400+機器台帳!$D$2:$D$400-1&gt;=45),0),0))=0,"|未記入",""))</f>
        <v/>
      </c>
      <c r="T6" s="12">
        <f>IF(SUMPRODUCT((機器台帳!$A$2:$A$400="E24-S8-5")*((機器台帳!$B$2:$B$400="背面")+(機器台帳!$B$2:$B$400="両面")&gt;0)*(機器台帳!$F$2:$F$400&lt;&gt;"")*(機器台帳!$C$2:$C$400&lt;=45)*(機器台帳!$C$2:$C$400+機器台帳!$D$2:$D$400-1&gt;=45))=0,"",INDEX(機器台帳!$F$2:$F$400,MATCH(1,INDEX((機器台帳!$A$2:$A$400="E24-S8-5")*((機器台帳!$B$2:$B$400="背面")+(機器台帳!$B$2:$B$400="両面")&gt;0)*(機器台帳!$F$2:$F$400&lt;&gt;"")*(機器台帳!$C$2:$C$400&lt;=45)*(機器台帳!$C$2:$C$400+機器台帳!$D$2:$D$400-1&gt;=45),0),0))&amp;IF(INDEX(機器台帳!$G$2:$G$400,MATCH(1,INDEX((機器台帳!$A$2:$A$400="E24-S8-5")*((機器台帳!$B$2:$B$400="背面")+(機器台帳!$B$2:$B$400="両面")&gt;0)*(機器台帳!$F$2:$F$400&lt;&gt;"")*(機器台帳!$C$2:$C$400&lt;=45)*(機器台帳!$C$2:$C$400+機器台帳!$D$2:$D$400-1&gt;=45),0),0))=""," "," "&amp;INDEX(機器台帳!$G$2:$G$400,MATCH(1,INDEX((機器台帳!$A$2:$A$400="E24-S8-5")*((機器台帳!$B$2:$B$400="背面")+(機器台帳!$B$2:$B$400="両面")&gt;0)*(機器台帳!$F$2:$F$400&lt;&gt;"")*(機器台帳!$C$2:$C$400&lt;=45)*(機器台帳!$C$2:$C$400+機器台帳!$D$2:$D$400-1&gt;=45),0),0)))&amp;IF(SUMPRODUCT((機器台帳!$A$2:$A$400="E24-S8-5")*((機器台帳!$B$2:$B$400="背面")+(機器台帳!$B$2:$B$400="両面")&gt;0)*(機器台帳!$F$2:$F$400&lt;&gt;"")*(機器台帳!$C$2:$C$400&lt;=45)*(機器台帳!$C$2:$C$400+機器台帳!$D$2:$D$400-1&gt;=45))&gt;1," 他"&amp;(SUMPRODUCT((機器台帳!$A$2:$A$400="E24-S8-5")*((機器台帳!$B$2:$B$400="背面")+(機器台帳!$B$2:$B$400="両面")&gt;0)*(機器台帳!$F$2:$F$400&lt;&gt;"")*(機器台帳!$C$2:$C$400&lt;=45)*(機器台帳!$C$2:$C$400+機器台帳!$D$2:$D$400-1&gt;=45))-1)&amp;"台",""))</f>
        <v/>
      </c>
      <c r="U6">
        <f>IF(SUMPRODUCT((機器台帳!$A$2:$A$400="E24-S8-5")*((機器台帳!$B$2:$B$400="背面")+(機器台帳!$B$2:$B$400="両面")&gt;0)*(機器台帳!$F$2:$F$400&lt;&gt;"")*(機器台帳!$C$2:$C$400&lt;=45)*(機器台帳!$C$2:$C$400+機器台帳!$D$2:$D$400-1&gt;=45))=0,"",INDEX(機器台帳!$I$2:$I$400,MATCH(1,INDEX((機器台帳!$A$2:$A$400="E24-S8-5")*((機器台帳!$B$2:$B$400="背面")+(機器台帳!$B$2:$B$400="両面")&gt;0)*(機器台帳!$F$2:$F$400&lt;&gt;"")*(機器台帳!$C$2:$C$400&lt;=45)*(機器台帳!$C$2:$C$400+機器台帳!$D$2:$D$400-1&gt;=45),0),0))&amp;IF(INDEX(機器台帳!$Y$2:$Y$400,MATCH(1,INDEX((機器台帳!$A$2:$A$400="E24-S8-5")*((機器台帳!$B$2:$B$400="背面")+(機器台帳!$B$2:$B$400="両面")&gt;0)*(機器台帳!$F$2:$F$400&lt;&gt;"")*(機器台帳!$C$2:$C$400&lt;=45)*(機器台帳!$C$2:$C$400+機器台帳!$D$2:$D$400-1&gt;=45),0),0))=0,"|未記入",""))</f>
        <v/>
      </c>
      <c r="V6" s="12">
        <f>IF(SUMPRODUCT((機器台帳!$A$2:$A$400="E24-S6-1")*((機器台帳!$B$2:$B$400="前面")+(機器台帳!$B$2:$B$400="両面")&gt;0)*(機器台帳!$F$2:$F$400&lt;&gt;"")*(機器台帳!$C$2:$C$400&lt;=45)*(機器台帳!$C$2:$C$400+機器台帳!$D$2:$D$400-1&gt;=45))=0,"",INDEX(機器台帳!$F$2:$F$400,MATCH(1,INDEX((機器台帳!$A$2:$A$400="E24-S6-1")*((機器台帳!$B$2:$B$400="前面")+(機器台帳!$B$2:$B$400="両面")&gt;0)*(機器台帳!$F$2:$F$400&lt;&gt;"")*(機器台帳!$C$2:$C$400&lt;=45)*(機器台帳!$C$2:$C$400+機器台帳!$D$2:$D$400-1&gt;=45),0),0))&amp;IF(INDEX(機器台帳!$G$2:$G$400,MATCH(1,INDEX((機器台帳!$A$2:$A$400="E24-S6-1")*((機器台帳!$B$2:$B$400="前面")+(機器台帳!$B$2:$B$400="両面")&gt;0)*(機器台帳!$F$2:$F$400&lt;&gt;"")*(機器台帳!$C$2:$C$400&lt;=45)*(機器台帳!$C$2:$C$400+機器台帳!$D$2:$D$400-1&gt;=45),0),0))=""," "," "&amp;INDEX(機器台帳!$G$2:$G$400,MATCH(1,INDEX((機器台帳!$A$2:$A$400="E24-S6-1")*((機器台帳!$B$2:$B$400="前面")+(機器台帳!$B$2:$B$400="両面")&gt;0)*(機器台帳!$F$2:$F$400&lt;&gt;"")*(機器台帳!$C$2:$C$400&lt;=45)*(機器台帳!$C$2:$C$400+機器台帳!$D$2:$D$400-1&gt;=45),0),0)))&amp;IF(SUMPRODUCT((機器台帳!$A$2:$A$400="E24-S6-1")*((機器台帳!$B$2:$B$400="前面")+(機器台帳!$B$2:$B$400="両面")&gt;0)*(機器台帳!$F$2:$F$400&lt;&gt;"")*(機器台帳!$C$2:$C$400&lt;=45)*(機器台帳!$C$2:$C$400+機器台帳!$D$2:$D$400-1&gt;=45))&gt;1," 他"&amp;(SUMPRODUCT((機器台帳!$A$2:$A$400="E24-S6-1")*((機器台帳!$B$2:$B$400="前面")+(機器台帳!$B$2:$B$400="両面")&gt;0)*(機器台帳!$F$2:$F$400&lt;&gt;"")*(機器台帳!$C$2:$C$400&lt;=45)*(機器台帳!$C$2:$C$400+機器台帳!$D$2:$D$400-1&gt;=45))-1)&amp;"台",""))</f>
        <v/>
      </c>
      <c r="W6">
        <f>IF(SUMPRODUCT((機器台帳!$A$2:$A$400="E24-S6-1")*((機器台帳!$B$2:$B$400="前面")+(機器台帳!$B$2:$B$400="両面")&gt;0)*(機器台帳!$F$2:$F$400&lt;&gt;"")*(機器台帳!$C$2:$C$400&lt;=45)*(機器台帳!$C$2:$C$400+機器台帳!$D$2:$D$400-1&gt;=45))=0,"",INDEX(機器台帳!$I$2:$I$400,MATCH(1,INDEX((機器台帳!$A$2:$A$400="E24-S6-1")*((機器台帳!$B$2:$B$400="前面")+(機器台帳!$B$2:$B$400="両面")&gt;0)*(機器台帳!$F$2:$F$400&lt;&gt;"")*(機器台帳!$C$2:$C$400&lt;=45)*(機器台帳!$C$2:$C$400+機器台帳!$D$2:$D$400-1&gt;=45),0),0))&amp;IF(INDEX(機器台帳!$Y$2:$Y$400,MATCH(1,INDEX((機器台帳!$A$2:$A$400="E24-S6-1")*((機器台帳!$B$2:$B$400="前面")+(機器台帳!$B$2:$B$400="両面")&gt;0)*(機器台帳!$F$2:$F$400&lt;&gt;"")*(機器台帳!$C$2:$C$400&lt;=45)*(機器台帳!$C$2:$C$400+機器台帳!$D$2:$D$400-1&gt;=45),0),0))=0,"|未記入",""))</f>
        <v/>
      </c>
      <c r="X6" s="12">
        <f>IF(SUMPRODUCT((機器台帳!$A$2:$A$400="E24-S6-1")*((機器台帳!$B$2:$B$400="背面")+(機器台帳!$B$2:$B$400="両面")&gt;0)*(機器台帳!$F$2:$F$400&lt;&gt;"")*(機器台帳!$C$2:$C$400&lt;=45)*(機器台帳!$C$2:$C$400+機器台帳!$D$2:$D$400-1&gt;=45))=0,"",INDEX(機器台帳!$F$2:$F$400,MATCH(1,INDEX((機器台帳!$A$2:$A$400="E24-S6-1")*((機器台帳!$B$2:$B$400="背面")+(機器台帳!$B$2:$B$400="両面")&gt;0)*(機器台帳!$F$2:$F$400&lt;&gt;"")*(機器台帳!$C$2:$C$400&lt;=45)*(機器台帳!$C$2:$C$400+機器台帳!$D$2:$D$400-1&gt;=45),0),0))&amp;IF(INDEX(機器台帳!$G$2:$G$400,MATCH(1,INDEX((機器台帳!$A$2:$A$400="E24-S6-1")*((機器台帳!$B$2:$B$400="背面")+(機器台帳!$B$2:$B$400="両面")&gt;0)*(機器台帳!$F$2:$F$400&lt;&gt;"")*(機器台帳!$C$2:$C$400&lt;=45)*(機器台帳!$C$2:$C$400+機器台帳!$D$2:$D$400-1&gt;=45),0),0))=""," "," "&amp;INDEX(機器台帳!$G$2:$G$400,MATCH(1,INDEX((機器台帳!$A$2:$A$400="E24-S6-1")*((機器台帳!$B$2:$B$400="背面")+(機器台帳!$B$2:$B$400="両面")&gt;0)*(機器台帳!$F$2:$F$400&lt;&gt;"")*(機器台帳!$C$2:$C$400&lt;=45)*(機器台帳!$C$2:$C$400+機器台帳!$D$2:$D$400-1&gt;=45),0),0)))&amp;IF(SUMPRODUCT((機器台帳!$A$2:$A$400="E24-S6-1")*((機器台帳!$B$2:$B$400="背面")+(機器台帳!$B$2:$B$400="両面")&gt;0)*(機器台帳!$F$2:$F$400&lt;&gt;"")*(機器台帳!$C$2:$C$400&lt;=45)*(機器台帳!$C$2:$C$400+機器台帳!$D$2:$D$400-1&gt;=45))&gt;1," 他"&amp;(SUMPRODUCT((機器台帳!$A$2:$A$400="E24-S6-1")*((機器台帳!$B$2:$B$400="背面")+(機器台帳!$B$2:$B$400="両面")&gt;0)*(機器台帳!$F$2:$F$400&lt;&gt;"")*(機器台帳!$C$2:$C$400&lt;=45)*(機器台帳!$C$2:$C$400+機器台帳!$D$2:$D$400-1&gt;=45))-1)&amp;"台",""))</f>
        <v/>
      </c>
      <c r="Y6">
        <f>IF(SUMPRODUCT((機器台帳!$A$2:$A$400="E24-S6-1")*((機器台帳!$B$2:$B$400="背面")+(機器台帳!$B$2:$B$400="両面")&gt;0)*(機器台帳!$F$2:$F$400&lt;&gt;"")*(機器台帳!$C$2:$C$400&lt;=45)*(機器台帳!$C$2:$C$400+機器台帳!$D$2:$D$400-1&gt;=45))=0,"",INDEX(機器台帳!$I$2:$I$400,MATCH(1,INDEX((機器台帳!$A$2:$A$400="E24-S6-1")*((機器台帳!$B$2:$B$400="背面")+(機器台帳!$B$2:$B$400="両面")&gt;0)*(機器台帳!$F$2:$F$400&lt;&gt;"")*(機器台帳!$C$2:$C$400&lt;=45)*(機器台帳!$C$2:$C$400+機器台帳!$D$2:$D$400-1&gt;=45),0),0))&amp;IF(INDEX(機器台帳!$Y$2:$Y$400,MATCH(1,INDEX((機器台帳!$A$2:$A$400="E24-S6-1")*((機器台帳!$B$2:$B$400="背面")+(機器台帳!$B$2:$B$400="両面")&gt;0)*(機器台帳!$F$2:$F$400&lt;&gt;"")*(機器台帳!$C$2:$C$400&lt;=45)*(機器台帳!$C$2:$C$400+機器台帳!$D$2:$D$400-1&gt;=45),0),0))=0,"|未記入",""))</f>
        <v/>
      </c>
    </row>
    <row r="7">
      <c r="A7" s="11" t="n">
        <v>44</v>
      </c>
      <c r="B7" s="12">
        <f>IF(SUMPRODUCT((機器台帳!$A$2:$A$400="E24-S8-1")*((機器台帳!$B$2:$B$400="前面")+(機器台帳!$B$2:$B$400="両面")&gt;0)*(機器台帳!$F$2:$F$400&lt;&gt;"")*(機器台帳!$C$2:$C$400&lt;=44)*(機器台帳!$C$2:$C$400+機器台帳!$D$2:$D$400-1&gt;=44))=0,"",INDEX(機器台帳!$F$2:$F$400,MATCH(1,INDEX((機器台帳!$A$2:$A$400="E24-S8-1")*((機器台帳!$B$2:$B$400="前面")+(機器台帳!$B$2:$B$400="両面")&gt;0)*(機器台帳!$F$2:$F$400&lt;&gt;"")*(機器台帳!$C$2:$C$400&lt;=44)*(機器台帳!$C$2:$C$400+機器台帳!$D$2:$D$400-1&gt;=44),0),0))&amp;IF(INDEX(機器台帳!$G$2:$G$400,MATCH(1,INDEX((機器台帳!$A$2:$A$400="E24-S8-1")*((機器台帳!$B$2:$B$400="前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-1")*((機器台帳!$B$2:$B$400="前面")+(機器台帳!$B$2:$B$400="両面")&gt;0)*(機器台帳!$F$2:$F$400&lt;&gt;"")*(機器台帳!$C$2:$C$400&lt;=44)*(機器台帳!$C$2:$C$400+機器台帳!$D$2:$D$400-1&gt;=44),0),0)))&amp;IF(SUMPRODUCT((機器台帳!$A$2:$A$400="E24-S8-1")*((機器台帳!$B$2:$B$400="前面")+(機器台帳!$B$2:$B$400="両面")&gt;0)*(機器台帳!$F$2:$F$400&lt;&gt;"")*(機器台帳!$C$2:$C$400&lt;=44)*(機器台帳!$C$2:$C$400+機器台帳!$D$2:$D$400-1&gt;=44))&gt;1," 他"&amp;(SUMPRODUCT((機器台帳!$A$2:$A$400="E24-S8-1")*((機器台帳!$B$2:$B$400="前面")+(機器台帳!$B$2:$B$400="両面")&gt;0)*(機器台帳!$F$2:$F$400&lt;&gt;"")*(機器台帳!$C$2:$C$400&lt;=44)*(機器台帳!$C$2:$C$400+機器台帳!$D$2:$D$400-1&gt;=44))-1)&amp;"台",""))</f>
        <v/>
      </c>
      <c r="C7">
        <f>IF(SUMPRODUCT((機器台帳!$A$2:$A$400="E24-S8-1")*((機器台帳!$B$2:$B$400="前面")+(機器台帳!$B$2:$B$400="両面")&gt;0)*(機器台帳!$F$2:$F$400&lt;&gt;"")*(機器台帳!$C$2:$C$400&lt;=44)*(機器台帳!$C$2:$C$400+機器台帳!$D$2:$D$400-1&gt;=44))=0,"",INDEX(機器台帳!$I$2:$I$400,MATCH(1,INDEX((機器台帳!$A$2:$A$400="E24-S8-1")*((機器台帳!$B$2:$B$400="前面")+(機器台帳!$B$2:$B$400="両面")&gt;0)*(機器台帳!$F$2:$F$400&lt;&gt;"")*(機器台帳!$C$2:$C$400&lt;=44)*(機器台帳!$C$2:$C$400+機器台帳!$D$2:$D$400-1&gt;=44),0),0))&amp;IF(INDEX(機器台帳!$Y$2:$Y$400,MATCH(1,INDEX((機器台帳!$A$2:$A$400="E24-S8-1")*((機器台帳!$B$2:$B$400="前面")+(機器台帳!$B$2:$B$400="両面")&gt;0)*(機器台帳!$F$2:$F$400&lt;&gt;"")*(機器台帳!$C$2:$C$400&lt;=44)*(機器台帳!$C$2:$C$400+機器台帳!$D$2:$D$400-1&gt;=44),0),0))=0,"|未記入",""))</f>
        <v/>
      </c>
      <c r="D7" s="12">
        <f>IF(SUMPRODUCT((機器台帳!$A$2:$A$400="E24-S8-1")*((機器台帳!$B$2:$B$400="背面")+(機器台帳!$B$2:$B$400="両面")&gt;0)*(機器台帳!$F$2:$F$400&lt;&gt;"")*(機器台帳!$C$2:$C$400&lt;=44)*(機器台帳!$C$2:$C$400+機器台帳!$D$2:$D$400-1&gt;=44))=0,"",INDEX(機器台帳!$F$2:$F$400,MATCH(1,INDEX((機器台帳!$A$2:$A$400="E24-S8-1")*((機器台帳!$B$2:$B$400="背面")+(機器台帳!$B$2:$B$400="両面")&gt;0)*(機器台帳!$F$2:$F$400&lt;&gt;"")*(機器台帳!$C$2:$C$400&lt;=44)*(機器台帳!$C$2:$C$400+機器台帳!$D$2:$D$400-1&gt;=44),0),0))&amp;IF(INDEX(機器台帳!$G$2:$G$400,MATCH(1,INDEX((機器台帳!$A$2:$A$400="E24-S8-1")*((機器台帳!$B$2:$B$400="背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-1")*((機器台帳!$B$2:$B$400="背面")+(機器台帳!$B$2:$B$400="両面")&gt;0)*(機器台帳!$F$2:$F$400&lt;&gt;"")*(機器台帳!$C$2:$C$400&lt;=44)*(機器台帳!$C$2:$C$400+機器台帳!$D$2:$D$400-1&gt;=44),0),0)))&amp;IF(SUMPRODUCT((機器台帳!$A$2:$A$400="E24-S8-1")*((機器台帳!$B$2:$B$400="背面")+(機器台帳!$B$2:$B$400="両面")&gt;0)*(機器台帳!$F$2:$F$400&lt;&gt;"")*(機器台帳!$C$2:$C$400&lt;=44)*(機器台帳!$C$2:$C$400+機器台帳!$D$2:$D$400-1&gt;=44))&gt;1," 他"&amp;(SUMPRODUCT((機器台帳!$A$2:$A$400="E24-S8-1")*((機器台帳!$B$2:$B$400="背面")+(機器台帳!$B$2:$B$400="両面")&gt;0)*(機器台帳!$F$2:$F$400&lt;&gt;"")*(機器台帳!$C$2:$C$400&lt;=44)*(機器台帳!$C$2:$C$400+機器台帳!$D$2:$D$400-1&gt;=44))-1)&amp;"台",""))</f>
        <v/>
      </c>
      <c r="E7">
        <f>IF(SUMPRODUCT((機器台帳!$A$2:$A$400="E24-S8-1")*((機器台帳!$B$2:$B$400="背面")+(機器台帳!$B$2:$B$400="両面")&gt;0)*(機器台帳!$F$2:$F$400&lt;&gt;"")*(機器台帳!$C$2:$C$400&lt;=44)*(機器台帳!$C$2:$C$400+機器台帳!$D$2:$D$400-1&gt;=44))=0,"",INDEX(機器台帳!$I$2:$I$400,MATCH(1,INDEX((機器台帳!$A$2:$A$400="E24-S8-1")*((機器台帳!$B$2:$B$400="背面")+(機器台帳!$B$2:$B$400="両面")&gt;0)*(機器台帳!$F$2:$F$400&lt;&gt;"")*(機器台帳!$C$2:$C$400&lt;=44)*(機器台帳!$C$2:$C$400+機器台帳!$D$2:$D$400-1&gt;=44),0),0))&amp;IF(INDEX(機器台帳!$Y$2:$Y$400,MATCH(1,INDEX((機器台帳!$A$2:$A$400="E24-S8-1")*((機器台帳!$B$2:$B$400="背面")+(機器台帳!$B$2:$B$400="両面")&gt;0)*(機器台帳!$F$2:$F$400&lt;&gt;"")*(機器台帳!$C$2:$C$400&lt;=44)*(機器台帳!$C$2:$C$400+機器台帳!$D$2:$D$400-1&gt;=44),0),0))=0,"|未記入",""))</f>
        <v/>
      </c>
      <c r="F7" s="12">
        <f>IF(SUMPRODUCT((機器台帳!$A$2:$A$400="E24-S8-2")*((機器台帳!$B$2:$B$400="前面")+(機器台帳!$B$2:$B$400="両面")&gt;0)*(機器台帳!$F$2:$F$400&lt;&gt;"")*(機器台帳!$C$2:$C$400&lt;=44)*(機器台帳!$C$2:$C$400+機器台帳!$D$2:$D$400-1&gt;=44))=0,"",INDEX(機器台帳!$F$2:$F$400,MATCH(1,INDEX((機器台帳!$A$2:$A$400="E24-S8-2")*((機器台帳!$B$2:$B$400="前面")+(機器台帳!$B$2:$B$400="両面")&gt;0)*(機器台帳!$F$2:$F$400&lt;&gt;"")*(機器台帳!$C$2:$C$400&lt;=44)*(機器台帳!$C$2:$C$400+機器台帳!$D$2:$D$400-1&gt;=44),0),0))&amp;IF(INDEX(機器台帳!$G$2:$G$400,MATCH(1,INDEX((機器台帳!$A$2:$A$400="E24-S8-2")*((機器台帳!$B$2:$B$400="前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-2")*((機器台帳!$B$2:$B$400="前面")+(機器台帳!$B$2:$B$400="両面")&gt;0)*(機器台帳!$F$2:$F$400&lt;&gt;"")*(機器台帳!$C$2:$C$400&lt;=44)*(機器台帳!$C$2:$C$400+機器台帳!$D$2:$D$400-1&gt;=44),0),0)))&amp;IF(SUMPRODUCT((機器台帳!$A$2:$A$400="E24-S8-2")*((機器台帳!$B$2:$B$400="前面")+(機器台帳!$B$2:$B$400="両面")&gt;0)*(機器台帳!$F$2:$F$400&lt;&gt;"")*(機器台帳!$C$2:$C$400&lt;=44)*(機器台帳!$C$2:$C$400+機器台帳!$D$2:$D$400-1&gt;=44))&gt;1," 他"&amp;(SUMPRODUCT((機器台帳!$A$2:$A$400="E24-S8-2")*((機器台帳!$B$2:$B$400="前面")+(機器台帳!$B$2:$B$400="両面")&gt;0)*(機器台帳!$F$2:$F$400&lt;&gt;"")*(機器台帳!$C$2:$C$400&lt;=44)*(機器台帳!$C$2:$C$400+機器台帳!$D$2:$D$400-1&gt;=44))-1)&amp;"台",""))</f>
        <v/>
      </c>
      <c r="G7">
        <f>IF(SUMPRODUCT((機器台帳!$A$2:$A$400="E24-S8-2")*((機器台帳!$B$2:$B$400="前面")+(機器台帳!$B$2:$B$400="両面")&gt;0)*(機器台帳!$F$2:$F$400&lt;&gt;"")*(機器台帳!$C$2:$C$400&lt;=44)*(機器台帳!$C$2:$C$400+機器台帳!$D$2:$D$400-1&gt;=44))=0,"",INDEX(機器台帳!$I$2:$I$400,MATCH(1,INDEX((機器台帳!$A$2:$A$400="E24-S8-2")*((機器台帳!$B$2:$B$400="前面")+(機器台帳!$B$2:$B$400="両面")&gt;0)*(機器台帳!$F$2:$F$400&lt;&gt;"")*(機器台帳!$C$2:$C$400&lt;=44)*(機器台帳!$C$2:$C$400+機器台帳!$D$2:$D$400-1&gt;=44),0),0))&amp;IF(INDEX(機器台帳!$Y$2:$Y$400,MATCH(1,INDEX((機器台帳!$A$2:$A$400="E24-S8-2")*((機器台帳!$B$2:$B$400="前面")+(機器台帳!$B$2:$B$400="両面")&gt;0)*(機器台帳!$F$2:$F$400&lt;&gt;"")*(機器台帳!$C$2:$C$400&lt;=44)*(機器台帳!$C$2:$C$400+機器台帳!$D$2:$D$400-1&gt;=44),0),0))=0,"|未記入",""))</f>
        <v/>
      </c>
      <c r="H7" s="12">
        <f>IF(SUMPRODUCT((機器台帳!$A$2:$A$400="E24-S8-2")*((機器台帳!$B$2:$B$400="背面")+(機器台帳!$B$2:$B$400="両面")&gt;0)*(機器台帳!$F$2:$F$400&lt;&gt;"")*(機器台帳!$C$2:$C$400&lt;=44)*(機器台帳!$C$2:$C$400+機器台帳!$D$2:$D$400-1&gt;=44))=0,"",INDEX(機器台帳!$F$2:$F$400,MATCH(1,INDEX((機器台帳!$A$2:$A$400="E24-S8-2")*((機器台帳!$B$2:$B$400="背面")+(機器台帳!$B$2:$B$400="両面")&gt;0)*(機器台帳!$F$2:$F$400&lt;&gt;"")*(機器台帳!$C$2:$C$400&lt;=44)*(機器台帳!$C$2:$C$400+機器台帳!$D$2:$D$400-1&gt;=44),0),0))&amp;IF(INDEX(機器台帳!$G$2:$G$400,MATCH(1,INDEX((機器台帳!$A$2:$A$400="E24-S8-2")*((機器台帳!$B$2:$B$400="背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-2")*((機器台帳!$B$2:$B$400="背面")+(機器台帳!$B$2:$B$400="両面")&gt;0)*(機器台帳!$F$2:$F$400&lt;&gt;"")*(機器台帳!$C$2:$C$400&lt;=44)*(機器台帳!$C$2:$C$400+機器台帳!$D$2:$D$400-1&gt;=44),0),0)))&amp;IF(SUMPRODUCT((機器台帳!$A$2:$A$400="E24-S8-2")*((機器台帳!$B$2:$B$400="背面")+(機器台帳!$B$2:$B$400="両面")&gt;0)*(機器台帳!$F$2:$F$400&lt;&gt;"")*(機器台帳!$C$2:$C$400&lt;=44)*(機器台帳!$C$2:$C$400+機器台帳!$D$2:$D$400-1&gt;=44))&gt;1," 他"&amp;(SUMPRODUCT((機器台帳!$A$2:$A$400="E24-S8-2")*((機器台帳!$B$2:$B$400="背面")+(機器台帳!$B$2:$B$400="両面")&gt;0)*(機器台帳!$F$2:$F$400&lt;&gt;"")*(機器台帳!$C$2:$C$400&lt;=44)*(機器台帳!$C$2:$C$400+機器台帳!$D$2:$D$400-1&gt;=44))-1)&amp;"台",""))</f>
        <v/>
      </c>
      <c r="I7">
        <f>IF(SUMPRODUCT((機器台帳!$A$2:$A$400="E24-S8-2")*((機器台帳!$B$2:$B$400="背面")+(機器台帳!$B$2:$B$400="両面")&gt;0)*(機器台帳!$F$2:$F$400&lt;&gt;"")*(機器台帳!$C$2:$C$400&lt;=44)*(機器台帳!$C$2:$C$400+機器台帳!$D$2:$D$400-1&gt;=44))=0,"",INDEX(機器台帳!$I$2:$I$400,MATCH(1,INDEX((機器台帳!$A$2:$A$400="E24-S8-2")*((機器台帳!$B$2:$B$400="背面")+(機器台帳!$B$2:$B$400="両面")&gt;0)*(機器台帳!$F$2:$F$400&lt;&gt;"")*(機器台帳!$C$2:$C$400&lt;=44)*(機器台帳!$C$2:$C$400+機器台帳!$D$2:$D$400-1&gt;=44),0),0))&amp;IF(INDEX(機器台帳!$Y$2:$Y$400,MATCH(1,INDEX((機器台帳!$A$2:$A$400="E24-S8-2")*((機器台帳!$B$2:$B$400="背面")+(機器台帳!$B$2:$B$400="両面")&gt;0)*(機器台帳!$F$2:$F$400&lt;&gt;"")*(機器台帳!$C$2:$C$400&lt;=44)*(機器台帳!$C$2:$C$400+機器台帳!$D$2:$D$400-1&gt;=44),0),0))=0,"|未記入",""))</f>
        <v/>
      </c>
      <c r="J7" s="12">
        <f>IF(SUMPRODUCT((機器台帳!$A$2:$A$400="E24-S8-3")*((機器台帳!$B$2:$B$400="前面")+(機器台帳!$B$2:$B$400="両面")&gt;0)*(機器台帳!$F$2:$F$400&lt;&gt;"")*(機器台帳!$C$2:$C$400&lt;=44)*(機器台帳!$C$2:$C$400+機器台帳!$D$2:$D$400-1&gt;=44))=0,"",INDEX(機器台帳!$F$2:$F$400,MATCH(1,INDEX((機器台帳!$A$2:$A$400="E24-S8-3")*((機器台帳!$B$2:$B$400="前面")+(機器台帳!$B$2:$B$400="両面")&gt;0)*(機器台帳!$F$2:$F$400&lt;&gt;"")*(機器台帳!$C$2:$C$400&lt;=44)*(機器台帳!$C$2:$C$400+機器台帳!$D$2:$D$400-1&gt;=44),0),0))&amp;IF(INDEX(機器台帳!$G$2:$G$400,MATCH(1,INDEX((機器台帳!$A$2:$A$400="E24-S8-3")*((機器台帳!$B$2:$B$400="前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-3")*((機器台帳!$B$2:$B$400="前面")+(機器台帳!$B$2:$B$400="両面")&gt;0)*(機器台帳!$F$2:$F$400&lt;&gt;"")*(機器台帳!$C$2:$C$400&lt;=44)*(機器台帳!$C$2:$C$400+機器台帳!$D$2:$D$400-1&gt;=44),0),0)))&amp;IF(SUMPRODUCT((機器台帳!$A$2:$A$400="E24-S8-3")*((機器台帳!$B$2:$B$400="前面")+(機器台帳!$B$2:$B$400="両面")&gt;0)*(機器台帳!$F$2:$F$400&lt;&gt;"")*(機器台帳!$C$2:$C$400&lt;=44)*(機器台帳!$C$2:$C$400+機器台帳!$D$2:$D$400-1&gt;=44))&gt;1," 他"&amp;(SUMPRODUCT((機器台帳!$A$2:$A$400="E24-S8-3")*((機器台帳!$B$2:$B$400="前面")+(機器台帳!$B$2:$B$400="両面")&gt;0)*(機器台帳!$F$2:$F$400&lt;&gt;"")*(機器台帳!$C$2:$C$400&lt;=44)*(機器台帳!$C$2:$C$400+機器台帳!$D$2:$D$400-1&gt;=44))-1)&amp;"台",""))</f>
        <v/>
      </c>
      <c r="K7">
        <f>IF(SUMPRODUCT((機器台帳!$A$2:$A$400="E24-S8-3")*((機器台帳!$B$2:$B$400="前面")+(機器台帳!$B$2:$B$400="両面")&gt;0)*(機器台帳!$F$2:$F$400&lt;&gt;"")*(機器台帳!$C$2:$C$400&lt;=44)*(機器台帳!$C$2:$C$400+機器台帳!$D$2:$D$400-1&gt;=44))=0,"",INDEX(機器台帳!$I$2:$I$400,MATCH(1,INDEX((機器台帳!$A$2:$A$400="E24-S8-3")*((機器台帳!$B$2:$B$400="前面")+(機器台帳!$B$2:$B$400="両面")&gt;0)*(機器台帳!$F$2:$F$400&lt;&gt;"")*(機器台帳!$C$2:$C$400&lt;=44)*(機器台帳!$C$2:$C$400+機器台帳!$D$2:$D$400-1&gt;=44),0),0))&amp;IF(INDEX(機器台帳!$Y$2:$Y$400,MATCH(1,INDEX((機器台帳!$A$2:$A$400="E24-S8-3")*((機器台帳!$B$2:$B$400="前面")+(機器台帳!$B$2:$B$400="両面")&gt;0)*(機器台帳!$F$2:$F$400&lt;&gt;"")*(機器台帳!$C$2:$C$400&lt;=44)*(機器台帳!$C$2:$C$400+機器台帳!$D$2:$D$400-1&gt;=44),0),0))=0,"|未記入",""))</f>
        <v/>
      </c>
      <c r="L7" s="12">
        <f>IF(SUMPRODUCT((機器台帳!$A$2:$A$400="E24-S8-3")*((機器台帳!$B$2:$B$400="背面")+(機器台帳!$B$2:$B$400="両面")&gt;0)*(機器台帳!$F$2:$F$400&lt;&gt;"")*(機器台帳!$C$2:$C$400&lt;=44)*(機器台帳!$C$2:$C$400+機器台帳!$D$2:$D$400-1&gt;=44))=0,"",INDEX(機器台帳!$F$2:$F$400,MATCH(1,INDEX((機器台帳!$A$2:$A$400="E24-S8-3")*((機器台帳!$B$2:$B$400="背面")+(機器台帳!$B$2:$B$400="両面")&gt;0)*(機器台帳!$F$2:$F$400&lt;&gt;"")*(機器台帳!$C$2:$C$400&lt;=44)*(機器台帳!$C$2:$C$400+機器台帳!$D$2:$D$400-1&gt;=44),0),0))&amp;IF(INDEX(機器台帳!$G$2:$G$400,MATCH(1,INDEX((機器台帳!$A$2:$A$400="E24-S8-3")*((機器台帳!$B$2:$B$400="背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-3")*((機器台帳!$B$2:$B$400="背面")+(機器台帳!$B$2:$B$400="両面")&gt;0)*(機器台帳!$F$2:$F$400&lt;&gt;"")*(機器台帳!$C$2:$C$400&lt;=44)*(機器台帳!$C$2:$C$400+機器台帳!$D$2:$D$400-1&gt;=44),0),0)))&amp;IF(SUMPRODUCT((機器台帳!$A$2:$A$400="E24-S8-3")*((機器台帳!$B$2:$B$400="背面")+(機器台帳!$B$2:$B$400="両面")&gt;0)*(機器台帳!$F$2:$F$400&lt;&gt;"")*(機器台帳!$C$2:$C$400&lt;=44)*(機器台帳!$C$2:$C$400+機器台帳!$D$2:$D$400-1&gt;=44))&gt;1," 他"&amp;(SUMPRODUCT((機器台帳!$A$2:$A$400="E24-S8-3")*((機器台帳!$B$2:$B$400="背面")+(機器台帳!$B$2:$B$400="両面")&gt;0)*(機器台帳!$F$2:$F$400&lt;&gt;"")*(機器台帳!$C$2:$C$400&lt;=44)*(機器台帳!$C$2:$C$400+機器台帳!$D$2:$D$400-1&gt;=44))-1)&amp;"台",""))</f>
        <v/>
      </c>
      <c r="M7">
        <f>IF(SUMPRODUCT((機器台帳!$A$2:$A$400="E24-S8-3")*((機器台帳!$B$2:$B$400="背面")+(機器台帳!$B$2:$B$400="両面")&gt;0)*(機器台帳!$F$2:$F$400&lt;&gt;"")*(機器台帳!$C$2:$C$400&lt;=44)*(機器台帳!$C$2:$C$400+機器台帳!$D$2:$D$400-1&gt;=44))=0,"",INDEX(機器台帳!$I$2:$I$400,MATCH(1,INDEX((機器台帳!$A$2:$A$400="E24-S8-3")*((機器台帳!$B$2:$B$400="背面")+(機器台帳!$B$2:$B$400="両面")&gt;0)*(機器台帳!$F$2:$F$400&lt;&gt;"")*(機器台帳!$C$2:$C$400&lt;=44)*(機器台帳!$C$2:$C$400+機器台帳!$D$2:$D$400-1&gt;=44),0),0))&amp;IF(INDEX(機器台帳!$Y$2:$Y$400,MATCH(1,INDEX((機器台帳!$A$2:$A$400="E24-S8-3")*((機器台帳!$B$2:$B$400="背面")+(機器台帳!$B$2:$B$400="両面")&gt;0)*(機器台帳!$F$2:$F$400&lt;&gt;"")*(機器台帳!$C$2:$C$400&lt;=44)*(機器台帳!$C$2:$C$400+機器台帳!$D$2:$D$400-1&gt;=44),0),0))=0,"|未記入",""))</f>
        <v/>
      </c>
      <c r="N7" s="12">
        <f>IF(SUMPRODUCT((機器台帳!$A$2:$A$400="E24-S8-4")*((機器台帳!$B$2:$B$400="前面")+(機器台帳!$B$2:$B$400="両面")&gt;0)*(機器台帳!$F$2:$F$400&lt;&gt;"")*(機器台帳!$C$2:$C$400&lt;=44)*(機器台帳!$C$2:$C$400+機器台帳!$D$2:$D$400-1&gt;=44))=0,"",INDEX(機器台帳!$F$2:$F$400,MATCH(1,INDEX((機器台帳!$A$2:$A$400="E24-S8-4")*((機器台帳!$B$2:$B$400="前面")+(機器台帳!$B$2:$B$400="両面")&gt;0)*(機器台帳!$F$2:$F$400&lt;&gt;"")*(機器台帳!$C$2:$C$400&lt;=44)*(機器台帳!$C$2:$C$400+機器台帳!$D$2:$D$400-1&gt;=44),0),0))&amp;IF(INDEX(機器台帳!$G$2:$G$400,MATCH(1,INDEX((機器台帳!$A$2:$A$400="E24-S8-4")*((機器台帳!$B$2:$B$400="前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-4")*((機器台帳!$B$2:$B$400="前面")+(機器台帳!$B$2:$B$400="両面")&gt;0)*(機器台帳!$F$2:$F$400&lt;&gt;"")*(機器台帳!$C$2:$C$400&lt;=44)*(機器台帳!$C$2:$C$400+機器台帳!$D$2:$D$400-1&gt;=44),0),0)))&amp;IF(SUMPRODUCT((機器台帳!$A$2:$A$400="E24-S8-4")*((機器台帳!$B$2:$B$400="前面")+(機器台帳!$B$2:$B$400="両面")&gt;0)*(機器台帳!$F$2:$F$400&lt;&gt;"")*(機器台帳!$C$2:$C$400&lt;=44)*(機器台帳!$C$2:$C$400+機器台帳!$D$2:$D$400-1&gt;=44))&gt;1," 他"&amp;(SUMPRODUCT((機器台帳!$A$2:$A$400="E24-S8-4")*((機器台帳!$B$2:$B$400="前面")+(機器台帳!$B$2:$B$400="両面")&gt;0)*(機器台帳!$F$2:$F$400&lt;&gt;"")*(機器台帳!$C$2:$C$400&lt;=44)*(機器台帳!$C$2:$C$400+機器台帳!$D$2:$D$400-1&gt;=44))-1)&amp;"台",""))</f>
        <v/>
      </c>
      <c r="O7">
        <f>IF(SUMPRODUCT((機器台帳!$A$2:$A$400="E24-S8-4")*((機器台帳!$B$2:$B$400="前面")+(機器台帳!$B$2:$B$400="両面")&gt;0)*(機器台帳!$F$2:$F$400&lt;&gt;"")*(機器台帳!$C$2:$C$400&lt;=44)*(機器台帳!$C$2:$C$400+機器台帳!$D$2:$D$400-1&gt;=44))=0,"",INDEX(機器台帳!$I$2:$I$400,MATCH(1,INDEX((機器台帳!$A$2:$A$400="E24-S8-4")*((機器台帳!$B$2:$B$400="前面")+(機器台帳!$B$2:$B$400="両面")&gt;0)*(機器台帳!$F$2:$F$400&lt;&gt;"")*(機器台帳!$C$2:$C$400&lt;=44)*(機器台帳!$C$2:$C$400+機器台帳!$D$2:$D$400-1&gt;=44),0),0))&amp;IF(INDEX(機器台帳!$Y$2:$Y$400,MATCH(1,INDEX((機器台帳!$A$2:$A$400="E24-S8-4")*((機器台帳!$B$2:$B$400="前面")+(機器台帳!$B$2:$B$400="両面")&gt;0)*(機器台帳!$F$2:$F$400&lt;&gt;"")*(機器台帳!$C$2:$C$400&lt;=44)*(機器台帳!$C$2:$C$400+機器台帳!$D$2:$D$400-1&gt;=44),0),0))=0,"|未記入",""))</f>
        <v/>
      </c>
      <c r="P7" s="12">
        <f>IF(SUMPRODUCT((機器台帳!$A$2:$A$400="E24-S8-4")*((機器台帳!$B$2:$B$400="背面")+(機器台帳!$B$2:$B$400="両面")&gt;0)*(機器台帳!$F$2:$F$400&lt;&gt;"")*(機器台帳!$C$2:$C$400&lt;=44)*(機器台帳!$C$2:$C$400+機器台帳!$D$2:$D$400-1&gt;=44))=0,"",INDEX(機器台帳!$F$2:$F$400,MATCH(1,INDEX((機器台帳!$A$2:$A$400="E24-S8-4")*((機器台帳!$B$2:$B$400="背面")+(機器台帳!$B$2:$B$400="両面")&gt;0)*(機器台帳!$F$2:$F$400&lt;&gt;"")*(機器台帳!$C$2:$C$400&lt;=44)*(機器台帳!$C$2:$C$400+機器台帳!$D$2:$D$400-1&gt;=44),0),0))&amp;IF(INDEX(機器台帳!$G$2:$G$400,MATCH(1,INDEX((機器台帳!$A$2:$A$400="E24-S8-4")*((機器台帳!$B$2:$B$400="背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-4")*((機器台帳!$B$2:$B$400="背面")+(機器台帳!$B$2:$B$400="両面")&gt;0)*(機器台帳!$F$2:$F$400&lt;&gt;"")*(機器台帳!$C$2:$C$400&lt;=44)*(機器台帳!$C$2:$C$400+機器台帳!$D$2:$D$400-1&gt;=44),0),0)))&amp;IF(SUMPRODUCT((機器台帳!$A$2:$A$400="E24-S8-4")*((機器台帳!$B$2:$B$400="背面")+(機器台帳!$B$2:$B$400="両面")&gt;0)*(機器台帳!$F$2:$F$400&lt;&gt;"")*(機器台帳!$C$2:$C$400&lt;=44)*(機器台帳!$C$2:$C$400+機器台帳!$D$2:$D$400-1&gt;=44))&gt;1," 他"&amp;(SUMPRODUCT((機器台帳!$A$2:$A$400="E24-S8-4")*((機器台帳!$B$2:$B$400="背面")+(機器台帳!$B$2:$B$400="両面")&gt;0)*(機器台帳!$F$2:$F$400&lt;&gt;"")*(機器台帳!$C$2:$C$400&lt;=44)*(機器台帳!$C$2:$C$400+機器台帳!$D$2:$D$400-1&gt;=44))-1)&amp;"台",""))</f>
        <v/>
      </c>
      <c r="Q7">
        <f>IF(SUMPRODUCT((機器台帳!$A$2:$A$400="E24-S8-4")*((機器台帳!$B$2:$B$400="背面")+(機器台帳!$B$2:$B$400="両面")&gt;0)*(機器台帳!$F$2:$F$400&lt;&gt;"")*(機器台帳!$C$2:$C$400&lt;=44)*(機器台帳!$C$2:$C$400+機器台帳!$D$2:$D$400-1&gt;=44))=0,"",INDEX(機器台帳!$I$2:$I$400,MATCH(1,INDEX((機器台帳!$A$2:$A$400="E24-S8-4")*((機器台帳!$B$2:$B$400="背面")+(機器台帳!$B$2:$B$400="両面")&gt;0)*(機器台帳!$F$2:$F$400&lt;&gt;"")*(機器台帳!$C$2:$C$400&lt;=44)*(機器台帳!$C$2:$C$400+機器台帳!$D$2:$D$400-1&gt;=44),0),0))&amp;IF(INDEX(機器台帳!$Y$2:$Y$400,MATCH(1,INDEX((機器台帳!$A$2:$A$400="E24-S8-4")*((機器台帳!$B$2:$B$400="背面")+(機器台帳!$B$2:$B$400="両面")&gt;0)*(機器台帳!$F$2:$F$400&lt;&gt;"")*(機器台帳!$C$2:$C$400&lt;=44)*(機器台帳!$C$2:$C$400+機器台帳!$D$2:$D$400-1&gt;=44),0),0))=0,"|未記入",""))</f>
        <v/>
      </c>
      <c r="R7" s="12">
        <f>IF(SUMPRODUCT((機器台帳!$A$2:$A$400="E24-S8-5")*((機器台帳!$B$2:$B$400="前面")+(機器台帳!$B$2:$B$400="両面")&gt;0)*(機器台帳!$F$2:$F$400&lt;&gt;"")*(機器台帳!$C$2:$C$400&lt;=44)*(機器台帳!$C$2:$C$400+機器台帳!$D$2:$D$400-1&gt;=44))=0,"",INDEX(機器台帳!$F$2:$F$400,MATCH(1,INDEX((機器台帳!$A$2:$A$400="E24-S8-5")*((機器台帳!$B$2:$B$400="前面")+(機器台帳!$B$2:$B$400="両面")&gt;0)*(機器台帳!$F$2:$F$400&lt;&gt;"")*(機器台帳!$C$2:$C$400&lt;=44)*(機器台帳!$C$2:$C$400+機器台帳!$D$2:$D$400-1&gt;=44),0),0))&amp;IF(INDEX(機器台帳!$G$2:$G$400,MATCH(1,INDEX((機器台帳!$A$2:$A$400="E24-S8-5")*((機器台帳!$B$2:$B$400="前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-5")*((機器台帳!$B$2:$B$400="前面")+(機器台帳!$B$2:$B$400="両面")&gt;0)*(機器台帳!$F$2:$F$400&lt;&gt;"")*(機器台帳!$C$2:$C$400&lt;=44)*(機器台帳!$C$2:$C$400+機器台帳!$D$2:$D$400-1&gt;=44),0),0)))&amp;IF(SUMPRODUCT((機器台帳!$A$2:$A$400="E24-S8-5")*((機器台帳!$B$2:$B$400="前面")+(機器台帳!$B$2:$B$400="両面")&gt;0)*(機器台帳!$F$2:$F$400&lt;&gt;"")*(機器台帳!$C$2:$C$400&lt;=44)*(機器台帳!$C$2:$C$400+機器台帳!$D$2:$D$400-1&gt;=44))&gt;1," 他"&amp;(SUMPRODUCT((機器台帳!$A$2:$A$400="E24-S8-5")*((機器台帳!$B$2:$B$400="前面")+(機器台帳!$B$2:$B$400="両面")&gt;0)*(機器台帳!$F$2:$F$400&lt;&gt;"")*(機器台帳!$C$2:$C$400&lt;=44)*(機器台帳!$C$2:$C$400+機器台帳!$D$2:$D$400-1&gt;=44))-1)&amp;"台",""))</f>
        <v/>
      </c>
      <c r="S7">
        <f>IF(SUMPRODUCT((機器台帳!$A$2:$A$400="E24-S8-5")*((機器台帳!$B$2:$B$400="前面")+(機器台帳!$B$2:$B$400="両面")&gt;0)*(機器台帳!$F$2:$F$400&lt;&gt;"")*(機器台帳!$C$2:$C$400&lt;=44)*(機器台帳!$C$2:$C$400+機器台帳!$D$2:$D$400-1&gt;=44))=0,"",INDEX(機器台帳!$I$2:$I$400,MATCH(1,INDEX((機器台帳!$A$2:$A$400="E24-S8-5")*((機器台帳!$B$2:$B$400="前面")+(機器台帳!$B$2:$B$400="両面")&gt;0)*(機器台帳!$F$2:$F$400&lt;&gt;"")*(機器台帳!$C$2:$C$400&lt;=44)*(機器台帳!$C$2:$C$400+機器台帳!$D$2:$D$400-1&gt;=44),0),0))&amp;IF(INDEX(機器台帳!$Y$2:$Y$400,MATCH(1,INDEX((機器台帳!$A$2:$A$400="E24-S8-5")*((機器台帳!$B$2:$B$400="前面")+(機器台帳!$B$2:$B$400="両面")&gt;0)*(機器台帳!$F$2:$F$400&lt;&gt;"")*(機器台帳!$C$2:$C$400&lt;=44)*(機器台帳!$C$2:$C$400+機器台帳!$D$2:$D$400-1&gt;=44),0),0))=0,"|未記入",""))</f>
        <v/>
      </c>
      <c r="T7" s="12">
        <f>IF(SUMPRODUCT((機器台帳!$A$2:$A$400="E24-S8-5")*((機器台帳!$B$2:$B$400="背面")+(機器台帳!$B$2:$B$400="両面")&gt;0)*(機器台帳!$F$2:$F$400&lt;&gt;"")*(機器台帳!$C$2:$C$400&lt;=44)*(機器台帳!$C$2:$C$400+機器台帳!$D$2:$D$400-1&gt;=44))=0,"",INDEX(機器台帳!$F$2:$F$400,MATCH(1,INDEX((機器台帳!$A$2:$A$400="E24-S8-5")*((機器台帳!$B$2:$B$400="背面")+(機器台帳!$B$2:$B$400="両面")&gt;0)*(機器台帳!$F$2:$F$400&lt;&gt;"")*(機器台帳!$C$2:$C$400&lt;=44)*(機器台帳!$C$2:$C$400+機器台帳!$D$2:$D$400-1&gt;=44),0),0))&amp;IF(INDEX(機器台帳!$G$2:$G$400,MATCH(1,INDEX((機器台帳!$A$2:$A$400="E24-S8-5")*((機器台帳!$B$2:$B$400="背面")+(機器台帳!$B$2:$B$400="両面")&gt;0)*(機器台帳!$F$2:$F$400&lt;&gt;"")*(機器台帳!$C$2:$C$400&lt;=44)*(機器台帳!$C$2:$C$400+機器台帳!$D$2:$D$400-1&gt;=44),0),0))=""," "," "&amp;INDEX(機器台帳!$G$2:$G$400,MATCH(1,INDEX((機器台帳!$A$2:$A$400="E24-S8-5")*((機器台帳!$B$2:$B$400="背面")+(機器台帳!$B$2:$B$400="両面")&gt;0)*(機器台帳!$F$2:$F$400&lt;&gt;"")*(機器台帳!$C$2:$C$400&lt;=44)*(機器台帳!$C$2:$C$400+機器台帳!$D$2:$D$400-1&gt;=44),0),0)))&amp;IF(SUMPRODUCT((機器台帳!$A$2:$A$400="E24-S8-5")*((機器台帳!$B$2:$B$400="背面")+(機器台帳!$B$2:$B$400="両面")&gt;0)*(機器台帳!$F$2:$F$400&lt;&gt;"")*(機器台帳!$C$2:$C$400&lt;=44)*(機器台帳!$C$2:$C$400+機器台帳!$D$2:$D$400-1&gt;=44))&gt;1," 他"&amp;(SUMPRODUCT((機器台帳!$A$2:$A$400="E24-S8-5")*((機器台帳!$B$2:$B$400="背面")+(機器台帳!$B$2:$B$400="両面")&gt;0)*(機器台帳!$F$2:$F$400&lt;&gt;"")*(機器台帳!$C$2:$C$400&lt;=44)*(機器台帳!$C$2:$C$400+機器台帳!$D$2:$D$400-1&gt;=44))-1)&amp;"台",""))</f>
        <v/>
      </c>
      <c r="U7">
        <f>IF(SUMPRODUCT((機器台帳!$A$2:$A$400="E24-S8-5")*((機器台帳!$B$2:$B$400="背面")+(機器台帳!$B$2:$B$400="両面")&gt;0)*(機器台帳!$F$2:$F$400&lt;&gt;"")*(機器台帳!$C$2:$C$400&lt;=44)*(機器台帳!$C$2:$C$400+機器台帳!$D$2:$D$400-1&gt;=44))=0,"",INDEX(機器台帳!$I$2:$I$400,MATCH(1,INDEX((機器台帳!$A$2:$A$400="E24-S8-5")*((機器台帳!$B$2:$B$400="背面")+(機器台帳!$B$2:$B$400="両面")&gt;0)*(機器台帳!$F$2:$F$400&lt;&gt;"")*(機器台帳!$C$2:$C$400&lt;=44)*(機器台帳!$C$2:$C$400+機器台帳!$D$2:$D$400-1&gt;=44),0),0))&amp;IF(INDEX(機器台帳!$Y$2:$Y$400,MATCH(1,INDEX((機器台帳!$A$2:$A$400="E24-S8-5")*((機器台帳!$B$2:$B$400="背面")+(機器台帳!$B$2:$B$400="両面")&gt;0)*(機器台帳!$F$2:$F$400&lt;&gt;"")*(機器台帳!$C$2:$C$400&lt;=44)*(機器台帳!$C$2:$C$400+機器台帳!$D$2:$D$400-1&gt;=44),0),0))=0,"|未記入",""))</f>
        <v/>
      </c>
      <c r="V7" s="12">
        <f>IF(SUMPRODUCT((機器台帳!$A$2:$A$400="E24-S6-1")*((機器台帳!$B$2:$B$400="前面")+(機器台帳!$B$2:$B$400="両面")&gt;0)*(機器台帳!$F$2:$F$400&lt;&gt;"")*(機器台帳!$C$2:$C$400&lt;=44)*(機器台帳!$C$2:$C$400+機器台帳!$D$2:$D$400-1&gt;=44))=0,"",INDEX(機器台帳!$F$2:$F$400,MATCH(1,INDEX((機器台帳!$A$2:$A$400="E24-S6-1")*((機器台帳!$B$2:$B$400="前面")+(機器台帳!$B$2:$B$400="両面")&gt;0)*(機器台帳!$F$2:$F$400&lt;&gt;"")*(機器台帳!$C$2:$C$400&lt;=44)*(機器台帳!$C$2:$C$400+機器台帳!$D$2:$D$400-1&gt;=44),0),0))&amp;IF(INDEX(機器台帳!$G$2:$G$400,MATCH(1,INDEX((機器台帳!$A$2:$A$400="E24-S6-1")*((機器台帳!$B$2:$B$400="前面")+(機器台帳!$B$2:$B$400="両面")&gt;0)*(機器台帳!$F$2:$F$400&lt;&gt;"")*(機器台帳!$C$2:$C$400&lt;=44)*(機器台帳!$C$2:$C$400+機器台帳!$D$2:$D$400-1&gt;=44),0),0))=""," "," "&amp;INDEX(機器台帳!$G$2:$G$400,MATCH(1,INDEX((機器台帳!$A$2:$A$400="E24-S6-1")*((機器台帳!$B$2:$B$400="前面")+(機器台帳!$B$2:$B$400="両面")&gt;0)*(機器台帳!$F$2:$F$400&lt;&gt;"")*(機器台帳!$C$2:$C$400&lt;=44)*(機器台帳!$C$2:$C$400+機器台帳!$D$2:$D$400-1&gt;=44),0),0)))&amp;IF(SUMPRODUCT((機器台帳!$A$2:$A$400="E24-S6-1")*((機器台帳!$B$2:$B$400="前面")+(機器台帳!$B$2:$B$400="両面")&gt;0)*(機器台帳!$F$2:$F$400&lt;&gt;"")*(機器台帳!$C$2:$C$400&lt;=44)*(機器台帳!$C$2:$C$400+機器台帳!$D$2:$D$400-1&gt;=44))&gt;1," 他"&amp;(SUMPRODUCT((機器台帳!$A$2:$A$400="E24-S6-1")*((機器台帳!$B$2:$B$400="前面")+(機器台帳!$B$2:$B$400="両面")&gt;0)*(機器台帳!$F$2:$F$400&lt;&gt;"")*(機器台帳!$C$2:$C$400&lt;=44)*(機器台帳!$C$2:$C$400+機器台帳!$D$2:$D$400-1&gt;=44))-1)&amp;"台",""))</f>
        <v/>
      </c>
      <c r="W7">
        <f>IF(SUMPRODUCT((機器台帳!$A$2:$A$400="E24-S6-1")*((機器台帳!$B$2:$B$400="前面")+(機器台帳!$B$2:$B$400="両面")&gt;0)*(機器台帳!$F$2:$F$400&lt;&gt;"")*(機器台帳!$C$2:$C$400&lt;=44)*(機器台帳!$C$2:$C$400+機器台帳!$D$2:$D$400-1&gt;=44))=0,"",INDEX(機器台帳!$I$2:$I$400,MATCH(1,INDEX((機器台帳!$A$2:$A$400="E24-S6-1")*((機器台帳!$B$2:$B$400="前面")+(機器台帳!$B$2:$B$400="両面")&gt;0)*(機器台帳!$F$2:$F$400&lt;&gt;"")*(機器台帳!$C$2:$C$400&lt;=44)*(機器台帳!$C$2:$C$400+機器台帳!$D$2:$D$400-1&gt;=44),0),0))&amp;IF(INDEX(機器台帳!$Y$2:$Y$400,MATCH(1,INDEX((機器台帳!$A$2:$A$400="E24-S6-1")*((機器台帳!$B$2:$B$400="前面")+(機器台帳!$B$2:$B$400="両面")&gt;0)*(機器台帳!$F$2:$F$400&lt;&gt;"")*(機器台帳!$C$2:$C$400&lt;=44)*(機器台帳!$C$2:$C$400+機器台帳!$D$2:$D$400-1&gt;=44),0),0))=0,"|未記入",""))</f>
        <v/>
      </c>
      <c r="X7" s="12">
        <f>IF(SUMPRODUCT((機器台帳!$A$2:$A$400="E24-S6-1")*((機器台帳!$B$2:$B$400="背面")+(機器台帳!$B$2:$B$400="両面")&gt;0)*(機器台帳!$F$2:$F$400&lt;&gt;"")*(機器台帳!$C$2:$C$400&lt;=44)*(機器台帳!$C$2:$C$400+機器台帳!$D$2:$D$400-1&gt;=44))=0,"",INDEX(機器台帳!$F$2:$F$400,MATCH(1,INDEX((機器台帳!$A$2:$A$400="E24-S6-1")*((機器台帳!$B$2:$B$400="背面")+(機器台帳!$B$2:$B$400="両面")&gt;0)*(機器台帳!$F$2:$F$400&lt;&gt;"")*(機器台帳!$C$2:$C$400&lt;=44)*(機器台帳!$C$2:$C$400+機器台帳!$D$2:$D$400-1&gt;=44),0),0))&amp;IF(INDEX(機器台帳!$G$2:$G$400,MATCH(1,INDEX((機器台帳!$A$2:$A$400="E24-S6-1")*((機器台帳!$B$2:$B$400="背面")+(機器台帳!$B$2:$B$400="両面")&gt;0)*(機器台帳!$F$2:$F$400&lt;&gt;"")*(機器台帳!$C$2:$C$400&lt;=44)*(機器台帳!$C$2:$C$400+機器台帳!$D$2:$D$400-1&gt;=44),0),0))=""," "," "&amp;INDEX(機器台帳!$G$2:$G$400,MATCH(1,INDEX((機器台帳!$A$2:$A$400="E24-S6-1")*((機器台帳!$B$2:$B$400="背面")+(機器台帳!$B$2:$B$400="両面")&gt;0)*(機器台帳!$F$2:$F$400&lt;&gt;"")*(機器台帳!$C$2:$C$400&lt;=44)*(機器台帳!$C$2:$C$400+機器台帳!$D$2:$D$400-1&gt;=44),0),0)))&amp;IF(SUMPRODUCT((機器台帳!$A$2:$A$400="E24-S6-1")*((機器台帳!$B$2:$B$400="背面")+(機器台帳!$B$2:$B$400="両面")&gt;0)*(機器台帳!$F$2:$F$400&lt;&gt;"")*(機器台帳!$C$2:$C$400&lt;=44)*(機器台帳!$C$2:$C$400+機器台帳!$D$2:$D$400-1&gt;=44))&gt;1," 他"&amp;(SUMPRODUCT((機器台帳!$A$2:$A$400="E24-S6-1")*((機器台帳!$B$2:$B$400="背面")+(機器台帳!$B$2:$B$400="両面")&gt;0)*(機器台帳!$F$2:$F$400&lt;&gt;"")*(機器台帳!$C$2:$C$400&lt;=44)*(機器台帳!$C$2:$C$400+機器台帳!$D$2:$D$400-1&gt;=44))-1)&amp;"台",""))</f>
        <v/>
      </c>
      <c r="Y7">
        <f>IF(SUMPRODUCT((機器台帳!$A$2:$A$400="E24-S6-1")*((機器台帳!$B$2:$B$400="背面")+(機器台帳!$B$2:$B$400="両面")&gt;0)*(機器台帳!$F$2:$F$400&lt;&gt;"")*(機器台帳!$C$2:$C$400&lt;=44)*(機器台帳!$C$2:$C$400+機器台帳!$D$2:$D$400-1&gt;=44))=0,"",INDEX(機器台帳!$I$2:$I$400,MATCH(1,INDEX((機器台帳!$A$2:$A$400="E24-S6-1")*((機器台帳!$B$2:$B$400="背面")+(機器台帳!$B$2:$B$400="両面")&gt;0)*(機器台帳!$F$2:$F$400&lt;&gt;"")*(機器台帳!$C$2:$C$400&lt;=44)*(機器台帳!$C$2:$C$400+機器台帳!$D$2:$D$400-1&gt;=44),0),0))&amp;IF(INDEX(機器台帳!$Y$2:$Y$400,MATCH(1,INDEX((機器台帳!$A$2:$A$400="E24-S6-1")*((機器台帳!$B$2:$B$400="背面")+(機器台帳!$B$2:$B$400="両面")&gt;0)*(機器台帳!$F$2:$F$400&lt;&gt;"")*(機器台帳!$C$2:$C$400&lt;=44)*(機器台帳!$C$2:$C$400+機器台帳!$D$2:$D$400-1&gt;=44),0),0))=0,"|未記入",""))</f>
        <v/>
      </c>
    </row>
    <row r="8">
      <c r="A8" s="11" t="n">
        <v>43</v>
      </c>
      <c r="B8" s="12">
        <f>IF(SUMPRODUCT((機器台帳!$A$2:$A$400="E24-S8-1")*((機器台帳!$B$2:$B$400="前面")+(機器台帳!$B$2:$B$400="両面")&gt;0)*(機器台帳!$F$2:$F$400&lt;&gt;"")*(機器台帳!$C$2:$C$400&lt;=43)*(機器台帳!$C$2:$C$400+機器台帳!$D$2:$D$400-1&gt;=43))=0,"",INDEX(機器台帳!$F$2:$F$400,MATCH(1,INDEX((機器台帳!$A$2:$A$400="E24-S8-1")*((機器台帳!$B$2:$B$400="前面")+(機器台帳!$B$2:$B$400="両面")&gt;0)*(機器台帳!$F$2:$F$400&lt;&gt;"")*(機器台帳!$C$2:$C$400&lt;=43)*(機器台帳!$C$2:$C$400+機器台帳!$D$2:$D$400-1&gt;=43),0),0))&amp;IF(INDEX(機器台帳!$G$2:$G$400,MATCH(1,INDEX((機器台帳!$A$2:$A$400="E24-S8-1")*((機器台帳!$B$2:$B$400="前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-1")*((機器台帳!$B$2:$B$400="前面")+(機器台帳!$B$2:$B$400="両面")&gt;0)*(機器台帳!$F$2:$F$400&lt;&gt;"")*(機器台帳!$C$2:$C$400&lt;=43)*(機器台帳!$C$2:$C$400+機器台帳!$D$2:$D$400-1&gt;=43),0),0)))&amp;IF(SUMPRODUCT((機器台帳!$A$2:$A$400="E24-S8-1")*((機器台帳!$B$2:$B$400="前面")+(機器台帳!$B$2:$B$400="両面")&gt;0)*(機器台帳!$F$2:$F$400&lt;&gt;"")*(機器台帳!$C$2:$C$400&lt;=43)*(機器台帳!$C$2:$C$400+機器台帳!$D$2:$D$400-1&gt;=43))&gt;1," 他"&amp;(SUMPRODUCT((機器台帳!$A$2:$A$400="E24-S8-1")*((機器台帳!$B$2:$B$400="前面")+(機器台帳!$B$2:$B$400="両面")&gt;0)*(機器台帳!$F$2:$F$400&lt;&gt;"")*(機器台帳!$C$2:$C$400&lt;=43)*(機器台帳!$C$2:$C$400+機器台帳!$D$2:$D$400-1&gt;=43))-1)&amp;"台",""))</f>
        <v/>
      </c>
      <c r="C8">
        <f>IF(SUMPRODUCT((機器台帳!$A$2:$A$400="E24-S8-1")*((機器台帳!$B$2:$B$400="前面")+(機器台帳!$B$2:$B$400="両面")&gt;0)*(機器台帳!$F$2:$F$400&lt;&gt;"")*(機器台帳!$C$2:$C$400&lt;=43)*(機器台帳!$C$2:$C$400+機器台帳!$D$2:$D$400-1&gt;=43))=0,"",INDEX(機器台帳!$I$2:$I$400,MATCH(1,INDEX((機器台帳!$A$2:$A$400="E24-S8-1")*((機器台帳!$B$2:$B$400="前面")+(機器台帳!$B$2:$B$400="両面")&gt;0)*(機器台帳!$F$2:$F$400&lt;&gt;"")*(機器台帳!$C$2:$C$400&lt;=43)*(機器台帳!$C$2:$C$400+機器台帳!$D$2:$D$400-1&gt;=43),0),0))&amp;IF(INDEX(機器台帳!$Y$2:$Y$400,MATCH(1,INDEX((機器台帳!$A$2:$A$400="E24-S8-1")*((機器台帳!$B$2:$B$400="前面")+(機器台帳!$B$2:$B$400="両面")&gt;0)*(機器台帳!$F$2:$F$400&lt;&gt;"")*(機器台帳!$C$2:$C$400&lt;=43)*(機器台帳!$C$2:$C$400+機器台帳!$D$2:$D$400-1&gt;=43),0),0))=0,"|未記入",""))</f>
        <v/>
      </c>
      <c r="D8" s="12">
        <f>IF(SUMPRODUCT((機器台帳!$A$2:$A$400="E24-S8-1")*((機器台帳!$B$2:$B$400="背面")+(機器台帳!$B$2:$B$400="両面")&gt;0)*(機器台帳!$F$2:$F$400&lt;&gt;"")*(機器台帳!$C$2:$C$400&lt;=43)*(機器台帳!$C$2:$C$400+機器台帳!$D$2:$D$400-1&gt;=43))=0,"",INDEX(機器台帳!$F$2:$F$400,MATCH(1,INDEX((機器台帳!$A$2:$A$400="E24-S8-1")*((機器台帳!$B$2:$B$400="背面")+(機器台帳!$B$2:$B$400="両面")&gt;0)*(機器台帳!$F$2:$F$400&lt;&gt;"")*(機器台帳!$C$2:$C$400&lt;=43)*(機器台帳!$C$2:$C$400+機器台帳!$D$2:$D$400-1&gt;=43),0),0))&amp;IF(INDEX(機器台帳!$G$2:$G$400,MATCH(1,INDEX((機器台帳!$A$2:$A$400="E24-S8-1")*((機器台帳!$B$2:$B$400="背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-1")*((機器台帳!$B$2:$B$400="背面")+(機器台帳!$B$2:$B$400="両面")&gt;0)*(機器台帳!$F$2:$F$400&lt;&gt;"")*(機器台帳!$C$2:$C$400&lt;=43)*(機器台帳!$C$2:$C$400+機器台帳!$D$2:$D$400-1&gt;=43),0),0)))&amp;IF(SUMPRODUCT((機器台帳!$A$2:$A$400="E24-S8-1")*((機器台帳!$B$2:$B$400="背面")+(機器台帳!$B$2:$B$400="両面")&gt;0)*(機器台帳!$F$2:$F$400&lt;&gt;"")*(機器台帳!$C$2:$C$400&lt;=43)*(機器台帳!$C$2:$C$400+機器台帳!$D$2:$D$400-1&gt;=43))&gt;1," 他"&amp;(SUMPRODUCT((機器台帳!$A$2:$A$400="E24-S8-1")*((機器台帳!$B$2:$B$400="背面")+(機器台帳!$B$2:$B$400="両面")&gt;0)*(機器台帳!$F$2:$F$400&lt;&gt;"")*(機器台帳!$C$2:$C$400&lt;=43)*(機器台帳!$C$2:$C$400+機器台帳!$D$2:$D$400-1&gt;=43))-1)&amp;"台",""))</f>
        <v/>
      </c>
      <c r="E8">
        <f>IF(SUMPRODUCT((機器台帳!$A$2:$A$400="E24-S8-1")*((機器台帳!$B$2:$B$400="背面")+(機器台帳!$B$2:$B$400="両面")&gt;0)*(機器台帳!$F$2:$F$400&lt;&gt;"")*(機器台帳!$C$2:$C$400&lt;=43)*(機器台帳!$C$2:$C$400+機器台帳!$D$2:$D$400-1&gt;=43))=0,"",INDEX(機器台帳!$I$2:$I$400,MATCH(1,INDEX((機器台帳!$A$2:$A$400="E24-S8-1")*((機器台帳!$B$2:$B$400="背面")+(機器台帳!$B$2:$B$400="両面")&gt;0)*(機器台帳!$F$2:$F$400&lt;&gt;"")*(機器台帳!$C$2:$C$400&lt;=43)*(機器台帳!$C$2:$C$400+機器台帳!$D$2:$D$400-1&gt;=43),0),0))&amp;IF(INDEX(機器台帳!$Y$2:$Y$400,MATCH(1,INDEX((機器台帳!$A$2:$A$400="E24-S8-1")*((機器台帳!$B$2:$B$400="背面")+(機器台帳!$B$2:$B$400="両面")&gt;0)*(機器台帳!$F$2:$F$400&lt;&gt;"")*(機器台帳!$C$2:$C$400&lt;=43)*(機器台帳!$C$2:$C$400+機器台帳!$D$2:$D$400-1&gt;=43),0),0))=0,"|未記入",""))</f>
        <v/>
      </c>
      <c r="F8" s="12">
        <f>IF(SUMPRODUCT((機器台帳!$A$2:$A$400="E24-S8-2")*((機器台帳!$B$2:$B$400="前面")+(機器台帳!$B$2:$B$400="両面")&gt;0)*(機器台帳!$F$2:$F$400&lt;&gt;"")*(機器台帳!$C$2:$C$400&lt;=43)*(機器台帳!$C$2:$C$400+機器台帳!$D$2:$D$400-1&gt;=43))=0,"",INDEX(機器台帳!$F$2:$F$400,MATCH(1,INDEX((機器台帳!$A$2:$A$400="E24-S8-2")*((機器台帳!$B$2:$B$400="前面")+(機器台帳!$B$2:$B$400="両面")&gt;0)*(機器台帳!$F$2:$F$400&lt;&gt;"")*(機器台帳!$C$2:$C$400&lt;=43)*(機器台帳!$C$2:$C$400+機器台帳!$D$2:$D$400-1&gt;=43),0),0))&amp;IF(INDEX(機器台帳!$G$2:$G$400,MATCH(1,INDEX((機器台帳!$A$2:$A$400="E24-S8-2")*((機器台帳!$B$2:$B$400="前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-2")*((機器台帳!$B$2:$B$400="前面")+(機器台帳!$B$2:$B$400="両面")&gt;0)*(機器台帳!$F$2:$F$400&lt;&gt;"")*(機器台帳!$C$2:$C$400&lt;=43)*(機器台帳!$C$2:$C$400+機器台帳!$D$2:$D$400-1&gt;=43),0),0)))&amp;IF(SUMPRODUCT((機器台帳!$A$2:$A$400="E24-S8-2")*((機器台帳!$B$2:$B$400="前面")+(機器台帳!$B$2:$B$400="両面")&gt;0)*(機器台帳!$F$2:$F$400&lt;&gt;"")*(機器台帳!$C$2:$C$400&lt;=43)*(機器台帳!$C$2:$C$400+機器台帳!$D$2:$D$400-1&gt;=43))&gt;1," 他"&amp;(SUMPRODUCT((機器台帳!$A$2:$A$400="E24-S8-2")*((機器台帳!$B$2:$B$400="前面")+(機器台帳!$B$2:$B$400="両面")&gt;0)*(機器台帳!$F$2:$F$400&lt;&gt;"")*(機器台帳!$C$2:$C$400&lt;=43)*(機器台帳!$C$2:$C$400+機器台帳!$D$2:$D$400-1&gt;=43))-1)&amp;"台",""))</f>
        <v/>
      </c>
      <c r="G8">
        <f>IF(SUMPRODUCT((機器台帳!$A$2:$A$400="E24-S8-2")*((機器台帳!$B$2:$B$400="前面")+(機器台帳!$B$2:$B$400="両面")&gt;0)*(機器台帳!$F$2:$F$400&lt;&gt;"")*(機器台帳!$C$2:$C$400&lt;=43)*(機器台帳!$C$2:$C$400+機器台帳!$D$2:$D$400-1&gt;=43))=0,"",INDEX(機器台帳!$I$2:$I$400,MATCH(1,INDEX((機器台帳!$A$2:$A$400="E24-S8-2")*((機器台帳!$B$2:$B$400="前面")+(機器台帳!$B$2:$B$400="両面")&gt;0)*(機器台帳!$F$2:$F$400&lt;&gt;"")*(機器台帳!$C$2:$C$400&lt;=43)*(機器台帳!$C$2:$C$400+機器台帳!$D$2:$D$400-1&gt;=43),0),0))&amp;IF(INDEX(機器台帳!$Y$2:$Y$400,MATCH(1,INDEX((機器台帳!$A$2:$A$400="E24-S8-2")*((機器台帳!$B$2:$B$400="前面")+(機器台帳!$B$2:$B$400="両面")&gt;0)*(機器台帳!$F$2:$F$400&lt;&gt;"")*(機器台帳!$C$2:$C$400&lt;=43)*(機器台帳!$C$2:$C$400+機器台帳!$D$2:$D$400-1&gt;=43),0),0))=0,"|未記入",""))</f>
        <v/>
      </c>
      <c r="H8" s="12">
        <f>IF(SUMPRODUCT((機器台帳!$A$2:$A$400="E24-S8-2")*((機器台帳!$B$2:$B$400="背面")+(機器台帳!$B$2:$B$400="両面")&gt;0)*(機器台帳!$F$2:$F$400&lt;&gt;"")*(機器台帳!$C$2:$C$400&lt;=43)*(機器台帳!$C$2:$C$400+機器台帳!$D$2:$D$400-1&gt;=43))=0,"",INDEX(機器台帳!$F$2:$F$400,MATCH(1,INDEX((機器台帳!$A$2:$A$400="E24-S8-2")*((機器台帳!$B$2:$B$400="背面")+(機器台帳!$B$2:$B$400="両面")&gt;0)*(機器台帳!$F$2:$F$400&lt;&gt;"")*(機器台帳!$C$2:$C$400&lt;=43)*(機器台帳!$C$2:$C$400+機器台帳!$D$2:$D$400-1&gt;=43),0),0))&amp;IF(INDEX(機器台帳!$G$2:$G$400,MATCH(1,INDEX((機器台帳!$A$2:$A$400="E24-S8-2")*((機器台帳!$B$2:$B$400="背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-2")*((機器台帳!$B$2:$B$400="背面")+(機器台帳!$B$2:$B$400="両面")&gt;0)*(機器台帳!$F$2:$F$400&lt;&gt;"")*(機器台帳!$C$2:$C$400&lt;=43)*(機器台帳!$C$2:$C$400+機器台帳!$D$2:$D$400-1&gt;=43),0),0)))&amp;IF(SUMPRODUCT((機器台帳!$A$2:$A$400="E24-S8-2")*((機器台帳!$B$2:$B$400="背面")+(機器台帳!$B$2:$B$400="両面")&gt;0)*(機器台帳!$F$2:$F$400&lt;&gt;"")*(機器台帳!$C$2:$C$400&lt;=43)*(機器台帳!$C$2:$C$400+機器台帳!$D$2:$D$400-1&gt;=43))&gt;1," 他"&amp;(SUMPRODUCT((機器台帳!$A$2:$A$400="E24-S8-2")*((機器台帳!$B$2:$B$400="背面")+(機器台帳!$B$2:$B$400="両面")&gt;0)*(機器台帳!$F$2:$F$400&lt;&gt;"")*(機器台帳!$C$2:$C$400&lt;=43)*(機器台帳!$C$2:$C$400+機器台帳!$D$2:$D$400-1&gt;=43))-1)&amp;"台",""))</f>
        <v/>
      </c>
      <c r="I8">
        <f>IF(SUMPRODUCT((機器台帳!$A$2:$A$400="E24-S8-2")*((機器台帳!$B$2:$B$400="背面")+(機器台帳!$B$2:$B$400="両面")&gt;0)*(機器台帳!$F$2:$F$400&lt;&gt;"")*(機器台帳!$C$2:$C$400&lt;=43)*(機器台帳!$C$2:$C$400+機器台帳!$D$2:$D$400-1&gt;=43))=0,"",INDEX(機器台帳!$I$2:$I$400,MATCH(1,INDEX((機器台帳!$A$2:$A$400="E24-S8-2")*((機器台帳!$B$2:$B$400="背面")+(機器台帳!$B$2:$B$400="両面")&gt;0)*(機器台帳!$F$2:$F$400&lt;&gt;"")*(機器台帳!$C$2:$C$400&lt;=43)*(機器台帳!$C$2:$C$400+機器台帳!$D$2:$D$400-1&gt;=43),0),0))&amp;IF(INDEX(機器台帳!$Y$2:$Y$400,MATCH(1,INDEX((機器台帳!$A$2:$A$400="E24-S8-2")*((機器台帳!$B$2:$B$400="背面")+(機器台帳!$B$2:$B$400="両面")&gt;0)*(機器台帳!$F$2:$F$400&lt;&gt;"")*(機器台帳!$C$2:$C$400&lt;=43)*(機器台帳!$C$2:$C$400+機器台帳!$D$2:$D$400-1&gt;=43),0),0))=0,"|未記入",""))</f>
        <v/>
      </c>
      <c r="J8" s="12">
        <f>IF(SUMPRODUCT((機器台帳!$A$2:$A$400="E24-S8-3")*((機器台帳!$B$2:$B$400="前面")+(機器台帳!$B$2:$B$400="両面")&gt;0)*(機器台帳!$F$2:$F$400&lt;&gt;"")*(機器台帳!$C$2:$C$400&lt;=43)*(機器台帳!$C$2:$C$400+機器台帳!$D$2:$D$400-1&gt;=43))=0,"",INDEX(機器台帳!$F$2:$F$400,MATCH(1,INDEX((機器台帳!$A$2:$A$400="E24-S8-3")*((機器台帳!$B$2:$B$400="前面")+(機器台帳!$B$2:$B$400="両面")&gt;0)*(機器台帳!$F$2:$F$400&lt;&gt;"")*(機器台帳!$C$2:$C$400&lt;=43)*(機器台帳!$C$2:$C$400+機器台帳!$D$2:$D$400-1&gt;=43),0),0))&amp;IF(INDEX(機器台帳!$G$2:$G$400,MATCH(1,INDEX((機器台帳!$A$2:$A$400="E24-S8-3")*((機器台帳!$B$2:$B$400="前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-3")*((機器台帳!$B$2:$B$400="前面")+(機器台帳!$B$2:$B$400="両面")&gt;0)*(機器台帳!$F$2:$F$400&lt;&gt;"")*(機器台帳!$C$2:$C$400&lt;=43)*(機器台帳!$C$2:$C$400+機器台帳!$D$2:$D$400-1&gt;=43),0),0)))&amp;IF(SUMPRODUCT((機器台帳!$A$2:$A$400="E24-S8-3")*((機器台帳!$B$2:$B$400="前面")+(機器台帳!$B$2:$B$400="両面")&gt;0)*(機器台帳!$F$2:$F$400&lt;&gt;"")*(機器台帳!$C$2:$C$400&lt;=43)*(機器台帳!$C$2:$C$400+機器台帳!$D$2:$D$400-1&gt;=43))&gt;1," 他"&amp;(SUMPRODUCT((機器台帳!$A$2:$A$400="E24-S8-3")*((機器台帳!$B$2:$B$400="前面")+(機器台帳!$B$2:$B$400="両面")&gt;0)*(機器台帳!$F$2:$F$400&lt;&gt;"")*(機器台帳!$C$2:$C$400&lt;=43)*(機器台帳!$C$2:$C$400+機器台帳!$D$2:$D$400-1&gt;=43))-1)&amp;"台",""))</f>
        <v/>
      </c>
      <c r="K8">
        <f>IF(SUMPRODUCT((機器台帳!$A$2:$A$400="E24-S8-3")*((機器台帳!$B$2:$B$400="前面")+(機器台帳!$B$2:$B$400="両面")&gt;0)*(機器台帳!$F$2:$F$400&lt;&gt;"")*(機器台帳!$C$2:$C$400&lt;=43)*(機器台帳!$C$2:$C$400+機器台帳!$D$2:$D$400-1&gt;=43))=0,"",INDEX(機器台帳!$I$2:$I$400,MATCH(1,INDEX((機器台帳!$A$2:$A$400="E24-S8-3")*((機器台帳!$B$2:$B$400="前面")+(機器台帳!$B$2:$B$400="両面")&gt;0)*(機器台帳!$F$2:$F$400&lt;&gt;"")*(機器台帳!$C$2:$C$400&lt;=43)*(機器台帳!$C$2:$C$400+機器台帳!$D$2:$D$400-1&gt;=43),0),0))&amp;IF(INDEX(機器台帳!$Y$2:$Y$400,MATCH(1,INDEX((機器台帳!$A$2:$A$400="E24-S8-3")*((機器台帳!$B$2:$B$400="前面")+(機器台帳!$B$2:$B$400="両面")&gt;0)*(機器台帳!$F$2:$F$400&lt;&gt;"")*(機器台帳!$C$2:$C$400&lt;=43)*(機器台帳!$C$2:$C$400+機器台帳!$D$2:$D$400-1&gt;=43),0),0))=0,"|未記入",""))</f>
        <v/>
      </c>
      <c r="L8" s="12">
        <f>IF(SUMPRODUCT((機器台帳!$A$2:$A$400="E24-S8-3")*((機器台帳!$B$2:$B$400="背面")+(機器台帳!$B$2:$B$400="両面")&gt;0)*(機器台帳!$F$2:$F$400&lt;&gt;"")*(機器台帳!$C$2:$C$400&lt;=43)*(機器台帳!$C$2:$C$400+機器台帳!$D$2:$D$400-1&gt;=43))=0,"",INDEX(機器台帳!$F$2:$F$400,MATCH(1,INDEX((機器台帳!$A$2:$A$400="E24-S8-3")*((機器台帳!$B$2:$B$400="背面")+(機器台帳!$B$2:$B$400="両面")&gt;0)*(機器台帳!$F$2:$F$400&lt;&gt;"")*(機器台帳!$C$2:$C$400&lt;=43)*(機器台帳!$C$2:$C$400+機器台帳!$D$2:$D$400-1&gt;=43),0),0))&amp;IF(INDEX(機器台帳!$G$2:$G$400,MATCH(1,INDEX((機器台帳!$A$2:$A$400="E24-S8-3")*((機器台帳!$B$2:$B$400="背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-3")*((機器台帳!$B$2:$B$400="背面")+(機器台帳!$B$2:$B$400="両面")&gt;0)*(機器台帳!$F$2:$F$400&lt;&gt;"")*(機器台帳!$C$2:$C$400&lt;=43)*(機器台帳!$C$2:$C$400+機器台帳!$D$2:$D$400-1&gt;=43),0),0)))&amp;IF(SUMPRODUCT((機器台帳!$A$2:$A$400="E24-S8-3")*((機器台帳!$B$2:$B$400="背面")+(機器台帳!$B$2:$B$400="両面")&gt;0)*(機器台帳!$F$2:$F$400&lt;&gt;"")*(機器台帳!$C$2:$C$400&lt;=43)*(機器台帳!$C$2:$C$400+機器台帳!$D$2:$D$400-1&gt;=43))&gt;1," 他"&amp;(SUMPRODUCT((機器台帳!$A$2:$A$400="E24-S8-3")*((機器台帳!$B$2:$B$400="背面")+(機器台帳!$B$2:$B$400="両面")&gt;0)*(機器台帳!$F$2:$F$400&lt;&gt;"")*(機器台帳!$C$2:$C$400&lt;=43)*(機器台帳!$C$2:$C$400+機器台帳!$D$2:$D$400-1&gt;=43))-1)&amp;"台",""))</f>
        <v/>
      </c>
      <c r="M8">
        <f>IF(SUMPRODUCT((機器台帳!$A$2:$A$400="E24-S8-3")*((機器台帳!$B$2:$B$400="背面")+(機器台帳!$B$2:$B$400="両面")&gt;0)*(機器台帳!$F$2:$F$400&lt;&gt;"")*(機器台帳!$C$2:$C$400&lt;=43)*(機器台帳!$C$2:$C$400+機器台帳!$D$2:$D$400-1&gt;=43))=0,"",INDEX(機器台帳!$I$2:$I$400,MATCH(1,INDEX((機器台帳!$A$2:$A$400="E24-S8-3")*((機器台帳!$B$2:$B$400="背面")+(機器台帳!$B$2:$B$400="両面")&gt;0)*(機器台帳!$F$2:$F$400&lt;&gt;"")*(機器台帳!$C$2:$C$400&lt;=43)*(機器台帳!$C$2:$C$400+機器台帳!$D$2:$D$400-1&gt;=43),0),0))&amp;IF(INDEX(機器台帳!$Y$2:$Y$400,MATCH(1,INDEX((機器台帳!$A$2:$A$400="E24-S8-3")*((機器台帳!$B$2:$B$400="背面")+(機器台帳!$B$2:$B$400="両面")&gt;0)*(機器台帳!$F$2:$F$400&lt;&gt;"")*(機器台帳!$C$2:$C$400&lt;=43)*(機器台帳!$C$2:$C$400+機器台帳!$D$2:$D$400-1&gt;=43),0),0))=0,"|未記入",""))</f>
        <v/>
      </c>
      <c r="N8" s="12">
        <f>IF(SUMPRODUCT((機器台帳!$A$2:$A$400="E24-S8-4")*((機器台帳!$B$2:$B$400="前面")+(機器台帳!$B$2:$B$400="両面")&gt;0)*(機器台帳!$F$2:$F$400&lt;&gt;"")*(機器台帳!$C$2:$C$400&lt;=43)*(機器台帳!$C$2:$C$400+機器台帳!$D$2:$D$400-1&gt;=43))=0,"",INDEX(機器台帳!$F$2:$F$400,MATCH(1,INDEX((機器台帳!$A$2:$A$400="E24-S8-4")*((機器台帳!$B$2:$B$400="前面")+(機器台帳!$B$2:$B$400="両面")&gt;0)*(機器台帳!$F$2:$F$400&lt;&gt;"")*(機器台帳!$C$2:$C$400&lt;=43)*(機器台帳!$C$2:$C$400+機器台帳!$D$2:$D$400-1&gt;=43),0),0))&amp;IF(INDEX(機器台帳!$G$2:$G$400,MATCH(1,INDEX((機器台帳!$A$2:$A$400="E24-S8-4")*((機器台帳!$B$2:$B$400="前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-4")*((機器台帳!$B$2:$B$400="前面")+(機器台帳!$B$2:$B$400="両面")&gt;0)*(機器台帳!$F$2:$F$400&lt;&gt;"")*(機器台帳!$C$2:$C$400&lt;=43)*(機器台帳!$C$2:$C$400+機器台帳!$D$2:$D$400-1&gt;=43),0),0)))&amp;IF(SUMPRODUCT((機器台帳!$A$2:$A$400="E24-S8-4")*((機器台帳!$B$2:$B$400="前面")+(機器台帳!$B$2:$B$400="両面")&gt;0)*(機器台帳!$F$2:$F$400&lt;&gt;"")*(機器台帳!$C$2:$C$400&lt;=43)*(機器台帳!$C$2:$C$400+機器台帳!$D$2:$D$400-1&gt;=43))&gt;1," 他"&amp;(SUMPRODUCT((機器台帳!$A$2:$A$400="E24-S8-4")*((機器台帳!$B$2:$B$400="前面")+(機器台帳!$B$2:$B$400="両面")&gt;0)*(機器台帳!$F$2:$F$400&lt;&gt;"")*(機器台帳!$C$2:$C$400&lt;=43)*(機器台帳!$C$2:$C$400+機器台帳!$D$2:$D$400-1&gt;=43))-1)&amp;"台",""))</f>
        <v/>
      </c>
      <c r="O8">
        <f>IF(SUMPRODUCT((機器台帳!$A$2:$A$400="E24-S8-4")*((機器台帳!$B$2:$B$400="前面")+(機器台帳!$B$2:$B$400="両面")&gt;0)*(機器台帳!$F$2:$F$400&lt;&gt;"")*(機器台帳!$C$2:$C$400&lt;=43)*(機器台帳!$C$2:$C$400+機器台帳!$D$2:$D$400-1&gt;=43))=0,"",INDEX(機器台帳!$I$2:$I$400,MATCH(1,INDEX((機器台帳!$A$2:$A$400="E24-S8-4")*((機器台帳!$B$2:$B$400="前面")+(機器台帳!$B$2:$B$400="両面")&gt;0)*(機器台帳!$F$2:$F$400&lt;&gt;"")*(機器台帳!$C$2:$C$400&lt;=43)*(機器台帳!$C$2:$C$400+機器台帳!$D$2:$D$400-1&gt;=43),0),0))&amp;IF(INDEX(機器台帳!$Y$2:$Y$400,MATCH(1,INDEX((機器台帳!$A$2:$A$400="E24-S8-4")*((機器台帳!$B$2:$B$400="前面")+(機器台帳!$B$2:$B$400="両面")&gt;0)*(機器台帳!$F$2:$F$400&lt;&gt;"")*(機器台帳!$C$2:$C$400&lt;=43)*(機器台帳!$C$2:$C$400+機器台帳!$D$2:$D$400-1&gt;=43),0),0))=0,"|未記入",""))</f>
        <v/>
      </c>
      <c r="P8" s="12">
        <f>IF(SUMPRODUCT((機器台帳!$A$2:$A$400="E24-S8-4")*((機器台帳!$B$2:$B$400="背面")+(機器台帳!$B$2:$B$400="両面")&gt;0)*(機器台帳!$F$2:$F$400&lt;&gt;"")*(機器台帳!$C$2:$C$400&lt;=43)*(機器台帳!$C$2:$C$400+機器台帳!$D$2:$D$400-1&gt;=43))=0,"",INDEX(機器台帳!$F$2:$F$400,MATCH(1,INDEX((機器台帳!$A$2:$A$400="E24-S8-4")*((機器台帳!$B$2:$B$400="背面")+(機器台帳!$B$2:$B$400="両面")&gt;0)*(機器台帳!$F$2:$F$400&lt;&gt;"")*(機器台帳!$C$2:$C$400&lt;=43)*(機器台帳!$C$2:$C$400+機器台帳!$D$2:$D$400-1&gt;=43),0),0))&amp;IF(INDEX(機器台帳!$G$2:$G$400,MATCH(1,INDEX((機器台帳!$A$2:$A$400="E24-S8-4")*((機器台帳!$B$2:$B$400="背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-4")*((機器台帳!$B$2:$B$400="背面")+(機器台帳!$B$2:$B$400="両面")&gt;0)*(機器台帳!$F$2:$F$400&lt;&gt;"")*(機器台帳!$C$2:$C$400&lt;=43)*(機器台帳!$C$2:$C$400+機器台帳!$D$2:$D$400-1&gt;=43),0),0)))&amp;IF(SUMPRODUCT((機器台帳!$A$2:$A$400="E24-S8-4")*((機器台帳!$B$2:$B$400="背面")+(機器台帳!$B$2:$B$400="両面")&gt;0)*(機器台帳!$F$2:$F$400&lt;&gt;"")*(機器台帳!$C$2:$C$400&lt;=43)*(機器台帳!$C$2:$C$400+機器台帳!$D$2:$D$400-1&gt;=43))&gt;1," 他"&amp;(SUMPRODUCT((機器台帳!$A$2:$A$400="E24-S8-4")*((機器台帳!$B$2:$B$400="背面")+(機器台帳!$B$2:$B$400="両面")&gt;0)*(機器台帳!$F$2:$F$400&lt;&gt;"")*(機器台帳!$C$2:$C$400&lt;=43)*(機器台帳!$C$2:$C$400+機器台帳!$D$2:$D$400-1&gt;=43))-1)&amp;"台",""))</f>
        <v/>
      </c>
      <c r="Q8">
        <f>IF(SUMPRODUCT((機器台帳!$A$2:$A$400="E24-S8-4")*((機器台帳!$B$2:$B$400="背面")+(機器台帳!$B$2:$B$400="両面")&gt;0)*(機器台帳!$F$2:$F$400&lt;&gt;"")*(機器台帳!$C$2:$C$400&lt;=43)*(機器台帳!$C$2:$C$400+機器台帳!$D$2:$D$400-1&gt;=43))=0,"",INDEX(機器台帳!$I$2:$I$400,MATCH(1,INDEX((機器台帳!$A$2:$A$400="E24-S8-4")*((機器台帳!$B$2:$B$400="背面")+(機器台帳!$B$2:$B$400="両面")&gt;0)*(機器台帳!$F$2:$F$400&lt;&gt;"")*(機器台帳!$C$2:$C$400&lt;=43)*(機器台帳!$C$2:$C$400+機器台帳!$D$2:$D$400-1&gt;=43),0),0))&amp;IF(INDEX(機器台帳!$Y$2:$Y$400,MATCH(1,INDEX((機器台帳!$A$2:$A$400="E24-S8-4")*((機器台帳!$B$2:$B$400="背面")+(機器台帳!$B$2:$B$400="両面")&gt;0)*(機器台帳!$F$2:$F$400&lt;&gt;"")*(機器台帳!$C$2:$C$400&lt;=43)*(機器台帳!$C$2:$C$400+機器台帳!$D$2:$D$400-1&gt;=43),0),0))=0,"|未記入",""))</f>
        <v/>
      </c>
      <c r="R8" s="12">
        <f>IF(SUMPRODUCT((機器台帳!$A$2:$A$400="E24-S8-5")*((機器台帳!$B$2:$B$400="前面")+(機器台帳!$B$2:$B$400="両面")&gt;0)*(機器台帳!$F$2:$F$400&lt;&gt;"")*(機器台帳!$C$2:$C$400&lt;=43)*(機器台帳!$C$2:$C$400+機器台帳!$D$2:$D$400-1&gt;=43))=0,"",INDEX(機器台帳!$F$2:$F$400,MATCH(1,INDEX((機器台帳!$A$2:$A$400="E24-S8-5")*((機器台帳!$B$2:$B$400="前面")+(機器台帳!$B$2:$B$400="両面")&gt;0)*(機器台帳!$F$2:$F$400&lt;&gt;"")*(機器台帳!$C$2:$C$400&lt;=43)*(機器台帳!$C$2:$C$400+機器台帳!$D$2:$D$400-1&gt;=43),0),0))&amp;IF(INDEX(機器台帳!$G$2:$G$400,MATCH(1,INDEX((機器台帳!$A$2:$A$400="E24-S8-5")*((機器台帳!$B$2:$B$400="前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-5")*((機器台帳!$B$2:$B$400="前面")+(機器台帳!$B$2:$B$400="両面")&gt;0)*(機器台帳!$F$2:$F$400&lt;&gt;"")*(機器台帳!$C$2:$C$400&lt;=43)*(機器台帳!$C$2:$C$400+機器台帳!$D$2:$D$400-1&gt;=43),0),0)))&amp;IF(SUMPRODUCT((機器台帳!$A$2:$A$400="E24-S8-5")*((機器台帳!$B$2:$B$400="前面")+(機器台帳!$B$2:$B$400="両面")&gt;0)*(機器台帳!$F$2:$F$400&lt;&gt;"")*(機器台帳!$C$2:$C$400&lt;=43)*(機器台帳!$C$2:$C$400+機器台帳!$D$2:$D$400-1&gt;=43))&gt;1," 他"&amp;(SUMPRODUCT((機器台帳!$A$2:$A$400="E24-S8-5")*((機器台帳!$B$2:$B$400="前面")+(機器台帳!$B$2:$B$400="両面")&gt;0)*(機器台帳!$F$2:$F$400&lt;&gt;"")*(機器台帳!$C$2:$C$400&lt;=43)*(機器台帳!$C$2:$C$400+機器台帳!$D$2:$D$400-1&gt;=43))-1)&amp;"台",""))</f>
        <v/>
      </c>
      <c r="S8">
        <f>IF(SUMPRODUCT((機器台帳!$A$2:$A$400="E24-S8-5")*((機器台帳!$B$2:$B$400="前面")+(機器台帳!$B$2:$B$400="両面")&gt;0)*(機器台帳!$F$2:$F$400&lt;&gt;"")*(機器台帳!$C$2:$C$400&lt;=43)*(機器台帳!$C$2:$C$400+機器台帳!$D$2:$D$400-1&gt;=43))=0,"",INDEX(機器台帳!$I$2:$I$400,MATCH(1,INDEX((機器台帳!$A$2:$A$400="E24-S8-5")*((機器台帳!$B$2:$B$400="前面")+(機器台帳!$B$2:$B$400="両面")&gt;0)*(機器台帳!$F$2:$F$400&lt;&gt;"")*(機器台帳!$C$2:$C$400&lt;=43)*(機器台帳!$C$2:$C$400+機器台帳!$D$2:$D$400-1&gt;=43),0),0))&amp;IF(INDEX(機器台帳!$Y$2:$Y$400,MATCH(1,INDEX((機器台帳!$A$2:$A$400="E24-S8-5")*((機器台帳!$B$2:$B$400="前面")+(機器台帳!$B$2:$B$400="両面")&gt;0)*(機器台帳!$F$2:$F$400&lt;&gt;"")*(機器台帳!$C$2:$C$400&lt;=43)*(機器台帳!$C$2:$C$400+機器台帳!$D$2:$D$400-1&gt;=43),0),0))=0,"|未記入",""))</f>
        <v/>
      </c>
      <c r="T8" s="12">
        <f>IF(SUMPRODUCT((機器台帳!$A$2:$A$400="E24-S8-5")*((機器台帳!$B$2:$B$400="背面")+(機器台帳!$B$2:$B$400="両面")&gt;0)*(機器台帳!$F$2:$F$400&lt;&gt;"")*(機器台帳!$C$2:$C$400&lt;=43)*(機器台帳!$C$2:$C$400+機器台帳!$D$2:$D$400-1&gt;=43))=0,"",INDEX(機器台帳!$F$2:$F$400,MATCH(1,INDEX((機器台帳!$A$2:$A$400="E24-S8-5")*((機器台帳!$B$2:$B$400="背面")+(機器台帳!$B$2:$B$400="両面")&gt;0)*(機器台帳!$F$2:$F$400&lt;&gt;"")*(機器台帳!$C$2:$C$400&lt;=43)*(機器台帳!$C$2:$C$400+機器台帳!$D$2:$D$400-1&gt;=43),0),0))&amp;IF(INDEX(機器台帳!$G$2:$G$400,MATCH(1,INDEX((機器台帳!$A$2:$A$400="E24-S8-5")*((機器台帳!$B$2:$B$400="背面")+(機器台帳!$B$2:$B$400="両面")&gt;0)*(機器台帳!$F$2:$F$400&lt;&gt;"")*(機器台帳!$C$2:$C$400&lt;=43)*(機器台帳!$C$2:$C$400+機器台帳!$D$2:$D$400-1&gt;=43),0),0))=""," "," "&amp;INDEX(機器台帳!$G$2:$G$400,MATCH(1,INDEX((機器台帳!$A$2:$A$400="E24-S8-5")*((機器台帳!$B$2:$B$400="背面")+(機器台帳!$B$2:$B$400="両面")&gt;0)*(機器台帳!$F$2:$F$400&lt;&gt;"")*(機器台帳!$C$2:$C$400&lt;=43)*(機器台帳!$C$2:$C$400+機器台帳!$D$2:$D$400-1&gt;=43),0),0)))&amp;IF(SUMPRODUCT((機器台帳!$A$2:$A$400="E24-S8-5")*((機器台帳!$B$2:$B$400="背面")+(機器台帳!$B$2:$B$400="両面")&gt;0)*(機器台帳!$F$2:$F$400&lt;&gt;"")*(機器台帳!$C$2:$C$400&lt;=43)*(機器台帳!$C$2:$C$400+機器台帳!$D$2:$D$400-1&gt;=43))&gt;1," 他"&amp;(SUMPRODUCT((機器台帳!$A$2:$A$400="E24-S8-5")*((機器台帳!$B$2:$B$400="背面")+(機器台帳!$B$2:$B$400="両面")&gt;0)*(機器台帳!$F$2:$F$400&lt;&gt;"")*(機器台帳!$C$2:$C$400&lt;=43)*(機器台帳!$C$2:$C$400+機器台帳!$D$2:$D$400-1&gt;=43))-1)&amp;"台",""))</f>
        <v/>
      </c>
      <c r="U8">
        <f>IF(SUMPRODUCT((機器台帳!$A$2:$A$400="E24-S8-5")*((機器台帳!$B$2:$B$400="背面")+(機器台帳!$B$2:$B$400="両面")&gt;0)*(機器台帳!$F$2:$F$400&lt;&gt;"")*(機器台帳!$C$2:$C$400&lt;=43)*(機器台帳!$C$2:$C$400+機器台帳!$D$2:$D$400-1&gt;=43))=0,"",INDEX(機器台帳!$I$2:$I$400,MATCH(1,INDEX((機器台帳!$A$2:$A$400="E24-S8-5")*((機器台帳!$B$2:$B$400="背面")+(機器台帳!$B$2:$B$400="両面")&gt;0)*(機器台帳!$F$2:$F$400&lt;&gt;"")*(機器台帳!$C$2:$C$400&lt;=43)*(機器台帳!$C$2:$C$400+機器台帳!$D$2:$D$400-1&gt;=43),0),0))&amp;IF(INDEX(機器台帳!$Y$2:$Y$400,MATCH(1,INDEX((機器台帳!$A$2:$A$400="E24-S8-5")*((機器台帳!$B$2:$B$400="背面")+(機器台帳!$B$2:$B$400="両面")&gt;0)*(機器台帳!$F$2:$F$400&lt;&gt;"")*(機器台帳!$C$2:$C$400&lt;=43)*(機器台帳!$C$2:$C$400+機器台帳!$D$2:$D$400-1&gt;=43),0),0))=0,"|未記入",""))</f>
        <v/>
      </c>
      <c r="V8" s="12">
        <f>IF(SUMPRODUCT((機器台帳!$A$2:$A$400="E24-S6-1")*((機器台帳!$B$2:$B$400="前面")+(機器台帳!$B$2:$B$400="両面")&gt;0)*(機器台帳!$F$2:$F$400&lt;&gt;"")*(機器台帳!$C$2:$C$400&lt;=43)*(機器台帳!$C$2:$C$400+機器台帳!$D$2:$D$400-1&gt;=43))=0,"",INDEX(機器台帳!$F$2:$F$400,MATCH(1,INDEX((機器台帳!$A$2:$A$400="E24-S6-1")*((機器台帳!$B$2:$B$400="前面")+(機器台帳!$B$2:$B$400="両面")&gt;0)*(機器台帳!$F$2:$F$400&lt;&gt;"")*(機器台帳!$C$2:$C$400&lt;=43)*(機器台帳!$C$2:$C$400+機器台帳!$D$2:$D$400-1&gt;=43),0),0))&amp;IF(INDEX(機器台帳!$G$2:$G$400,MATCH(1,INDEX((機器台帳!$A$2:$A$400="E24-S6-1")*((機器台帳!$B$2:$B$400="前面")+(機器台帳!$B$2:$B$400="両面")&gt;0)*(機器台帳!$F$2:$F$400&lt;&gt;"")*(機器台帳!$C$2:$C$400&lt;=43)*(機器台帳!$C$2:$C$400+機器台帳!$D$2:$D$400-1&gt;=43),0),0))=""," "," "&amp;INDEX(機器台帳!$G$2:$G$400,MATCH(1,INDEX((機器台帳!$A$2:$A$400="E24-S6-1")*((機器台帳!$B$2:$B$400="前面")+(機器台帳!$B$2:$B$400="両面")&gt;0)*(機器台帳!$F$2:$F$400&lt;&gt;"")*(機器台帳!$C$2:$C$400&lt;=43)*(機器台帳!$C$2:$C$400+機器台帳!$D$2:$D$400-1&gt;=43),0),0)))&amp;IF(SUMPRODUCT((機器台帳!$A$2:$A$400="E24-S6-1")*((機器台帳!$B$2:$B$400="前面")+(機器台帳!$B$2:$B$400="両面")&gt;0)*(機器台帳!$F$2:$F$400&lt;&gt;"")*(機器台帳!$C$2:$C$400&lt;=43)*(機器台帳!$C$2:$C$400+機器台帳!$D$2:$D$400-1&gt;=43))&gt;1," 他"&amp;(SUMPRODUCT((機器台帳!$A$2:$A$400="E24-S6-1")*((機器台帳!$B$2:$B$400="前面")+(機器台帳!$B$2:$B$400="両面")&gt;0)*(機器台帳!$F$2:$F$400&lt;&gt;"")*(機器台帳!$C$2:$C$400&lt;=43)*(機器台帳!$C$2:$C$400+機器台帳!$D$2:$D$400-1&gt;=43))-1)&amp;"台",""))</f>
        <v/>
      </c>
      <c r="W8">
        <f>IF(SUMPRODUCT((機器台帳!$A$2:$A$400="E24-S6-1")*((機器台帳!$B$2:$B$400="前面")+(機器台帳!$B$2:$B$400="両面")&gt;0)*(機器台帳!$F$2:$F$400&lt;&gt;"")*(機器台帳!$C$2:$C$400&lt;=43)*(機器台帳!$C$2:$C$400+機器台帳!$D$2:$D$400-1&gt;=43))=0,"",INDEX(機器台帳!$I$2:$I$400,MATCH(1,INDEX((機器台帳!$A$2:$A$400="E24-S6-1")*((機器台帳!$B$2:$B$400="前面")+(機器台帳!$B$2:$B$400="両面")&gt;0)*(機器台帳!$F$2:$F$400&lt;&gt;"")*(機器台帳!$C$2:$C$400&lt;=43)*(機器台帳!$C$2:$C$400+機器台帳!$D$2:$D$400-1&gt;=43),0),0))&amp;IF(INDEX(機器台帳!$Y$2:$Y$400,MATCH(1,INDEX((機器台帳!$A$2:$A$400="E24-S6-1")*((機器台帳!$B$2:$B$400="前面")+(機器台帳!$B$2:$B$400="両面")&gt;0)*(機器台帳!$F$2:$F$400&lt;&gt;"")*(機器台帳!$C$2:$C$400&lt;=43)*(機器台帳!$C$2:$C$400+機器台帳!$D$2:$D$400-1&gt;=43),0),0))=0,"|未記入",""))</f>
        <v/>
      </c>
      <c r="X8" s="12">
        <f>IF(SUMPRODUCT((機器台帳!$A$2:$A$400="E24-S6-1")*((機器台帳!$B$2:$B$400="背面")+(機器台帳!$B$2:$B$400="両面")&gt;0)*(機器台帳!$F$2:$F$400&lt;&gt;"")*(機器台帳!$C$2:$C$400&lt;=43)*(機器台帳!$C$2:$C$400+機器台帳!$D$2:$D$400-1&gt;=43))=0,"",INDEX(機器台帳!$F$2:$F$400,MATCH(1,INDEX((機器台帳!$A$2:$A$400="E24-S6-1")*((機器台帳!$B$2:$B$400="背面")+(機器台帳!$B$2:$B$400="両面")&gt;0)*(機器台帳!$F$2:$F$400&lt;&gt;"")*(機器台帳!$C$2:$C$400&lt;=43)*(機器台帳!$C$2:$C$400+機器台帳!$D$2:$D$400-1&gt;=43),0),0))&amp;IF(INDEX(機器台帳!$G$2:$G$400,MATCH(1,INDEX((機器台帳!$A$2:$A$400="E24-S6-1")*((機器台帳!$B$2:$B$400="背面")+(機器台帳!$B$2:$B$400="両面")&gt;0)*(機器台帳!$F$2:$F$400&lt;&gt;"")*(機器台帳!$C$2:$C$400&lt;=43)*(機器台帳!$C$2:$C$400+機器台帳!$D$2:$D$400-1&gt;=43),0),0))=""," "," "&amp;INDEX(機器台帳!$G$2:$G$400,MATCH(1,INDEX((機器台帳!$A$2:$A$400="E24-S6-1")*((機器台帳!$B$2:$B$400="背面")+(機器台帳!$B$2:$B$400="両面")&gt;0)*(機器台帳!$F$2:$F$400&lt;&gt;"")*(機器台帳!$C$2:$C$400&lt;=43)*(機器台帳!$C$2:$C$400+機器台帳!$D$2:$D$400-1&gt;=43),0),0)))&amp;IF(SUMPRODUCT((機器台帳!$A$2:$A$400="E24-S6-1")*((機器台帳!$B$2:$B$400="背面")+(機器台帳!$B$2:$B$400="両面")&gt;0)*(機器台帳!$F$2:$F$400&lt;&gt;"")*(機器台帳!$C$2:$C$400&lt;=43)*(機器台帳!$C$2:$C$400+機器台帳!$D$2:$D$400-1&gt;=43))&gt;1," 他"&amp;(SUMPRODUCT((機器台帳!$A$2:$A$400="E24-S6-1")*((機器台帳!$B$2:$B$400="背面")+(機器台帳!$B$2:$B$400="両面")&gt;0)*(機器台帳!$F$2:$F$400&lt;&gt;"")*(機器台帳!$C$2:$C$400&lt;=43)*(機器台帳!$C$2:$C$400+機器台帳!$D$2:$D$400-1&gt;=43))-1)&amp;"台",""))</f>
        <v/>
      </c>
      <c r="Y8">
        <f>IF(SUMPRODUCT((機器台帳!$A$2:$A$400="E24-S6-1")*((機器台帳!$B$2:$B$400="背面")+(機器台帳!$B$2:$B$400="両面")&gt;0)*(機器台帳!$F$2:$F$400&lt;&gt;"")*(機器台帳!$C$2:$C$400&lt;=43)*(機器台帳!$C$2:$C$400+機器台帳!$D$2:$D$400-1&gt;=43))=0,"",INDEX(機器台帳!$I$2:$I$400,MATCH(1,INDEX((機器台帳!$A$2:$A$400="E24-S6-1")*((機器台帳!$B$2:$B$400="背面")+(機器台帳!$B$2:$B$400="両面")&gt;0)*(機器台帳!$F$2:$F$400&lt;&gt;"")*(機器台帳!$C$2:$C$400&lt;=43)*(機器台帳!$C$2:$C$400+機器台帳!$D$2:$D$400-1&gt;=43),0),0))&amp;IF(INDEX(機器台帳!$Y$2:$Y$400,MATCH(1,INDEX((機器台帳!$A$2:$A$400="E24-S6-1")*((機器台帳!$B$2:$B$400="背面")+(機器台帳!$B$2:$B$400="両面")&gt;0)*(機器台帳!$F$2:$F$400&lt;&gt;"")*(機器台帳!$C$2:$C$400&lt;=43)*(機器台帳!$C$2:$C$400+機器台帳!$D$2:$D$400-1&gt;=43),0),0))=0,"|未記入",""))</f>
        <v/>
      </c>
    </row>
    <row r="9">
      <c r="A9" s="11" t="n">
        <v>42</v>
      </c>
      <c r="B9" s="12">
        <f>IF(SUMPRODUCT((機器台帳!$A$2:$A$400="E24-S8-1")*((機器台帳!$B$2:$B$400="前面")+(機器台帳!$B$2:$B$400="両面")&gt;0)*(機器台帳!$F$2:$F$400&lt;&gt;"")*(機器台帳!$C$2:$C$400&lt;=42)*(機器台帳!$C$2:$C$400+機器台帳!$D$2:$D$400-1&gt;=42))=0,"",INDEX(機器台帳!$F$2:$F$400,MATCH(1,INDEX((機器台帳!$A$2:$A$400="E24-S8-1")*((機器台帳!$B$2:$B$400="前面")+(機器台帳!$B$2:$B$400="両面")&gt;0)*(機器台帳!$F$2:$F$400&lt;&gt;"")*(機器台帳!$C$2:$C$400&lt;=42)*(機器台帳!$C$2:$C$400+機器台帳!$D$2:$D$400-1&gt;=42),0),0))&amp;IF(INDEX(機器台帳!$G$2:$G$400,MATCH(1,INDEX((機器台帳!$A$2:$A$400="E24-S8-1")*((機器台帳!$B$2:$B$400="前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-1")*((機器台帳!$B$2:$B$400="前面")+(機器台帳!$B$2:$B$400="両面")&gt;0)*(機器台帳!$F$2:$F$400&lt;&gt;"")*(機器台帳!$C$2:$C$400&lt;=42)*(機器台帳!$C$2:$C$400+機器台帳!$D$2:$D$400-1&gt;=42),0),0)))&amp;IF(SUMPRODUCT((機器台帳!$A$2:$A$400="E24-S8-1")*((機器台帳!$B$2:$B$400="前面")+(機器台帳!$B$2:$B$400="両面")&gt;0)*(機器台帳!$F$2:$F$400&lt;&gt;"")*(機器台帳!$C$2:$C$400&lt;=42)*(機器台帳!$C$2:$C$400+機器台帳!$D$2:$D$400-1&gt;=42))&gt;1," 他"&amp;(SUMPRODUCT((機器台帳!$A$2:$A$400="E24-S8-1")*((機器台帳!$B$2:$B$400="前面")+(機器台帳!$B$2:$B$400="両面")&gt;0)*(機器台帳!$F$2:$F$400&lt;&gt;"")*(機器台帳!$C$2:$C$400&lt;=42)*(機器台帳!$C$2:$C$400+機器台帳!$D$2:$D$400-1&gt;=42))-1)&amp;"台",""))</f>
        <v/>
      </c>
      <c r="C9">
        <f>IF(SUMPRODUCT((機器台帳!$A$2:$A$400="E24-S8-1")*((機器台帳!$B$2:$B$400="前面")+(機器台帳!$B$2:$B$400="両面")&gt;0)*(機器台帳!$F$2:$F$400&lt;&gt;"")*(機器台帳!$C$2:$C$400&lt;=42)*(機器台帳!$C$2:$C$400+機器台帳!$D$2:$D$400-1&gt;=42))=0,"",INDEX(機器台帳!$I$2:$I$400,MATCH(1,INDEX((機器台帳!$A$2:$A$400="E24-S8-1")*((機器台帳!$B$2:$B$400="前面")+(機器台帳!$B$2:$B$400="両面")&gt;0)*(機器台帳!$F$2:$F$400&lt;&gt;"")*(機器台帳!$C$2:$C$400&lt;=42)*(機器台帳!$C$2:$C$400+機器台帳!$D$2:$D$400-1&gt;=42),0),0))&amp;IF(INDEX(機器台帳!$Y$2:$Y$400,MATCH(1,INDEX((機器台帳!$A$2:$A$400="E24-S8-1")*((機器台帳!$B$2:$B$400="前面")+(機器台帳!$B$2:$B$400="両面")&gt;0)*(機器台帳!$F$2:$F$400&lt;&gt;"")*(機器台帳!$C$2:$C$400&lt;=42)*(機器台帳!$C$2:$C$400+機器台帳!$D$2:$D$400-1&gt;=42),0),0))=0,"|未記入",""))</f>
        <v/>
      </c>
      <c r="D9" s="12">
        <f>IF(SUMPRODUCT((機器台帳!$A$2:$A$400="E24-S8-1")*((機器台帳!$B$2:$B$400="背面")+(機器台帳!$B$2:$B$400="両面")&gt;0)*(機器台帳!$F$2:$F$400&lt;&gt;"")*(機器台帳!$C$2:$C$400&lt;=42)*(機器台帳!$C$2:$C$400+機器台帳!$D$2:$D$400-1&gt;=42))=0,"",INDEX(機器台帳!$F$2:$F$400,MATCH(1,INDEX((機器台帳!$A$2:$A$400="E24-S8-1")*((機器台帳!$B$2:$B$400="背面")+(機器台帳!$B$2:$B$400="両面")&gt;0)*(機器台帳!$F$2:$F$400&lt;&gt;"")*(機器台帳!$C$2:$C$400&lt;=42)*(機器台帳!$C$2:$C$400+機器台帳!$D$2:$D$400-1&gt;=42),0),0))&amp;IF(INDEX(機器台帳!$G$2:$G$400,MATCH(1,INDEX((機器台帳!$A$2:$A$400="E24-S8-1")*((機器台帳!$B$2:$B$400="背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-1")*((機器台帳!$B$2:$B$400="背面")+(機器台帳!$B$2:$B$400="両面")&gt;0)*(機器台帳!$F$2:$F$400&lt;&gt;"")*(機器台帳!$C$2:$C$400&lt;=42)*(機器台帳!$C$2:$C$400+機器台帳!$D$2:$D$400-1&gt;=42),0),0)))&amp;IF(SUMPRODUCT((機器台帳!$A$2:$A$400="E24-S8-1")*((機器台帳!$B$2:$B$400="背面")+(機器台帳!$B$2:$B$400="両面")&gt;0)*(機器台帳!$F$2:$F$400&lt;&gt;"")*(機器台帳!$C$2:$C$400&lt;=42)*(機器台帳!$C$2:$C$400+機器台帳!$D$2:$D$400-1&gt;=42))&gt;1," 他"&amp;(SUMPRODUCT((機器台帳!$A$2:$A$400="E24-S8-1")*((機器台帳!$B$2:$B$400="背面")+(機器台帳!$B$2:$B$400="両面")&gt;0)*(機器台帳!$F$2:$F$400&lt;&gt;"")*(機器台帳!$C$2:$C$400&lt;=42)*(機器台帳!$C$2:$C$400+機器台帳!$D$2:$D$400-1&gt;=42))-1)&amp;"台",""))</f>
        <v/>
      </c>
      <c r="E9">
        <f>IF(SUMPRODUCT((機器台帳!$A$2:$A$400="E24-S8-1")*((機器台帳!$B$2:$B$400="背面")+(機器台帳!$B$2:$B$400="両面")&gt;0)*(機器台帳!$F$2:$F$400&lt;&gt;"")*(機器台帳!$C$2:$C$400&lt;=42)*(機器台帳!$C$2:$C$400+機器台帳!$D$2:$D$400-1&gt;=42))=0,"",INDEX(機器台帳!$I$2:$I$400,MATCH(1,INDEX((機器台帳!$A$2:$A$400="E24-S8-1")*((機器台帳!$B$2:$B$400="背面")+(機器台帳!$B$2:$B$400="両面")&gt;0)*(機器台帳!$F$2:$F$400&lt;&gt;"")*(機器台帳!$C$2:$C$400&lt;=42)*(機器台帳!$C$2:$C$400+機器台帳!$D$2:$D$400-1&gt;=42),0),0))&amp;IF(INDEX(機器台帳!$Y$2:$Y$400,MATCH(1,INDEX((機器台帳!$A$2:$A$400="E24-S8-1")*((機器台帳!$B$2:$B$400="背面")+(機器台帳!$B$2:$B$400="両面")&gt;0)*(機器台帳!$F$2:$F$400&lt;&gt;"")*(機器台帳!$C$2:$C$400&lt;=42)*(機器台帳!$C$2:$C$400+機器台帳!$D$2:$D$400-1&gt;=42),0),0))=0,"|未記入",""))</f>
        <v/>
      </c>
      <c r="F9" s="12">
        <f>IF(SUMPRODUCT((機器台帳!$A$2:$A$400="E24-S8-2")*((機器台帳!$B$2:$B$400="前面")+(機器台帳!$B$2:$B$400="両面")&gt;0)*(機器台帳!$F$2:$F$400&lt;&gt;"")*(機器台帳!$C$2:$C$400&lt;=42)*(機器台帳!$C$2:$C$400+機器台帳!$D$2:$D$400-1&gt;=42))=0,"",INDEX(機器台帳!$F$2:$F$400,MATCH(1,INDEX((機器台帳!$A$2:$A$400="E24-S8-2")*((機器台帳!$B$2:$B$400="前面")+(機器台帳!$B$2:$B$400="両面")&gt;0)*(機器台帳!$F$2:$F$400&lt;&gt;"")*(機器台帳!$C$2:$C$400&lt;=42)*(機器台帳!$C$2:$C$400+機器台帳!$D$2:$D$400-1&gt;=42),0),0))&amp;IF(INDEX(機器台帳!$G$2:$G$400,MATCH(1,INDEX((機器台帳!$A$2:$A$400="E24-S8-2")*((機器台帳!$B$2:$B$400="前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-2")*((機器台帳!$B$2:$B$400="前面")+(機器台帳!$B$2:$B$400="両面")&gt;0)*(機器台帳!$F$2:$F$400&lt;&gt;"")*(機器台帳!$C$2:$C$400&lt;=42)*(機器台帳!$C$2:$C$400+機器台帳!$D$2:$D$400-1&gt;=42),0),0)))&amp;IF(SUMPRODUCT((機器台帳!$A$2:$A$400="E24-S8-2")*((機器台帳!$B$2:$B$400="前面")+(機器台帳!$B$2:$B$400="両面")&gt;0)*(機器台帳!$F$2:$F$400&lt;&gt;"")*(機器台帳!$C$2:$C$400&lt;=42)*(機器台帳!$C$2:$C$400+機器台帳!$D$2:$D$400-1&gt;=42))&gt;1," 他"&amp;(SUMPRODUCT((機器台帳!$A$2:$A$400="E24-S8-2")*((機器台帳!$B$2:$B$400="前面")+(機器台帳!$B$2:$B$400="両面")&gt;0)*(機器台帳!$F$2:$F$400&lt;&gt;"")*(機器台帳!$C$2:$C$400&lt;=42)*(機器台帳!$C$2:$C$400+機器台帳!$D$2:$D$400-1&gt;=42))-1)&amp;"台",""))</f>
        <v/>
      </c>
      <c r="G9">
        <f>IF(SUMPRODUCT((機器台帳!$A$2:$A$400="E24-S8-2")*((機器台帳!$B$2:$B$400="前面")+(機器台帳!$B$2:$B$400="両面")&gt;0)*(機器台帳!$F$2:$F$400&lt;&gt;"")*(機器台帳!$C$2:$C$400&lt;=42)*(機器台帳!$C$2:$C$400+機器台帳!$D$2:$D$400-1&gt;=42))=0,"",INDEX(機器台帳!$I$2:$I$400,MATCH(1,INDEX((機器台帳!$A$2:$A$400="E24-S8-2")*((機器台帳!$B$2:$B$400="前面")+(機器台帳!$B$2:$B$400="両面")&gt;0)*(機器台帳!$F$2:$F$400&lt;&gt;"")*(機器台帳!$C$2:$C$400&lt;=42)*(機器台帳!$C$2:$C$400+機器台帳!$D$2:$D$400-1&gt;=42),0),0))&amp;IF(INDEX(機器台帳!$Y$2:$Y$400,MATCH(1,INDEX((機器台帳!$A$2:$A$400="E24-S8-2")*((機器台帳!$B$2:$B$400="前面")+(機器台帳!$B$2:$B$400="両面")&gt;0)*(機器台帳!$F$2:$F$400&lt;&gt;"")*(機器台帳!$C$2:$C$400&lt;=42)*(機器台帳!$C$2:$C$400+機器台帳!$D$2:$D$400-1&gt;=42),0),0))=0,"|未記入",""))</f>
        <v/>
      </c>
      <c r="H9" s="12">
        <f>IF(SUMPRODUCT((機器台帳!$A$2:$A$400="E24-S8-2")*((機器台帳!$B$2:$B$400="背面")+(機器台帳!$B$2:$B$400="両面")&gt;0)*(機器台帳!$F$2:$F$400&lt;&gt;"")*(機器台帳!$C$2:$C$400&lt;=42)*(機器台帳!$C$2:$C$400+機器台帳!$D$2:$D$400-1&gt;=42))=0,"",INDEX(機器台帳!$F$2:$F$400,MATCH(1,INDEX((機器台帳!$A$2:$A$400="E24-S8-2")*((機器台帳!$B$2:$B$400="背面")+(機器台帳!$B$2:$B$400="両面")&gt;0)*(機器台帳!$F$2:$F$400&lt;&gt;"")*(機器台帳!$C$2:$C$400&lt;=42)*(機器台帳!$C$2:$C$400+機器台帳!$D$2:$D$400-1&gt;=42),0),0))&amp;IF(INDEX(機器台帳!$G$2:$G$400,MATCH(1,INDEX((機器台帳!$A$2:$A$400="E24-S8-2")*((機器台帳!$B$2:$B$400="背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-2")*((機器台帳!$B$2:$B$400="背面")+(機器台帳!$B$2:$B$400="両面")&gt;0)*(機器台帳!$F$2:$F$400&lt;&gt;"")*(機器台帳!$C$2:$C$400&lt;=42)*(機器台帳!$C$2:$C$400+機器台帳!$D$2:$D$400-1&gt;=42),0),0)))&amp;IF(SUMPRODUCT((機器台帳!$A$2:$A$400="E24-S8-2")*((機器台帳!$B$2:$B$400="背面")+(機器台帳!$B$2:$B$400="両面")&gt;0)*(機器台帳!$F$2:$F$400&lt;&gt;"")*(機器台帳!$C$2:$C$400&lt;=42)*(機器台帳!$C$2:$C$400+機器台帳!$D$2:$D$400-1&gt;=42))&gt;1," 他"&amp;(SUMPRODUCT((機器台帳!$A$2:$A$400="E24-S8-2")*((機器台帳!$B$2:$B$400="背面")+(機器台帳!$B$2:$B$400="両面")&gt;0)*(機器台帳!$F$2:$F$400&lt;&gt;"")*(機器台帳!$C$2:$C$400&lt;=42)*(機器台帳!$C$2:$C$400+機器台帳!$D$2:$D$400-1&gt;=42))-1)&amp;"台",""))</f>
        <v/>
      </c>
      <c r="I9">
        <f>IF(SUMPRODUCT((機器台帳!$A$2:$A$400="E24-S8-2")*((機器台帳!$B$2:$B$400="背面")+(機器台帳!$B$2:$B$400="両面")&gt;0)*(機器台帳!$F$2:$F$400&lt;&gt;"")*(機器台帳!$C$2:$C$400&lt;=42)*(機器台帳!$C$2:$C$400+機器台帳!$D$2:$D$400-1&gt;=42))=0,"",INDEX(機器台帳!$I$2:$I$400,MATCH(1,INDEX((機器台帳!$A$2:$A$400="E24-S8-2")*((機器台帳!$B$2:$B$400="背面")+(機器台帳!$B$2:$B$400="両面")&gt;0)*(機器台帳!$F$2:$F$400&lt;&gt;"")*(機器台帳!$C$2:$C$400&lt;=42)*(機器台帳!$C$2:$C$400+機器台帳!$D$2:$D$400-1&gt;=42),0),0))&amp;IF(INDEX(機器台帳!$Y$2:$Y$400,MATCH(1,INDEX((機器台帳!$A$2:$A$400="E24-S8-2")*((機器台帳!$B$2:$B$400="背面")+(機器台帳!$B$2:$B$400="両面")&gt;0)*(機器台帳!$F$2:$F$400&lt;&gt;"")*(機器台帳!$C$2:$C$400&lt;=42)*(機器台帳!$C$2:$C$400+機器台帳!$D$2:$D$400-1&gt;=42),0),0))=0,"|未記入",""))</f>
        <v/>
      </c>
      <c r="J9" s="12">
        <f>IF(SUMPRODUCT((機器台帳!$A$2:$A$400="E24-S8-3")*((機器台帳!$B$2:$B$400="前面")+(機器台帳!$B$2:$B$400="両面")&gt;0)*(機器台帳!$F$2:$F$400&lt;&gt;"")*(機器台帳!$C$2:$C$400&lt;=42)*(機器台帳!$C$2:$C$400+機器台帳!$D$2:$D$400-1&gt;=42))=0,"",INDEX(機器台帳!$F$2:$F$400,MATCH(1,INDEX((機器台帳!$A$2:$A$400="E24-S8-3")*((機器台帳!$B$2:$B$400="前面")+(機器台帳!$B$2:$B$400="両面")&gt;0)*(機器台帳!$F$2:$F$400&lt;&gt;"")*(機器台帳!$C$2:$C$400&lt;=42)*(機器台帳!$C$2:$C$400+機器台帳!$D$2:$D$400-1&gt;=42),0),0))&amp;IF(INDEX(機器台帳!$G$2:$G$400,MATCH(1,INDEX((機器台帳!$A$2:$A$400="E24-S8-3")*((機器台帳!$B$2:$B$400="前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-3")*((機器台帳!$B$2:$B$400="前面")+(機器台帳!$B$2:$B$400="両面")&gt;0)*(機器台帳!$F$2:$F$400&lt;&gt;"")*(機器台帳!$C$2:$C$400&lt;=42)*(機器台帳!$C$2:$C$400+機器台帳!$D$2:$D$400-1&gt;=42),0),0)))&amp;IF(SUMPRODUCT((機器台帳!$A$2:$A$400="E24-S8-3")*((機器台帳!$B$2:$B$400="前面")+(機器台帳!$B$2:$B$400="両面")&gt;0)*(機器台帳!$F$2:$F$400&lt;&gt;"")*(機器台帳!$C$2:$C$400&lt;=42)*(機器台帳!$C$2:$C$400+機器台帳!$D$2:$D$400-1&gt;=42))&gt;1," 他"&amp;(SUMPRODUCT((機器台帳!$A$2:$A$400="E24-S8-3")*((機器台帳!$B$2:$B$400="前面")+(機器台帳!$B$2:$B$400="両面")&gt;0)*(機器台帳!$F$2:$F$400&lt;&gt;"")*(機器台帳!$C$2:$C$400&lt;=42)*(機器台帳!$C$2:$C$400+機器台帳!$D$2:$D$400-1&gt;=42))-1)&amp;"台",""))</f>
        <v/>
      </c>
      <c r="K9">
        <f>IF(SUMPRODUCT((機器台帳!$A$2:$A$400="E24-S8-3")*((機器台帳!$B$2:$B$400="前面")+(機器台帳!$B$2:$B$400="両面")&gt;0)*(機器台帳!$F$2:$F$400&lt;&gt;"")*(機器台帳!$C$2:$C$400&lt;=42)*(機器台帳!$C$2:$C$400+機器台帳!$D$2:$D$400-1&gt;=42))=0,"",INDEX(機器台帳!$I$2:$I$400,MATCH(1,INDEX((機器台帳!$A$2:$A$400="E24-S8-3")*((機器台帳!$B$2:$B$400="前面")+(機器台帳!$B$2:$B$400="両面")&gt;0)*(機器台帳!$F$2:$F$400&lt;&gt;"")*(機器台帳!$C$2:$C$400&lt;=42)*(機器台帳!$C$2:$C$400+機器台帳!$D$2:$D$400-1&gt;=42),0),0))&amp;IF(INDEX(機器台帳!$Y$2:$Y$400,MATCH(1,INDEX((機器台帳!$A$2:$A$400="E24-S8-3")*((機器台帳!$B$2:$B$400="前面")+(機器台帳!$B$2:$B$400="両面")&gt;0)*(機器台帳!$F$2:$F$400&lt;&gt;"")*(機器台帳!$C$2:$C$400&lt;=42)*(機器台帳!$C$2:$C$400+機器台帳!$D$2:$D$400-1&gt;=42),0),0))=0,"|未記入",""))</f>
        <v/>
      </c>
      <c r="L9" s="12">
        <f>IF(SUMPRODUCT((機器台帳!$A$2:$A$400="E24-S8-3")*((機器台帳!$B$2:$B$400="背面")+(機器台帳!$B$2:$B$400="両面")&gt;0)*(機器台帳!$F$2:$F$400&lt;&gt;"")*(機器台帳!$C$2:$C$400&lt;=42)*(機器台帳!$C$2:$C$400+機器台帳!$D$2:$D$400-1&gt;=42))=0,"",INDEX(機器台帳!$F$2:$F$400,MATCH(1,INDEX((機器台帳!$A$2:$A$400="E24-S8-3")*((機器台帳!$B$2:$B$400="背面")+(機器台帳!$B$2:$B$400="両面")&gt;0)*(機器台帳!$F$2:$F$400&lt;&gt;"")*(機器台帳!$C$2:$C$400&lt;=42)*(機器台帳!$C$2:$C$400+機器台帳!$D$2:$D$400-1&gt;=42),0),0))&amp;IF(INDEX(機器台帳!$G$2:$G$400,MATCH(1,INDEX((機器台帳!$A$2:$A$400="E24-S8-3")*((機器台帳!$B$2:$B$400="背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-3")*((機器台帳!$B$2:$B$400="背面")+(機器台帳!$B$2:$B$400="両面")&gt;0)*(機器台帳!$F$2:$F$400&lt;&gt;"")*(機器台帳!$C$2:$C$400&lt;=42)*(機器台帳!$C$2:$C$400+機器台帳!$D$2:$D$400-1&gt;=42),0),0)))&amp;IF(SUMPRODUCT((機器台帳!$A$2:$A$400="E24-S8-3")*((機器台帳!$B$2:$B$400="背面")+(機器台帳!$B$2:$B$400="両面")&gt;0)*(機器台帳!$F$2:$F$400&lt;&gt;"")*(機器台帳!$C$2:$C$400&lt;=42)*(機器台帳!$C$2:$C$400+機器台帳!$D$2:$D$400-1&gt;=42))&gt;1," 他"&amp;(SUMPRODUCT((機器台帳!$A$2:$A$400="E24-S8-3")*((機器台帳!$B$2:$B$400="背面")+(機器台帳!$B$2:$B$400="両面")&gt;0)*(機器台帳!$F$2:$F$400&lt;&gt;"")*(機器台帳!$C$2:$C$400&lt;=42)*(機器台帳!$C$2:$C$400+機器台帳!$D$2:$D$400-1&gt;=42))-1)&amp;"台",""))</f>
        <v/>
      </c>
      <c r="M9">
        <f>IF(SUMPRODUCT((機器台帳!$A$2:$A$400="E24-S8-3")*((機器台帳!$B$2:$B$400="背面")+(機器台帳!$B$2:$B$400="両面")&gt;0)*(機器台帳!$F$2:$F$400&lt;&gt;"")*(機器台帳!$C$2:$C$400&lt;=42)*(機器台帳!$C$2:$C$400+機器台帳!$D$2:$D$400-1&gt;=42))=0,"",INDEX(機器台帳!$I$2:$I$400,MATCH(1,INDEX((機器台帳!$A$2:$A$400="E24-S8-3")*((機器台帳!$B$2:$B$400="背面")+(機器台帳!$B$2:$B$400="両面")&gt;0)*(機器台帳!$F$2:$F$400&lt;&gt;"")*(機器台帳!$C$2:$C$400&lt;=42)*(機器台帳!$C$2:$C$400+機器台帳!$D$2:$D$400-1&gt;=42),0),0))&amp;IF(INDEX(機器台帳!$Y$2:$Y$400,MATCH(1,INDEX((機器台帳!$A$2:$A$400="E24-S8-3")*((機器台帳!$B$2:$B$400="背面")+(機器台帳!$B$2:$B$400="両面")&gt;0)*(機器台帳!$F$2:$F$400&lt;&gt;"")*(機器台帳!$C$2:$C$400&lt;=42)*(機器台帳!$C$2:$C$400+機器台帳!$D$2:$D$400-1&gt;=42),0),0))=0,"|未記入",""))</f>
        <v/>
      </c>
      <c r="N9" s="12">
        <f>IF(SUMPRODUCT((機器台帳!$A$2:$A$400="E24-S8-4")*((機器台帳!$B$2:$B$400="前面")+(機器台帳!$B$2:$B$400="両面")&gt;0)*(機器台帳!$F$2:$F$400&lt;&gt;"")*(機器台帳!$C$2:$C$400&lt;=42)*(機器台帳!$C$2:$C$400+機器台帳!$D$2:$D$400-1&gt;=42))=0,"",INDEX(機器台帳!$F$2:$F$400,MATCH(1,INDEX((機器台帳!$A$2:$A$400="E24-S8-4")*((機器台帳!$B$2:$B$400="前面")+(機器台帳!$B$2:$B$400="両面")&gt;0)*(機器台帳!$F$2:$F$400&lt;&gt;"")*(機器台帳!$C$2:$C$400&lt;=42)*(機器台帳!$C$2:$C$400+機器台帳!$D$2:$D$400-1&gt;=42),0),0))&amp;IF(INDEX(機器台帳!$G$2:$G$400,MATCH(1,INDEX((機器台帳!$A$2:$A$400="E24-S8-4")*((機器台帳!$B$2:$B$400="前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-4")*((機器台帳!$B$2:$B$400="前面")+(機器台帳!$B$2:$B$400="両面")&gt;0)*(機器台帳!$F$2:$F$400&lt;&gt;"")*(機器台帳!$C$2:$C$400&lt;=42)*(機器台帳!$C$2:$C$400+機器台帳!$D$2:$D$400-1&gt;=42),0),0)))&amp;IF(SUMPRODUCT((機器台帳!$A$2:$A$400="E24-S8-4")*((機器台帳!$B$2:$B$400="前面")+(機器台帳!$B$2:$B$400="両面")&gt;0)*(機器台帳!$F$2:$F$400&lt;&gt;"")*(機器台帳!$C$2:$C$400&lt;=42)*(機器台帳!$C$2:$C$400+機器台帳!$D$2:$D$400-1&gt;=42))&gt;1," 他"&amp;(SUMPRODUCT((機器台帳!$A$2:$A$400="E24-S8-4")*((機器台帳!$B$2:$B$400="前面")+(機器台帳!$B$2:$B$400="両面")&gt;0)*(機器台帳!$F$2:$F$400&lt;&gt;"")*(機器台帳!$C$2:$C$400&lt;=42)*(機器台帳!$C$2:$C$400+機器台帳!$D$2:$D$400-1&gt;=42))-1)&amp;"台",""))</f>
        <v/>
      </c>
      <c r="O9">
        <f>IF(SUMPRODUCT((機器台帳!$A$2:$A$400="E24-S8-4")*((機器台帳!$B$2:$B$400="前面")+(機器台帳!$B$2:$B$400="両面")&gt;0)*(機器台帳!$F$2:$F$400&lt;&gt;"")*(機器台帳!$C$2:$C$400&lt;=42)*(機器台帳!$C$2:$C$400+機器台帳!$D$2:$D$400-1&gt;=42))=0,"",INDEX(機器台帳!$I$2:$I$400,MATCH(1,INDEX((機器台帳!$A$2:$A$400="E24-S8-4")*((機器台帳!$B$2:$B$400="前面")+(機器台帳!$B$2:$B$400="両面")&gt;0)*(機器台帳!$F$2:$F$400&lt;&gt;"")*(機器台帳!$C$2:$C$400&lt;=42)*(機器台帳!$C$2:$C$400+機器台帳!$D$2:$D$400-1&gt;=42),0),0))&amp;IF(INDEX(機器台帳!$Y$2:$Y$400,MATCH(1,INDEX((機器台帳!$A$2:$A$400="E24-S8-4")*((機器台帳!$B$2:$B$400="前面")+(機器台帳!$B$2:$B$400="両面")&gt;0)*(機器台帳!$F$2:$F$400&lt;&gt;"")*(機器台帳!$C$2:$C$400&lt;=42)*(機器台帳!$C$2:$C$400+機器台帳!$D$2:$D$400-1&gt;=42),0),0))=0,"|未記入",""))</f>
        <v/>
      </c>
      <c r="P9" s="12">
        <f>IF(SUMPRODUCT((機器台帳!$A$2:$A$400="E24-S8-4")*((機器台帳!$B$2:$B$400="背面")+(機器台帳!$B$2:$B$400="両面")&gt;0)*(機器台帳!$F$2:$F$400&lt;&gt;"")*(機器台帳!$C$2:$C$400&lt;=42)*(機器台帳!$C$2:$C$400+機器台帳!$D$2:$D$400-1&gt;=42))=0,"",INDEX(機器台帳!$F$2:$F$400,MATCH(1,INDEX((機器台帳!$A$2:$A$400="E24-S8-4")*((機器台帳!$B$2:$B$400="背面")+(機器台帳!$B$2:$B$400="両面")&gt;0)*(機器台帳!$F$2:$F$400&lt;&gt;"")*(機器台帳!$C$2:$C$400&lt;=42)*(機器台帳!$C$2:$C$400+機器台帳!$D$2:$D$400-1&gt;=42),0),0))&amp;IF(INDEX(機器台帳!$G$2:$G$400,MATCH(1,INDEX((機器台帳!$A$2:$A$400="E24-S8-4")*((機器台帳!$B$2:$B$400="背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-4")*((機器台帳!$B$2:$B$400="背面")+(機器台帳!$B$2:$B$400="両面")&gt;0)*(機器台帳!$F$2:$F$400&lt;&gt;"")*(機器台帳!$C$2:$C$400&lt;=42)*(機器台帳!$C$2:$C$400+機器台帳!$D$2:$D$400-1&gt;=42),0),0)))&amp;IF(SUMPRODUCT((機器台帳!$A$2:$A$400="E24-S8-4")*((機器台帳!$B$2:$B$400="背面")+(機器台帳!$B$2:$B$400="両面")&gt;0)*(機器台帳!$F$2:$F$400&lt;&gt;"")*(機器台帳!$C$2:$C$400&lt;=42)*(機器台帳!$C$2:$C$400+機器台帳!$D$2:$D$400-1&gt;=42))&gt;1," 他"&amp;(SUMPRODUCT((機器台帳!$A$2:$A$400="E24-S8-4")*((機器台帳!$B$2:$B$400="背面")+(機器台帳!$B$2:$B$400="両面")&gt;0)*(機器台帳!$F$2:$F$400&lt;&gt;"")*(機器台帳!$C$2:$C$400&lt;=42)*(機器台帳!$C$2:$C$400+機器台帳!$D$2:$D$400-1&gt;=42))-1)&amp;"台",""))</f>
        <v/>
      </c>
      <c r="Q9">
        <f>IF(SUMPRODUCT((機器台帳!$A$2:$A$400="E24-S8-4")*((機器台帳!$B$2:$B$400="背面")+(機器台帳!$B$2:$B$400="両面")&gt;0)*(機器台帳!$F$2:$F$400&lt;&gt;"")*(機器台帳!$C$2:$C$400&lt;=42)*(機器台帳!$C$2:$C$400+機器台帳!$D$2:$D$400-1&gt;=42))=0,"",INDEX(機器台帳!$I$2:$I$400,MATCH(1,INDEX((機器台帳!$A$2:$A$400="E24-S8-4")*((機器台帳!$B$2:$B$400="背面")+(機器台帳!$B$2:$B$400="両面")&gt;0)*(機器台帳!$F$2:$F$400&lt;&gt;"")*(機器台帳!$C$2:$C$400&lt;=42)*(機器台帳!$C$2:$C$400+機器台帳!$D$2:$D$400-1&gt;=42),0),0))&amp;IF(INDEX(機器台帳!$Y$2:$Y$400,MATCH(1,INDEX((機器台帳!$A$2:$A$400="E24-S8-4")*((機器台帳!$B$2:$B$400="背面")+(機器台帳!$B$2:$B$400="両面")&gt;0)*(機器台帳!$F$2:$F$400&lt;&gt;"")*(機器台帳!$C$2:$C$400&lt;=42)*(機器台帳!$C$2:$C$400+機器台帳!$D$2:$D$400-1&gt;=42),0),0))=0,"|未記入",""))</f>
        <v/>
      </c>
      <c r="R9" s="12">
        <f>IF(SUMPRODUCT((機器台帳!$A$2:$A$400="E24-S8-5")*((機器台帳!$B$2:$B$400="前面")+(機器台帳!$B$2:$B$400="両面")&gt;0)*(機器台帳!$F$2:$F$400&lt;&gt;"")*(機器台帳!$C$2:$C$400&lt;=42)*(機器台帳!$C$2:$C$400+機器台帳!$D$2:$D$400-1&gt;=42))=0,"",INDEX(機器台帳!$F$2:$F$400,MATCH(1,INDEX((機器台帳!$A$2:$A$400="E24-S8-5")*((機器台帳!$B$2:$B$400="前面")+(機器台帳!$B$2:$B$400="両面")&gt;0)*(機器台帳!$F$2:$F$400&lt;&gt;"")*(機器台帳!$C$2:$C$400&lt;=42)*(機器台帳!$C$2:$C$400+機器台帳!$D$2:$D$400-1&gt;=42),0),0))&amp;IF(INDEX(機器台帳!$G$2:$G$400,MATCH(1,INDEX((機器台帳!$A$2:$A$400="E24-S8-5")*((機器台帳!$B$2:$B$400="前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-5")*((機器台帳!$B$2:$B$400="前面")+(機器台帳!$B$2:$B$400="両面")&gt;0)*(機器台帳!$F$2:$F$400&lt;&gt;"")*(機器台帳!$C$2:$C$400&lt;=42)*(機器台帳!$C$2:$C$400+機器台帳!$D$2:$D$400-1&gt;=42),0),0)))&amp;IF(SUMPRODUCT((機器台帳!$A$2:$A$400="E24-S8-5")*((機器台帳!$B$2:$B$400="前面")+(機器台帳!$B$2:$B$400="両面")&gt;0)*(機器台帳!$F$2:$F$400&lt;&gt;"")*(機器台帳!$C$2:$C$400&lt;=42)*(機器台帳!$C$2:$C$400+機器台帳!$D$2:$D$400-1&gt;=42))&gt;1," 他"&amp;(SUMPRODUCT((機器台帳!$A$2:$A$400="E24-S8-5")*((機器台帳!$B$2:$B$400="前面")+(機器台帳!$B$2:$B$400="両面")&gt;0)*(機器台帳!$F$2:$F$400&lt;&gt;"")*(機器台帳!$C$2:$C$400&lt;=42)*(機器台帳!$C$2:$C$400+機器台帳!$D$2:$D$400-1&gt;=42))-1)&amp;"台",""))</f>
        <v/>
      </c>
      <c r="S9">
        <f>IF(SUMPRODUCT((機器台帳!$A$2:$A$400="E24-S8-5")*((機器台帳!$B$2:$B$400="前面")+(機器台帳!$B$2:$B$400="両面")&gt;0)*(機器台帳!$F$2:$F$400&lt;&gt;"")*(機器台帳!$C$2:$C$400&lt;=42)*(機器台帳!$C$2:$C$400+機器台帳!$D$2:$D$400-1&gt;=42))=0,"",INDEX(機器台帳!$I$2:$I$400,MATCH(1,INDEX((機器台帳!$A$2:$A$400="E24-S8-5")*((機器台帳!$B$2:$B$400="前面")+(機器台帳!$B$2:$B$400="両面")&gt;0)*(機器台帳!$F$2:$F$400&lt;&gt;"")*(機器台帳!$C$2:$C$400&lt;=42)*(機器台帳!$C$2:$C$400+機器台帳!$D$2:$D$400-1&gt;=42),0),0))&amp;IF(INDEX(機器台帳!$Y$2:$Y$400,MATCH(1,INDEX((機器台帳!$A$2:$A$400="E24-S8-5")*((機器台帳!$B$2:$B$400="前面")+(機器台帳!$B$2:$B$400="両面")&gt;0)*(機器台帳!$F$2:$F$400&lt;&gt;"")*(機器台帳!$C$2:$C$400&lt;=42)*(機器台帳!$C$2:$C$400+機器台帳!$D$2:$D$400-1&gt;=42),0),0))=0,"|未記入",""))</f>
        <v/>
      </c>
      <c r="T9" s="12">
        <f>IF(SUMPRODUCT((機器台帳!$A$2:$A$400="E24-S8-5")*((機器台帳!$B$2:$B$400="背面")+(機器台帳!$B$2:$B$400="両面")&gt;0)*(機器台帳!$F$2:$F$400&lt;&gt;"")*(機器台帳!$C$2:$C$400&lt;=42)*(機器台帳!$C$2:$C$400+機器台帳!$D$2:$D$400-1&gt;=42))=0,"",INDEX(機器台帳!$F$2:$F$400,MATCH(1,INDEX((機器台帳!$A$2:$A$400="E24-S8-5")*((機器台帳!$B$2:$B$400="背面")+(機器台帳!$B$2:$B$400="両面")&gt;0)*(機器台帳!$F$2:$F$400&lt;&gt;"")*(機器台帳!$C$2:$C$400&lt;=42)*(機器台帳!$C$2:$C$400+機器台帳!$D$2:$D$400-1&gt;=42),0),0))&amp;IF(INDEX(機器台帳!$G$2:$G$400,MATCH(1,INDEX((機器台帳!$A$2:$A$400="E24-S8-5")*((機器台帳!$B$2:$B$400="背面")+(機器台帳!$B$2:$B$400="両面")&gt;0)*(機器台帳!$F$2:$F$400&lt;&gt;"")*(機器台帳!$C$2:$C$400&lt;=42)*(機器台帳!$C$2:$C$400+機器台帳!$D$2:$D$400-1&gt;=42),0),0))=""," "," "&amp;INDEX(機器台帳!$G$2:$G$400,MATCH(1,INDEX((機器台帳!$A$2:$A$400="E24-S8-5")*((機器台帳!$B$2:$B$400="背面")+(機器台帳!$B$2:$B$400="両面")&gt;0)*(機器台帳!$F$2:$F$400&lt;&gt;"")*(機器台帳!$C$2:$C$400&lt;=42)*(機器台帳!$C$2:$C$400+機器台帳!$D$2:$D$400-1&gt;=42),0),0)))&amp;IF(SUMPRODUCT((機器台帳!$A$2:$A$400="E24-S8-5")*((機器台帳!$B$2:$B$400="背面")+(機器台帳!$B$2:$B$400="両面")&gt;0)*(機器台帳!$F$2:$F$400&lt;&gt;"")*(機器台帳!$C$2:$C$400&lt;=42)*(機器台帳!$C$2:$C$400+機器台帳!$D$2:$D$400-1&gt;=42))&gt;1," 他"&amp;(SUMPRODUCT((機器台帳!$A$2:$A$400="E24-S8-5")*((機器台帳!$B$2:$B$400="背面")+(機器台帳!$B$2:$B$400="両面")&gt;0)*(機器台帳!$F$2:$F$400&lt;&gt;"")*(機器台帳!$C$2:$C$400&lt;=42)*(機器台帳!$C$2:$C$400+機器台帳!$D$2:$D$400-1&gt;=42))-1)&amp;"台",""))</f>
        <v/>
      </c>
      <c r="U9">
        <f>IF(SUMPRODUCT((機器台帳!$A$2:$A$400="E24-S8-5")*((機器台帳!$B$2:$B$400="背面")+(機器台帳!$B$2:$B$400="両面")&gt;0)*(機器台帳!$F$2:$F$400&lt;&gt;"")*(機器台帳!$C$2:$C$400&lt;=42)*(機器台帳!$C$2:$C$400+機器台帳!$D$2:$D$400-1&gt;=42))=0,"",INDEX(機器台帳!$I$2:$I$400,MATCH(1,INDEX((機器台帳!$A$2:$A$400="E24-S8-5")*((機器台帳!$B$2:$B$400="背面")+(機器台帳!$B$2:$B$400="両面")&gt;0)*(機器台帳!$F$2:$F$400&lt;&gt;"")*(機器台帳!$C$2:$C$400&lt;=42)*(機器台帳!$C$2:$C$400+機器台帳!$D$2:$D$400-1&gt;=42),0),0))&amp;IF(INDEX(機器台帳!$Y$2:$Y$400,MATCH(1,INDEX((機器台帳!$A$2:$A$400="E24-S8-5")*((機器台帳!$B$2:$B$400="背面")+(機器台帳!$B$2:$B$400="両面")&gt;0)*(機器台帳!$F$2:$F$400&lt;&gt;"")*(機器台帳!$C$2:$C$400&lt;=42)*(機器台帳!$C$2:$C$400+機器台帳!$D$2:$D$400-1&gt;=42),0),0))=0,"|未記入",""))</f>
        <v/>
      </c>
      <c r="V9" s="12">
        <f>IF(SUMPRODUCT((機器台帳!$A$2:$A$400="E24-S6-1")*((機器台帳!$B$2:$B$400="前面")+(機器台帳!$B$2:$B$400="両面")&gt;0)*(機器台帳!$F$2:$F$400&lt;&gt;"")*(機器台帳!$C$2:$C$400&lt;=42)*(機器台帳!$C$2:$C$400+機器台帳!$D$2:$D$400-1&gt;=42))=0,"",INDEX(機器台帳!$F$2:$F$400,MATCH(1,INDEX((機器台帳!$A$2:$A$400="E24-S6-1")*((機器台帳!$B$2:$B$400="前面")+(機器台帳!$B$2:$B$400="両面")&gt;0)*(機器台帳!$F$2:$F$400&lt;&gt;"")*(機器台帳!$C$2:$C$400&lt;=42)*(機器台帳!$C$2:$C$400+機器台帳!$D$2:$D$400-1&gt;=42),0),0))&amp;IF(INDEX(機器台帳!$G$2:$G$400,MATCH(1,INDEX((機器台帳!$A$2:$A$400="E24-S6-1")*((機器台帳!$B$2:$B$400="前面")+(機器台帳!$B$2:$B$400="両面")&gt;0)*(機器台帳!$F$2:$F$400&lt;&gt;"")*(機器台帳!$C$2:$C$400&lt;=42)*(機器台帳!$C$2:$C$400+機器台帳!$D$2:$D$400-1&gt;=42),0),0))=""," "," "&amp;INDEX(機器台帳!$G$2:$G$400,MATCH(1,INDEX((機器台帳!$A$2:$A$400="E24-S6-1")*((機器台帳!$B$2:$B$400="前面")+(機器台帳!$B$2:$B$400="両面")&gt;0)*(機器台帳!$F$2:$F$400&lt;&gt;"")*(機器台帳!$C$2:$C$400&lt;=42)*(機器台帳!$C$2:$C$400+機器台帳!$D$2:$D$400-1&gt;=42),0),0)))&amp;IF(SUMPRODUCT((機器台帳!$A$2:$A$400="E24-S6-1")*((機器台帳!$B$2:$B$400="前面")+(機器台帳!$B$2:$B$400="両面")&gt;0)*(機器台帳!$F$2:$F$400&lt;&gt;"")*(機器台帳!$C$2:$C$400&lt;=42)*(機器台帳!$C$2:$C$400+機器台帳!$D$2:$D$400-1&gt;=42))&gt;1," 他"&amp;(SUMPRODUCT((機器台帳!$A$2:$A$400="E24-S6-1")*((機器台帳!$B$2:$B$400="前面")+(機器台帳!$B$2:$B$400="両面")&gt;0)*(機器台帳!$F$2:$F$400&lt;&gt;"")*(機器台帳!$C$2:$C$400&lt;=42)*(機器台帳!$C$2:$C$400+機器台帳!$D$2:$D$400-1&gt;=42))-1)&amp;"台",""))</f>
        <v/>
      </c>
      <c r="W9">
        <f>IF(SUMPRODUCT((機器台帳!$A$2:$A$400="E24-S6-1")*((機器台帳!$B$2:$B$400="前面")+(機器台帳!$B$2:$B$400="両面")&gt;0)*(機器台帳!$F$2:$F$400&lt;&gt;"")*(機器台帳!$C$2:$C$400&lt;=42)*(機器台帳!$C$2:$C$400+機器台帳!$D$2:$D$400-1&gt;=42))=0,"",INDEX(機器台帳!$I$2:$I$400,MATCH(1,INDEX((機器台帳!$A$2:$A$400="E24-S6-1")*((機器台帳!$B$2:$B$400="前面")+(機器台帳!$B$2:$B$400="両面")&gt;0)*(機器台帳!$F$2:$F$400&lt;&gt;"")*(機器台帳!$C$2:$C$400&lt;=42)*(機器台帳!$C$2:$C$400+機器台帳!$D$2:$D$400-1&gt;=42),0),0))&amp;IF(INDEX(機器台帳!$Y$2:$Y$400,MATCH(1,INDEX((機器台帳!$A$2:$A$400="E24-S6-1")*((機器台帳!$B$2:$B$400="前面")+(機器台帳!$B$2:$B$400="両面")&gt;0)*(機器台帳!$F$2:$F$400&lt;&gt;"")*(機器台帳!$C$2:$C$400&lt;=42)*(機器台帳!$C$2:$C$400+機器台帳!$D$2:$D$400-1&gt;=42),0),0))=0,"|未記入",""))</f>
        <v/>
      </c>
      <c r="X9" s="12">
        <f>IF(SUMPRODUCT((機器台帳!$A$2:$A$400="E24-S6-1")*((機器台帳!$B$2:$B$400="背面")+(機器台帳!$B$2:$B$400="両面")&gt;0)*(機器台帳!$F$2:$F$400&lt;&gt;"")*(機器台帳!$C$2:$C$400&lt;=42)*(機器台帳!$C$2:$C$400+機器台帳!$D$2:$D$400-1&gt;=42))=0,"",INDEX(機器台帳!$F$2:$F$400,MATCH(1,INDEX((機器台帳!$A$2:$A$400="E24-S6-1")*((機器台帳!$B$2:$B$400="背面")+(機器台帳!$B$2:$B$400="両面")&gt;0)*(機器台帳!$F$2:$F$400&lt;&gt;"")*(機器台帳!$C$2:$C$400&lt;=42)*(機器台帳!$C$2:$C$400+機器台帳!$D$2:$D$400-1&gt;=42),0),0))&amp;IF(INDEX(機器台帳!$G$2:$G$400,MATCH(1,INDEX((機器台帳!$A$2:$A$400="E24-S6-1")*((機器台帳!$B$2:$B$400="背面")+(機器台帳!$B$2:$B$400="両面")&gt;0)*(機器台帳!$F$2:$F$400&lt;&gt;"")*(機器台帳!$C$2:$C$400&lt;=42)*(機器台帳!$C$2:$C$400+機器台帳!$D$2:$D$400-1&gt;=42),0),0))=""," "," "&amp;INDEX(機器台帳!$G$2:$G$400,MATCH(1,INDEX((機器台帳!$A$2:$A$400="E24-S6-1")*((機器台帳!$B$2:$B$400="背面")+(機器台帳!$B$2:$B$400="両面")&gt;0)*(機器台帳!$F$2:$F$400&lt;&gt;"")*(機器台帳!$C$2:$C$400&lt;=42)*(機器台帳!$C$2:$C$400+機器台帳!$D$2:$D$400-1&gt;=42),0),0)))&amp;IF(SUMPRODUCT((機器台帳!$A$2:$A$400="E24-S6-1")*((機器台帳!$B$2:$B$400="背面")+(機器台帳!$B$2:$B$400="両面")&gt;0)*(機器台帳!$F$2:$F$400&lt;&gt;"")*(機器台帳!$C$2:$C$400&lt;=42)*(機器台帳!$C$2:$C$400+機器台帳!$D$2:$D$400-1&gt;=42))&gt;1," 他"&amp;(SUMPRODUCT((機器台帳!$A$2:$A$400="E24-S6-1")*((機器台帳!$B$2:$B$400="背面")+(機器台帳!$B$2:$B$400="両面")&gt;0)*(機器台帳!$F$2:$F$400&lt;&gt;"")*(機器台帳!$C$2:$C$400&lt;=42)*(機器台帳!$C$2:$C$400+機器台帳!$D$2:$D$400-1&gt;=42))-1)&amp;"台",""))</f>
        <v/>
      </c>
      <c r="Y9">
        <f>IF(SUMPRODUCT((機器台帳!$A$2:$A$400="E24-S6-1")*((機器台帳!$B$2:$B$400="背面")+(機器台帳!$B$2:$B$400="両面")&gt;0)*(機器台帳!$F$2:$F$400&lt;&gt;"")*(機器台帳!$C$2:$C$400&lt;=42)*(機器台帳!$C$2:$C$400+機器台帳!$D$2:$D$400-1&gt;=42))=0,"",INDEX(機器台帳!$I$2:$I$400,MATCH(1,INDEX((機器台帳!$A$2:$A$400="E24-S6-1")*((機器台帳!$B$2:$B$400="背面")+(機器台帳!$B$2:$B$400="両面")&gt;0)*(機器台帳!$F$2:$F$400&lt;&gt;"")*(機器台帳!$C$2:$C$400&lt;=42)*(機器台帳!$C$2:$C$400+機器台帳!$D$2:$D$400-1&gt;=42),0),0))&amp;IF(INDEX(機器台帳!$Y$2:$Y$400,MATCH(1,INDEX((機器台帳!$A$2:$A$400="E24-S6-1")*((機器台帳!$B$2:$B$400="背面")+(機器台帳!$B$2:$B$400="両面")&gt;0)*(機器台帳!$F$2:$F$400&lt;&gt;"")*(機器台帳!$C$2:$C$400&lt;=42)*(機器台帳!$C$2:$C$400+機器台帳!$D$2:$D$400-1&gt;=42),0),0))=0,"|未記入",""))</f>
        <v/>
      </c>
    </row>
    <row r="10">
      <c r="A10" s="11" t="n">
        <v>41</v>
      </c>
      <c r="B10" s="12">
        <f>IF(SUMPRODUCT((機器台帳!$A$2:$A$400="E24-S8-1")*((機器台帳!$B$2:$B$400="前面")+(機器台帳!$B$2:$B$400="両面")&gt;0)*(機器台帳!$F$2:$F$400&lt;&gt;"")*(機器台帳!$C$2:$C$400&lt;=41)*(機器台帳!$C$2:$C$400+機器台帳!$D$2:$D$400-1&gt;=41))=0,"",INDEX(機器台帳!$F$2:$F$400,MATCH(1,INDEX((機器台帳!$A$2:$A$400="E24-S8-1")*((機器台帳!$B$2:$B$400="前面")+(機器台帳!$B$2:$B$400="両面")&gt;0)*(機器台帳!$F$2:$F$400&lt;&gt;"")*(機器台帳!$C$2:$C$400&lt;=41)*(機器台帳!$C$2:$C$400+機器台帳!$D$2:$D$400-1&gt;=41),0),0))&amp;IF(INDEX(機器台帳!$G$2:$G$400,MATCH(1,INDEX((機器台帳!$A$2:$A$400="E24-S8-1")*((機器台帳!$B$2:$B$400="前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-1")*((機器台帳!$B$2:$B$400="前面")+(機器台帳!$B$2:$B$400="両面")&gt;0)*(機器台帳!$F$2:$F$400&lt;&gt;"")*(機器台帳!$C$2:$C$400&lt;=41)*(機器台帳!$C$2:$C$400+機器台帳!$D$2:$D$400-1&gt;=41),0),0)))&amp;IF(SUMPRODUCT((機器台帳!$A$2:$A$400="E24-S8-1")*((機器台帳!$B$2:$B$400="前面")+(機器台帳!$B$2:$B$400="両面")&gt;0)*(機器台帳!$F$2:$F$400&lt;&gt;"")*(機器台帳!$C$2:$C$400&lt;=41)*(機器台帳!$C$2:$C$400+機器台帳!$D$2:$D$400-1&gt;=41))&gt;1," 他"&amp;(SUMPRODUCT((機器台帳!$A$2:$A$400="E24-S8-1")*((機器台帳!$B$2:$B$400="前面")+(機器台帳!$B$2:$B$400="両面")&gt;0)*(機器台帳!$F$2:$F$400&lt;&gt;"")*(機器台帳!$C$2:$C$400&lt;=41)*(機器台帳!$C$2:$C$400+機器台帳!$D$2:$D$400-1&gt;=41))-1)&amp;"台",""))</f>
        <v/>
      </c>
      <c r="C10">
        <f>IF(SUMPRODUCT((機器台帳!$A$2:$A$400="E24-S8-1")*((機器台帳!$B$2:$B$400="前面")+(機器台帳!$B$2:$B$400="両面")&gt;0)*(機器台帳!$F$2:$F$400&lt;&gt;"")*(機器台帳!$C$2:$C$400&lt;=41)*(機器台帳!$C$2:$C$400+機器台帳!$D$2:$D$400-1&gt;=41))=0,"",INDEX(機器台帳!$I$2:$I$400,MATCH(1,INDEX((機器台帳!$A$2:$A$400="E24-S8-1")*((機器台帳!$B$2:$B$400="前面")+(機器台帳!$B$2:$B$400="両面")&gt;0)*(機器台帳!$F$2:$F$400&lt;&gt;"")*(機器台帳!$C$2:$C$400&lt;=41)*(機器台帳!$C$2:$C$400+機器台帳!$D$2:$D$400-1&gt;=41),0),0))&amp;IF(INDEX(機器台帳!$Y$2:$Y$400,MATCH(1,INDEX((機器台帳!$A$2:$A$400="E24-S8-1")*((機器台帳!$B$2:$B$400="前面")+(機器台帳!$B$2:$B$400="両面")&gt;0)*(機器台帳!$F$2:$F$400&lt;&gt;"")*(機器台帳!$C$2:$C$400&lt;=41)*(機器台帳!$C$2:$C$400+機器台帳!$D$2:$D$400-1&gt;=41),0),0))=0,"|未記入",""))</f>
        <v/>
      </c>
      <c r="D10" s="12">
        <f>IF(SUMPRODUCT((機器台帳!$A$2:$A$400="E24-S8-1")*((機器台帳!$B$2:$B$400="背面")+(機器台帳!$B$2:$B$400="両面")&gt;0)*(機器台帳!$F$2:$F$400&lt;&gt;"")*(機器台帳!$C$2:$C$400&lt;=41)*(機器台帳!$C$2:$C$400+機器台帳!$D$2:$D$400-1&gt;=41))=0,"",INDEX(機器台帳!$F$2:$F$400,MATCH(1,INDEX((機器台帳!$A$2:$A$400="E24-S8-1")*((機器台帳!$B$2:$B$400="背面")+(機器台帳!$B$2:$B$400="両面")&gt;0)*(機器台帳!$F$2:$F$400&lt;&gt;"")*(機器台帳!$C$2:$C$400&lt;=41)*(機器台帳!$C$2:$C$400+機器台帳!$D$2:$D$400-1&gt;=41),0),0))&amp;IF(INDEX(機器台帳!$G$2:$G$400,MATCH(1,INDEX((機器台帳!$A$2:$A$400="E24-S8-1")*((機器台帳!$B$2:$B$400="背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-1")*((機器台帳!$B$2:$B$400="背面")+(機器台帳!$B$2:$B$400="両面")&gt;0)*(機器台帳!$F$2:$F$400&lt;&gt;"")*(機器台帳!$C$2:$C$400&lt;=41)*(機器台帳!$C$2:$C$400+機器台帳!$D$2:$D$400-1&gt;=41),0),0)))&amp;IF(SUMPRODUCT((機器台帳!$A$2:$A$400="E24-S8-1")*((機器台帳!$B$2:$B$400="背面")+(機器台帳!$B$2:$B$400="両面")&gt;0)*(機器台帳!$F$2:$F$400&lt;&gt;"")*(機器台帳!$C$2:$C$400&lt;=41)*(機器台帳!$C$2:$C$400+機器台帳!$D$2:$D$400-1&gt;=41))&gt;1," 他"&amp;(SUMPRODUCT((機器台帳!$A$2:$A$400="E24-S8-1")*((機器台帳!$B$2:$B$400="背面")+(機器台帳!$B$2:$B$400="両面")&gt;0)*(機器台帳!$F$2:$F$400&lt;&gt;"")*(機器台帳!$C$2:$C$400&lt;=41)*(機器台帳!$C$2:$C$400+機器台帳!$D$2:$D$400-1&gt;=41))-1)&amp;"台",""))</f>
        <v/>
      </c>
      <c r="E10">
        <f>IF(SUMPRODUCT((機器台帳!$A$2:$A$400="E24-S8-1")*((機器台帳!$B$2:$B$400="背面")+(機器台帳!$B$2:$B$400="両面")&gt;0)*(機器台帳!$F$2:$F$400&lt;&gt;"")*(機器台帳!$C$2:$C$400&lt;=41)*(機器台帳!$C$2:$C$400+機器台帳!$D$2:$D$400-1&gt;=41))=0,"",INDEX(機器台帳!$I$2:$I$400,MATCH(1,INDEX((機器台帳!$A$2:$A$400="E24-S8-1")*((機器台帳!$B$2:$B$400="背面")+(機器台帳!$B$2:$B$400="両面")&gt;0)*(機器台帳!$F$2:$F$400&lt;&gt;"")*(機器台帳!$C$2:$C$400&lt;=41)*(機器台帳!$C$2:$C$400+機器台帳!$D$2:$D$400-1&gt;=41),0),0))&amp;IF(INDEX(機器台帳!$Y$2:$Y$400,MATCH(1,INDEX((機器台帳!$A$2:$A$400="E24-S8-1")*((機器台帳!$B$2:$B$400="背面")+(機器台帳!$B$2:$B$400="両面")&gt;0)*(機器台帳!$F$2:$F$400&lt;&gt;"")*(機器台帳!$C$2:$C$400&lt;=41)*(機器台帳!$C$2:$C$400+機器台帳!$D$2:$D$400-1&gt;=41),0),0))=0,"|未記入",""))</f>
        <v/>
      </c>
      <c r="F10" s="12">
        <f>IF(SUMPRODUCT((機器台帳!$A$2:$A$400="E24-S8-2")*((機器台帳!$B$2:$B$400="前面")+(機器台帳!$B$2:$B$400="両面")&gt;0)*(機器台帳!$F$2:$F$400&lt;&gt;"")*(機器台帳!$C$2:$C$400&lt;=41)*(機器台帳!$C$2:$C$400+機器台帳!$D$2:$D$400-1&gt;=41))=0,"",INDEX(機器台帳!$F$2:$F$400,MATCH(1,INDEX((機器台帳!$A$2:$A$400="E24-S8-2")*((機器台帳!$B$2:$B$400="前面")+(機器台帳!$B$2:$B$400="両面")&gt;0)*(機器台帳!$F$2:$F$400&lt;&gt;"")*(機器台帳!$C$2:$C$400&lt;=41)*(機器台帳!$C$2:$C$400+機器台帳!$D$2:$D$400-1&gt;=41),0),0))&amp;IF(INDEX(機器台帳!$G$2:$G$400,MATCH(1,INDEX((機器台帳!$A$2:$A$400="E24-S8-2")*((機器台帳!$B$2:$B$400="前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-2")*((機器台帳!$B$2:$B$400="前面")+(機器台帳!$B$2:$B$400="両面")&gt;0)*(機器台帳!$F$2:$F$400&lt;&gt;"")*(機器台帳!$C$2:$C$400&lt;=41)*(機器台帳!$C$2:$C$400+機器台帳!$D$2:$D$400-1&gt;=41),0),0)))&amp;IF(SUMPRODUCT((機器台帳!$A$2:$A$400="E24-S8-2")*((機器台帳!$B$2:$B$400="前面")+(機器台帳!$B$2:$B$400="両面")&gt;0)*(機器台帳!$F$2:$F$400&lt;&gt;"")*(機器台帳!$C$2:$C$400&lt;=41)*(機器台帳!$C$2:$C$400+機器台帳!$D$2:$D$400-1&gt;=41))&gt;1," 他"&amp;(SUMPRODUCT((機器台帳!$A$2:$A$400="E24-S8-2")*((機器台帳!$B$2:$B$400="前面")+(機器台帳!$B$2:$B$400="両面")&gt;0)*(機器台帳!$F$2:$F$400&lt;&gt;"")*(機器台帳!$C$2:$C$400&lt;=41)*(機器台帳!$C$2:$C$400+機器台帳!$D$2:$D$400-1&gt;=41))-1)&amp;"台",""))</f>
        <v/>
      </c>
      <c r="G10">
        <f>IF(SUMPRODUCT((機器台帳!$A$2:$A$400="E24-S8-2")*((機器台帳!$B$2:$B$400="前面")+(機器台帳!$B$2:$B$400="両面")&gt;0)*(機器台帳!$F$2:$F$400&lt;&gt;"")*(機器台帳!$C$2:$C$400&lt;=41)*(機器台帳!$C$2:$C$400+機器台帳!$D$2:$D$400-1&gt;=41))=0,"",INDEX(機器台帳!$I$2:$I$400,MATCH(1,INDEX((機器台帳!$A$2:$A$400="E24-S8-2")*((機器台帳!$B$2:$B$400="前面")+(機器台帳!$B$2:$B$400="両面")&gt;0)*(機器台帳!$F$2:$F$400&lt;&gt;"")*(機器台帳!$C$2:$C$400&lt;=41)*(機器台帳!$C$2:$C$400+機器台帳!$D$2:$D$400-1&gt;=41),0),0))&amp;IF(INDEX(機器台帳!$Y$2:$Y$400,MATCH(1,INDEX((機器台帳!$A$2:$A$400="E24-S8-2")*((機器台帳!$B$2:$B$400="前面")+(機器台帳!$B$2:$B$400="両面")&gt;0)*(機器台帳!$F$2:$F$400&lt;&gt;"")*(機器台帳!$C$2:$C$400&lt;=41)*(機器台帳!$C$2:$C$400+機器台帳!$D$2:$D$400-1&gt;=41),0),0))=0,"|未記入",""))</f>
        <v/>
      </c>
      <c r="H10" s="12">
        <f>IF(SUMPRODUCT((機器台帳!$A$2:$A$400="E24-S8-2")*((機器台帳!$B$2:$B$400="背面")+(機器台帳!$B$2:$B$400="両面")&gt;0)*(機器台帳!$F$2:$F$400&lt;&gt;"")*(機器台帳!$C$2:$C$400&lt;=41)*(機器台帳!$C$2:$C$400+機器台帳!$D$2:$D$400-1&gt;=41))=0,"",INDEX(機器台帳!$F$2:$F$400,MATCH(1,INDEX((機器台帳!$A$2:$A$400="E24-S8-2")*((機器台帳!$B$2:$B$400="背面")+(機器台帳!$B$2:$B$400="両面")&gt;0)*(機器台帳!$F$2:$F$400&lt;&gt;"")*(機器台帳!$C$2:$C$400&lt;=41)*(機器台帳!$C$2:$C$400+機器台帳!$D$2:$D$400-1&gt;=41),0),0))&amp;IF(INDEX(機器台帳!$G$2:$G$400,MATCH(1,INDEX((機器台帳!$A$2:$A$400="E24-S8-2")*((機器台帳!$B$2:$B$400="背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-2")*((機器台帳!$B$2:$B$400="背面")+(機器台帳!$B$2:$B$400="両面")&gt;0)*(機器台帳!$F$2:$F$400&lt;&gt;"")*(機器台帳!$C$2:$C$400&lt;=41)*(機器台帳!$C$2:$C$400+機器台帳!$D$2:$D$400-1&gt;=41),0),0)))&amp;IF(SUMPRODUCT((機器台帳!$A$2:$A$400="E24-S8-2")*((機器台帳!$B$2:$B$400="背面")+(機器台帳!$B$2:$B$400="両面")&gt;0)*(機器台帳!$F$2:$F$400&lt;&gt;"")*(機器台帳!$C$2:$C$400&lt;=41)*(機器台帳!$C$2:$C$400+機器台帳!$D$2:$D$400-1&gt;=41))&gt;1," 他"&amp;(SUMPRODUCT((機器台帳!$A$2:$A$400="E24-S8-2")*((機器台帳!$B$2:$B$400="背面")+(機器台帳!$B$2:$B$400="両面")&gt;0)*(機器台帳!$F$2:$F$400&lt;&gt;"")*(機器台帳!$C$2:$C$400&lt;=41)*(機器台帳!$C$2:$C$400+機器台帳!$D$2:$D$400-1&gt;=41))-1)&amp;"台",""))</f>
        <v/>
      </c>
      <c r="I10">
        <f>IF(SUMPRODUCT((機器台帳!$A$2:$A$400="E24-S8-2")*((機器台帳!$B$2:$B$400="背面")+(機器台帳!$B$2:$B$400="両面")&gt;0)*(機器台帳!$F$2:$F$400&lt;&gt;"")*(機器台帳!$C$2:$C$400&lt;=41)*(機器台帳!$C$2:$C$400+機器台帳!$D$2:$D$400-1&gt;=41))=0,"",INDEX(機器台帳!$I$2:$I$400,MATCH(1,INDEX((機器台帳!$A$2:$A$400="E24-S8-2")*((機器台帳!$B$2:$B$400="背面")+(機器台帳!$B$2:$B$400="両面")&gt;0)*(機器台帳!$F$2:$F$400&lt;&gt;"")*(機器台帳!$C$2:$C$400&lt;=41)*(機器台帳!$C$2:$C$400+機器台帳!$D$2:$D$400-1&gt;=41),0),0))&amp;IF(INDEX(機器台帳!$Y$2:$Y$400,MATCH(1,INDEX((機器台帳!$A$2:$A$400="E24-S8-2")*((機器台帳!$B$2:$B$400="背面")+(機器台帳!$B$2:$B$400="両面")&gt;0)*(機器台帳!$F$2:$F$400&lt;&gt;"")*(機器台帳!$C$2:$C$400&lt;=41)*(機器台帳!$C$2:$C$400+機器台帳!$D$2:$D$400-1&gt;=41),0),0))=0,"|未記入",""))</f>
        <v/>
      </c>
      <c r="J10" s="12">
        <f>IF(SUMPRODUCT((機器台帳!$A$2:$A$400="E24-S8-3")*((機器台帳!$B$2:$B$400="前面")+(機器台帳!$B$2:$B$400="両面")&gt;0)*(機器台帳!$F$2:$F$400&lt;&gt;"")*(機器台帳!$C$2:$C$400&lt;=41)*(機器台帳!$C$2:$C$400+機器台帳!$D$2:$D$400-1&gt;=41))=0,"",INDEX(機器台帳!$F$2:$F$400,MATCH(1,INDEX((機器台帳!$A$2:$A$400="E24-S8-3")*((機器台帳!$B$2:$B$400="前面")+(機器台帳!$B$2:$B$400="両面")&gt;0)*(機器台帳!$F$2:$F$400&lt;&gt;"")*(機器台帳!$C$2:$C$400&lt;=41)*(機器台帳!$C$2:$C$400+機器台帳!$D$2:$D$400-1&gt;=41),0),0))&amp;IF(INDEX(機器台帳!$G$2:$G$400,MATCH(1,INDEX((機器台帳!$A$2:$A$400="E24-S8-3")*((機器台帳!$B$2:$B$400="前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-3")*((機器台帳!$B$2:$B$400="前面")+(機器台帳!$B$2:$B$400="両面")&gt;0)*(機器台帳!$F$2:$F$400&lt;&gt;"")*(機器台帳!$C$2:$C$400&lt;=41)*(機器台帳!$C$2:$C$400+機器台帳!$D$2:$D$400-1&gt;=41),0),0)))&amp;IF(SUMPRODUCT((機器台帳!$A$2:$A$400="E24-S8-3")*((機器台帳!$B$2:$B$400="前面")+(機器台帳!$B$2:$B$400="両面")&gt;0)*(機器台帳!$F$2:$F$400&lt;&gt;"")*(機器台帳!$C$2:$C$400&lt;=41)*(機器台帳!$C$2:$C$400+機器台帳!$D$2:$D$400-1&gt;=41))&gt;1," 他"&amp;(SUMPRODUCT((機器台帳!$A$2:$A$400="E24-S8-3")*((機器台帳!$B$2:$B$400="前面")+(機器台帳!$B$2:$B$400="両面")&gt;0)*(機器台帳!$F$2:$F$400&lt;&gt;"")*(機器台帳!$C$2:$C$400&lt;=41)*(機器台帳!$C$2:$C$400+機器台帳!$D$2:$D$400-1&gt;=41))-1)&amp;"台",""))</f>
        <v/>
      </c>
      <c r="K10">
        <f>IF(SUMPRODUCT((機器台帳!$A$2:$A$400="E24-S8-3")*((機器台帳!$B$2:$B$400="前面")+(機器台帳!$B$2:$B$400="両面")&gt;0)*(機器台帳!$F$2:$F$400&lt;&gt;"")*(機器台帳!$C$2:$C$400&lt;=41)*(機器台帳!$C$2:$C$400+機器台帳!$D$2:$D$400-1&gt;=41))=0,"",INDEX(機器台帳!$I$2:$I$400,MATCH(1,INDEX((機器台帳!$A$2:$A$400="E24-S8-3")*((機器台帳!$B$2:$B$400="前面")+(機器台帳!$B$2:$B$400="両面")&gt;0)*(機器台帳!$F$2:$F$400&lt;&gt;"")*(機器台帳!$C$2:$C$400&lt;=41)*(機器台帳!$C$2:$C$400+機器台帳!$D$2:$D$400-1&gt;=41),0),0))&amp;IF(INDEX(機器台帳!$Y$2:$Y$400,MATCH(1,INDEX((機器台帳!$A$2:$A$400="E24-S8-3")*((機器台帳!$B$2:$B$400="前面")+(機器台帳!$B$2:$B$400="両面")&gt;0)*(機器台帳!$F$2:$F$400&lt;&gt;"")*(機器台帳!$C$2:$C$400&lt;=41)*(機器台帳!$C$2:$C$400+機器台帳!$D$2:$D$400-1&gt;=41),0),0))=0,"|未記入",""))</f>
        <v/>
      </c>
      <c r="L10" s="12">
        <f>IF(SUMPRODUCT((機器台帳!$A$2:$A$400="E24-S8-3")*((機器台帳!$B$2:$B$400="背面")+(機器台帳!$B$2:$B$400="両面")&gt;0)*(機器台帳!$F$2:$F$400&lt;&gt;"")*(機器台帳!$C$2:$C$400&lt;=41)*(機器台帳!$C$2:$C$400+機器台帳!$D$2:$D$400-1&gt;=41))=0,"",INDEX(機器台帳!$F$2:$F$400,MATCH(1,INDEX((機器台帳!$A$2:$A$400="E24-S8-3")*((機器台帳!$B$2:$B$400="背面")+(機器台帳!$B$2:$B$400="両面")&gt;0)*(機器台帳!$F$2:$F$400&lt;&gt;"")*(機器台帳!$C$2:$C$400&lt;=41)*(機器台帳!$C$2:$C$400+機器台帳!$D$2:$D$400-1&gt;=41),0),0))&amp;IF(INDEX(機器台帳!$G$2:$G$400,MATCH(1,INDEX((機器台帳!$A$2:$A$400="E24-S8-3")*((機器台帳!$B$2:$B$400="背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-3")*((機器台帳!$B$2:$B$400="背面")+(機器台帳!$B$2:$B$400="両面")&gt;0)*(機器台帳!$F$2:$F$400&lt;&gt;"")*(機器台帳!$C$2:$C$400&lt;=41)*(機器台帳!$C$2:$C$400+機器台帳!$D$2:$D$400-1&gt;=41),0),0)))&amp;IF(SUMPRODUCT((機器台帳!$A$2:$A$400="E24-S8-3")*((機器台帳!$B$2:$B$400="背面")+(機器台帳!$B$2:$B$400="両面")&gt;0)*(機器台帳!$F$2:$F$400&lt;&gt;"")*(機器台帳!$C$2:$C$400&lt;=41)*(機器台帳!$C$2:$C$400+機器台帳!$D$2:$D$400-1&gt;=41))&gt;1," 他"&amp;(SUMPRODUCT((機器台帳!$A$2:$A$400="E24-S8-3")*((機器台帳!$B$2:$B$400="背面")+(機器台帳!$B$2:$B$400="両面")&gt;0)*(機器台帳!$F$2:$F$400&lt;&gt;"")*(機器台帳!$C$2:$C$400&lt;=41)*(機器台帳!$C$2:$C$400+機器台帳!$D$2:$D$400-1&gt;=41))-1)&amp;"台",""))</f>
        <v/>
      </c>
      <c r="M10">
        <f>IF(SUMPRODUCT((機器台帳!$A$2:$A$400="E24-S8-3")*((機器台帳!$B$2:$B$400="背面")+(機器台帳!$B$2:$B$400="両面")&gt;0)*(機器台帳!$F$2:$F$400&lt;&gt;"")*(機器台帳!$C$2:$C$400&lt;=41)*(機器台帳!$C$2:$C$400+機器台帳!$D$2:$D$400-1&gt;=41))=0,"",INDEX(機器台帳!$I$2:$I$400,MATCH(1,INDEX((機器台帳!$A$2:$A$400="E24-S8-3")*((機器台帳!$B$2:$B$400="背面")+(機器台帳!$B$2:$B$400="両面")&gt;0)*(機器台帳!$F$2:$F$400&lt;&gt;"")*(機器台帳!$C$2:$C$400&lt;=41)*(機器台帳!$C$2:$C$400+機器台帳!$D$2:$D$400-1&gt;=41),0),0))&amp;IF(INDEX(機器台帳!$Y$2:$Y$400,MATCH(1,INDEX((機器台帳!$A$2:$A$400="E24-S8-3")*((機器台帳!$B$2:$B$400="背面")+(機器台帳!$B$2:$B$400="両面")&gt;0)*(機器台帳!$F$2:$F$400&lt;&gt;"")*(機器台帳!$C$2:$C$400&lt;=41)*(機器台帳!$C$2:$C$400+機器台帳!$D$2:$D$400-1&gt;=41),0),0))=0,"|未記入",""))</f>
        <v/>
      </c>
      <c r="N10" s="12">
        <f>IF(SUMPRODUCT((機器台帳!$A$2:$A$400="E24-S8-4")*((機器台帳!$B$2:$B$400="前面")+(機器台帳!$B$2:$B$400="両面")&gt;0)*(機器台帳!$F$2:$F$400&lt;&gt;"")*(機器台帳!$C$2:$C$400&lt;=41)*(機器台帳!$C$2:$C$400+機器台帳!$D$2:$D$400-1&gt;=41))=0,"",INDEX(機器台帳!$F$2:$F$400,MATCH(1,INDEX((機器台帳!$A$2:$A$400="E24-S8-4")*((機器台帳!$B$2:$B$400="前面")+(機器台帳!$B$2:$B$400="両面")&gt;0)*(機器台帳!$F$2:$F$400&lt;&gt;"")*(機器台帳!$C$2:$C$400&lt;=41)*(機器台帳!$C$2:$C$400+機器台帳!$D$2:$D$400-1&gt;=41),0),0))&amp;IF(INDEX(機器台帳!$G$2:$G$400,MATCH(1,INDEX((機器台帳!$A$2:$A$400="E24-S8-4")*((機器台帳!$B$2:$B$400="前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-4")*((機器台帳!$B$2:$B$400="前面")+(機器台帳!$B$2:$B$400="両面")&gt;0)*(機器台帳!$F$2:$F$400&lt;&gt;"")*(機器台帳!$C$2:$C$400&lt;=41)*(機器台帳!$C$2:$C$400+機器台帳!$D$2:$D$400-1&gt;=41),0),0)))&amp;IF(SUMPRODUCT((機器台帳!$A$2:$A$400="E24-S8-4")*((機器台帳!$B$2:$B$400="前面")+(機器台帳!$B$2:$B$400="両面")&gt;0)*(機器台帳!$F$2:$F$400&lt;&gt;"")*(機器台帳!$C$2:$C$400&lt;=41)*(機器台帳!$C$2:$C$400+機器台帳!$D$2:$D$400-1&gt;=41))&gt;1," 他"&amp;(SUMPRODUCT((機器台帳!$A$2:$A$400="E24-S8-4")*((機器台帳!$B$2:$B$400="前面")+(機器台帳!$B$2:$B$400="両面")&gt;0)*(機器台帳!$F$2:$F$400&lt;&gt;"")*(機器台帳!$C$2:$C$400&lt;=41)*(機器台帳!$C$2:$C$400+機器台帳!$D$2:$D$400-1&gt;=41))-1)&amp;"台",""))</f>
        <v/>
      </c>
      <c r="O10">
        <f>IF(SUMPRODUCT((機器台帳!$A$2:$A$400="E24-S8-4")*((機器台帳!$B$2:$B$400="前面")+(機器台帳!$B$2:$B$400="両面")&gt;0)*(機器台帳!$F$2:$F$400&lt;&gt;"")*(機器台帳!$C$2:$C$400&lt;=41)*(機器台帳!$C$2:$C$400+機器台帳!$D$2:$D$400-1&gt;=41))=0,"",INDEX(機器台帳!$I$2:$I$400,MATCH(1,INDEX((機器台帳!$A$2:$A$400="E24-S8-4")*((機器台帳!$B$2:$B$400="前面")+(機器台帳!$B$2:$B$400="両面")&gt;0)*(機器台帳!$F$2:$F$400&lt;&gt;"")*(機器台帳!$C$2:$C$400&lt;=41)*(機器台帳!$C$2:$C$400+機器台帳!$D$2:$D$400-1&gt;=41),0),0))&amp;IF(INDEX(機器台帳!$Y$2:$Y$400,MATCH(1,INDEX((機器台帳!$A$2:$A$400="E24-S8-4")*((機器台帳!$B$2:$B$400="前面")+(機器台帳!$B$2:$B$400="両面")&gt;0)*(機器台帳!$F$2:$F$400&lt;&gt;"")*(機器台帳!$C$2:$C$400&lt;=41)*(機器台帳!$C$2:$C$400+機器台帳!$D$2:$D$400-1&gt;=41),0),0))=0,"|未記入",""))</f>
        <v/>
      </c>
      <c r="P10" s="12">
        <f>IF(SUMPRODUCT((機器台帳!$A$2:$A$400="E24-S8-4")*((機器台帳!$B$2:$B$400="背面")+(機器台帳!$B$2:$B$400="両面")&gt;0)*(機器台帳!$F$2:$F$400&lt;&gt;"")*(機器台帳!$C$2:$C$400&lt;=41)*(機器台帳!$C$2:$C$400+機器台帳!$D$2:$D$400-1&gt;=41))=0,"",INDEX(機器台帳!$F$2:$F$400,MATCH(1,INDEX((機器台帳!$A$2:$A$400="E24-S8-4")*((機器台帳!$B$2:$B$400="背面")+(機器台帳!$B$2:$B$400="両面")&gt;0)*(機器台帳!$F$2:$F$400&lt;&gt;"")*(機器台帳!$C$2:$C$400&lt;=41)*(機器台帳!$C$2:$C$400+機器台帳!$D$2:$D$400-1&gt;=41),0),0))&amp;IF(INDEX(機器台帳!$G$2:$G$400,MATCH(1,INDEX((機器台帳!$A$2:$A$400="E24-S8-4")*((機器台帳!$B$2:$B$400="背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-4")*((機器台帳!$B$2:$B$400="背面")+(機器台帳!$B$2:$B$400="両面")&gt;0)*(機器台帳!$F$2:$F$400&lt;&gt;"")*(機器台帳!$C$2:$C$400&lt;=41)*(機器台帳!$C$2:$C$400+機器台帳!$D$2:$D$400-1&gt;=41),0),0)))&amp;IF(SUMPRODUCT((機器台帳!$A$2:$A$400="E24-S8-4")*((機器台帳!$B$2:$B$400="背面")+(機器台帳!$B$2:$B$400="両面")&gt;0)*(機器台帳!$F$2:$F$400&lt;&gt;"")*(機器台帳!$C$2:$C$400&lt;=41)*(機器台帳!$C$2:$C$400+機器台帳!$D$2:$D$400-1&gt;=41))&gt;1," 他"&amp;(SUMPRODUCT((機器台帳!$A$2:$A$400="E24-S8-4")*((機器台帳!$B$2:$B$400="背面")+(機器台帳!$B$2:$B$400="両面")&gt;0)*(機器台帳!$F$2:$F$400&lt;&gt;"")*(機器台帳!$C$2:$C$400&lt;=41)*(機器台帳!$C$2:$C$400+機器台帳!$D$2:$D$400-1&gt;=41))-1)&amp;"台",""))</f>
        <v/>
      </c>
      <c r="Q10">
        <f>IF(SUMPRODUCT((機器台帳!$A$2:$A$400="E24-S8-4")*((機器台帳!$B$2:$B$400="背面")+(機器台帳!$B$2:$B$400="両面")&gt;0)*(機器台帳!$F$2:$F$400&lt;&gt;"")*(機器台帳!$C$2:$C$400&lt;=41)*(機器台帳!$C$2:$C$400+機器台帳!$D$2:$D$400-1&gt;=41))=0,"",INDEX(機器台帳!$I$2:$I$400,MATCH(1,INDEX((機器台帳!$A$2:$A$400="E24-S8-4")*((機器台帳!$B$2:$B$400="背面")+(機器台帳!$B$2:$B$400="両面")&gt;0)*(機器台帳!$F$2:$F$400&lt;&gt;"")*(機器台帳!$C$2:$C$400&lt;=41)*(機器台帳!$C$2:$C$400+機器台帳!$D$2:$D$400-1&gt;=41),0),0))&amp;IF(INDEX(機器台帳!$Y$2:$Y$400,MATCH(1,INDEX((機器台帳!$A$2:$A$400="E24-S8-4")*((機器台帳!$B$2:$B$400="背面")+(機器台帳!$B$2:$B$400="両面")&gt;0)*(機器台帳!$F$2:$F$400&lt;&gt;"")*(機器台帳!$C$2:$C$400&lt;=41)*(機器台帳!$C$2:$C$400+機器台帳!$D$2:$D$400-1&gt;=41),0),0))=0,"|未記入",""))</f>
        <v/>
      </c>
      <c r="R10" s="12">
        <f>IF(SUMPRODUCT((機器台帳!$A$2:$A$400="E24-S8-5")*((機器台帳!$B$2:$B$400="前面")+(機器台帳!$B$2:$B$400="両面")&gt;0)*(機器台帳!$F$2:$F$400&lt;&gt;"")*(機器台帳!$C$2:$C$400&lt;=41)*(機器台帳!$C$2:$C$400+機器台帳!$D$2:$D$400-1&gt;=41))=0,"",INDEX(機器台帳!$F$2:$F$400,MATCH(1,INDEX((機器台帳!$A$2:$A$400="E24-S8-5")*((機器台帳!$B$2:$B$400="前面")+(機器台帳!$B$2:$B$400="両面")&gt;0)*(機器台帳!$F$2:$F$400&lt;&gt;"")*(機器台帳!$C$2:$C$400&lt;=41)*(機器台帳!$C$2:$C$400+機器台帳!$D$2:$D$400-1&gt;=41),0),0))&amp;IF(INDEX(機器台帳!$G$2:$G$400,MATCH(1,INDEX((機器台帳!$A$2:$A$400="E24-S8-5")*((機器台帳!$B$2:$B$400="前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-5")*((機器台帳!$B$2:$B$400="前面")+(機器台帳!$B$2:$B$400="両面")&gt;0)*(機器台帳!$F$2:$F$400&lt;&gt;"")*(機器台帳!$C$2:$C$400&lt;=41)*(機器台帳!$C$2:$C$400+機器台帳!$D$2:$D$400-1&gt;=41),0),0)))&amp;IF(SUMPRODUCT((機器台帳!$A$2:$A$400="E24-S8-5")*((機器台帳!$B$2:$B$400="前面")+(機器台帳!$B$2:$B$400="両面")&gt;0)*(機器台帳!$F$2:$F$400&lt;&gt;"")*(機器台帳!$C$2:$C$400&lt;=41)*(機器台帳!$C$2:$C$400+機器台帳!$D$2:$D$400-1&gt;=41))&gt;1," 他"&amp;(SUMPRODUCT((機器台帳!$A$2:$A$400="E24-S8-5")*((機器台帳!$B$2:$B$400="前面")+(機器台帳!$B$2:$B$400="両面")&gt;0)*(機器台帳!$F$2:$F$400&lt;&gt;"")*(機器台帳!$C$2:$C$400&lt;=41)*(機器台帳!$C$2:$C$400+機器台帳!$D$2:$D$400-1&gt;=41))-1)&amp;"台",""))</f>
        <v/>
      </c>
      <c r="S10">
        <f>IF(SUMPRODUCT((機器台帳!$A$2:$A$400="E24-S8-5")*((機器台帳!$B$2:$B$400="前面")+(機器台帳!$B$2:$B$400="両面")&gt;0)*(機器台帳!$F$2:$F$400&lt;&gt;"")*(機器台帳!$C$2:$C$400&lt;=41)*(機器台帳!$C$2:$C$400+機器台帳!$D$2:$D$400-1&gt;=41))=0,"",INDEX(機器台帳!$I$2:$I$400,MATCH(1,INDEX((機器台帳!$A$2:$A$400="E24-S8-5")*((機器台帳!$B$2:$B$400="前面")+(機器台帳!$B$2:$B$400="両面")&gt;0)*(機器台帳!$F$2:$F$400&lt;&gt;"")*(機器台帳!$C$2:$C$400&lt;=41)*(機器台帳!$C$2:$C$400+機器台帳!$D$2:$D$400-1&gt;=41),0),0))&amp;IF(INDEX(機器台帳!$Y$2:$Y$400,MATCH(1,INDEX((機器台帳!$A$2:$A$400="E24-S8-5")*((機器台帳!$B$2:$B$400="前面")+(機器台帳!$B$2:$B$400="両面")&gt;0)*(機器台帳!$F$2:$F$400&lt;&gt;"")*(機器台帳!$C$2:$C$400&lt;=41)*(機器台帳!$C$2:$C$400+機器台帳!$D$2:$D$400-1&gt;=41),0),0))=0,"|未記入",""))</f>
        <v/>
      </c>
      <c r="T10" s="12">
        <f>IF(SUMPRODUCT((機器台帳!$A$2:$A$400="E24-S8-5")*((機器台帳!$B$2:$B$400="背面")+(機器台帳!$B$2:$B$400="両面")&gt;0)*(機器台帳!$F$2:$F$400&lt;&gt;"")*(機器台帳!$C$2:$C$400&lt;=41)*(機器台帳!$C$2:$C$400+機器台帳!$D$2:$D$400-1&gt;=41))=0,"",INDEX(機器台帳!$F$2:$F$400,MATCH(1,INDEX((機器台帳!$A$2:$A$400="E24-S8-5")*((機器台帳!$B$2:$B$400="背面")+(機器台帳!$B$2:$B$400="両面")&gt;0)*(機器台帳!$F$2:$F$400&lt;&gt;"")*(機器台帳!$C$2:$C$400&lt;=41)*(機器台帳!$C$2:$C$400+機器台帳!$D$2:$D$400-1&gt;=41),0),0))&amp;IF(INDEX(機器台帳!$G$2:$G$400,MATCH(1,INDEX((機器台帳!$A$2:$A$400="E24-S8-5")*((機器台帳!$B$2:$B$400="背面")+(機器台帳!$B$2:$B$400="両面")&gt;0)*(機器台帳!$F$2:$F$400&lt;&gt;"")*(機器台帳!$C$2:$C$400&lt;=41)*(機器台帳!$C$2:$C$400+機器台帳!$D$2:$D$400-1&gt;=41),0),0))=""," "," "&amp;INDEX(機器台帳!$G$2:$G$400,MATCH(1,INDEX((機器台帳!$A$2:$A$400="E24-S8-5")*((機器台帳!$B$2:$B$400="背面")+(機器台帳!$B$2:$B$400="両面")&gt;0)*(機器台帳!$F$2:$F$400&lt;&gt;"")*(機器台帳!$C$2:$C$400&lt;=41)*(機器台帳!$C$2:$C$400+機器台帳!$D$2:$D$400-1&gt;=41),0),0)))&amp;IF(SUMPRODUCT((機器台帳!$A$2:$A$400="E24-S8-5")*((機器台帳!$B$2:$B$400="背面")+(機器台帳!$B$2:$B$400="両面")&gt;0)*(機器台帳!$F$2:$F$400&lt;&gt;"")*(機器台帳!$C$2:$C$400&lt;=41)*(機器台帳!$C$2:$C$400+機器台帳!$D$2:$D$400-1&gt;=41))&gt;1," 他"&amp;(SUMPRODUCT((機器台帳!$A$2:$A$400="E24-S8-5")*((機器台帳!$B$2:$B$400="背面")+(機器台帳!$B$2:$B$400="両面")&gt;0)*(機器台帳!$F$2:$F$400&lt;&gt;"")*(機器台帳!$C$2:$C$400&lt;=41)*(機器台帳!$C$2:$C$400+機器台帳!$D$2:$D$400-1&gt;=41))-1)&amp;"台",""))</f>
        <v/>
      </c>
      <c r="U10">
        <f>IF(SUMPRODUCT((機器台帳!$A$2:$A$400="E24-S8-5")*((機器台帳!$B$2:$B$400="背面")+(機器台帳!$B$2:$B$400="両面")&gt;0)*(機器台帳!$F$2:$F$400&lt;&gt;"")*(機器台帳!$C$2:$C$400&lt;=41)*(機器台帳!$C$2:$C$400+機器台帳!$D$2:$D$400-1&gt;=41))=0,"",INDEX(機器台帳!$I$2:$I$400,MATCH(1,INDEX((機器台帳!$A$2:$A$400="E24-S8-5")*((機器台帳!$B$2:$B$400="背面")+(機器台帳!$B$2:$B$400="両面")&gt;0)*(機器台帳!$F$2:$F$400&lt;&gt;"")*(機器台帳!$C$2:$C$400&lt;=41)*(機器台帳!$C$2:$C$400+機器台帳!$D$2:$D$400-1&gt;=41),0),0))&amp;IF(INDEX(機器台帳!$Y$2:$Y$400,MATCH(1,INDEX((機器台帳!$A$2:$A$400="E24-S8-5")*((機器台帳!$B$2:$B$400="背面")+(機器台帳!$B$2:$B$400="両面")&gt;0)*(機器台帳!$F$2:$F$400&lt;&gt;"")*(機器台帳!$C$2:$C$400&lt;=41)*(機器台帳!$C$2:$C$400+機器台帳!$D$2:$D$400-1&gt;=41),0),0))=0,"|未記入",""))</f>
        <v/>
      </c>
      <c r="V10" s="12">
        <f>IF(SUMPRODUCT((機器台帳!$A$2:$A$400="E24-S6-1")*((機器台帳!$B$2:$B$400="前面")+(機器台帳!$B$2:$B$400="両面")&gt;0)*(機器台帳!$F$2:$F$400&lt;&gt;"")*(機器台帳!$C$2:$C$400&lt;=41)*(機器台帳!$C$2:$C$400+機器台帳!$D$2:$D$400-1&gt;=41))=0,"",INDEX(機器台帳!$F$2:$F$400,MATCH(1,INDEX((機器台帳!$A$2:$A$400="E24-S6-1")*((機器台帳!$B$2:$B$400="前面")+(機器台帳!$B$2:$B$400="両面")&gt;0)*(機器台帳!$F$2:$F$400&lt;&gt;"")*(機器台帳!$C$2:$C$400&lt;=41)*(機器台帳!$C$2:$C$400+機器台帳!$D$2:$D$400-1&gt;=41),0),0))&amp;IF(INDEX(機器台帳!$G$2:$G$400,MATCH(1,INDEX((機器台帳!$A$2:$A$400="E24-S6-1")*((機器台帳!$B$2:$B$400="前面")+(機器台帳!$B$2:$B$400="両面")&gt;0)*(機器台帳!$F$2:$F$400&lt;&gt;"")*(機器台帳!$C$2:$C$400&lt;=41)*(機器台帳!$C$2:$C$400+機器台帳!$D$2:$D$400-1&gt;=41),0),0))=""," "," "&amp;INDEX(機器台帳!$G$2:$G$400,MATCH(1,INDEX((機器台帳!$A$2:$A$400="E24-S6-1")*((機器台帳!$B$2:$B$400="前面")+(機器台帳!$B$2:$B$400="両面")&gt;0)*(機器台帳!$F$2:$F$400&lt;&gt;"")*(機器台帳!$C$2:$C$400&lt;=41)*(機器台帳!$C$2:$C$400+機器台帳!$D$2:$D$400-1&gt;=41),0),0)))&amp;IF(SUMPRODUCT((機器台帳!$A$2:$A$400="E24-S6-1")*((機器台帳!$B$2:$B$400="前面")+(機器台帳!$B$2:$B$400="両面")&gt;0)*(機器台帳!$F$2:$F$400&lt;&gt;"")*(機器台帳!$C$2:$C$400&lt;=41)*(機器台帳!$C$2:$C$400+機器台帳!$D$2:$D$400-1&gt;=41))&gt;1," 他"&amp;(SUMPRODUCT((機器台帳!$A$2:$A$400="E24-S6-1")*((機器台帳!$B$2:$B$400="前面")+(機器台帳!$B$2:$B$400="両面")&gt;0)*(機器台帳!$F$2:$F$400&lt;&gt;"")*(機器台帳!$C$2:$C$400&lt;=41)*(機器台帳!$C$2:$C$400+機器台帳!$D$2:$D$400-1&gt;=41))-1)&amp;"台",""))</f>
        <v/>
      </c>
      <c r="W10">
        <f>IF(SUMPRODUCT((機器台帳!$A$2:$A$400="E24-S6-1")*((機器台帳!$B$2:$B$400="前面")+(機器台帳!$B$2:$B$400="両面")&gt;0)*(機器台帳!$F$2:$F$400&lt;&gt;"")*(機器台帳!$C$2:$C$400&lt;=41)*(機器台帳!$C$2:$C$400+機器台帳!$D$2:$D$400-1&gt;=41))=0,"",INDEX(機器台帳!$I$2:$I$400,MATCH(1,INDEX((機器台帳!$A$2:$A$400="E24-S6-1")*((機器台帳!$B$2:$B$400="前面")+(機器台帳!$B$2:$B$400="両面")&gt;0)*(機器台帳!$F$2:$F$400&lt;&gt;"")*(機器台帳!$C$2:$C$400&lt;=41)*(機器台帳!$C$2:$C$400+機器台帳!$D$2:$D$400-1&gt;=41),0),0))&amp;IF(INDEX(機器台帳!$Y$2:$Y$400,MATCH(1,INDEX((機器台帳!$A$2:$A$400="E24-S6-1")*((機器台帳!$B$2:$B$400="前面")+(機器台帳!$B$2:$B$400="両面")&gt;0)*(機器台帳!$F$2:$F$400&lt;&gt;"")*(機器台帳!$C$2:$C$400&lt;=41)*(機器台帳!$C$2:$C$400+機器台帳!$D$2:$D$400-1&gt;=41),0),0))=0,"|未記入",""))</f>
        <v/>
      </c>
      <c r="X10" s="12">
        <f>IF(SUMPRODUCT((機器台帳!$A$2:$A$400="E24-S6-1")*((機器台帳!$B$2:$B$400="背面")+(機器台帳!$B$2:$B$400="両面")&gt;0)*(機器台帳!$F$2:$F$400&lt;&gt;"")*(機器台帳!$C$2:$C$400&lt;=41)*(機器台帳!$C$2:$C$400+機器台帳!$D$2:$D$400-1&gt;=41))=0,"",INDEX(機器台帳!$F$2:$F$400,MATCH(1,INDEX((機器台帳!$A$2:$A$400="E24-S6-1")*((機器台帳!$B$2:$B$400="背面")+(機器台帳!$B$2:$B$400="両面")&gt;0)*(機器台帳!$F$2:$F$400&lt;&gt;"")*(機器台帳!$C$2:$C$400&lt;=41)*(機器台帳!$C$2:$C$400+機器台帳!$D$2:$D$400-1&gt;=41),0),0))&amp;IF(INDEX(機器台帳!$G$2:$G$400,MATCH(1,INDEX((機器台帳!$A$2:$A$400="E24-S6-1")*((機器台帳!$B$2:$B$400="背面")+(機器台帳!$B$2:$B$400="両面")&gt;0)*(機器台帳!$F$2:$F$400&lt;&gt;"")*(機器台帳!$C$2:$C$400&lt;=41)*(機器台帳!$C$2:$C$400+機器台帳!$D$2:$D$400-1&gt;=41),0),0))=""," "," "&amp;INDEX(機器台帳!$G$2:$G$400,MATCH(1,INDEX((機器台帳!$A$2:$A$400="E24-S6-1")*((機器台帳!$B$2:$B$400="背面")+(機器台帳!$B$2:$B$400="両面")&gt;0)*(機器台帳!$F$2:$F$400&lt;&gt;"")*(機器台帳!$C$2:$C$400&lt;=41)*(機器台帳!$C$2:$C$400+機器台帳!$D$2:$D$400-1&gt;=41),0),0)))&amp;IF(SUMPRODUCT((機器台帳!$A$2:$A$400="E24-S6-1")*((機器台帳!$B$2:$B$400="背面")+(機器台帳!$B$2:$B$400="両面")&gt;0)*(機器台帳!$F$2:$F$400&lt;&gt;"")*(機器台帳!$C$2:$C$400&lt;=41)*(機器台帳!$C$2:$C$400+機器台帳!$D$2:$D$400-1&gt;=41))&gt;1," 他"&amp;(SUMPRODUCT((機器台帳!$A$2:$A$400="E24-S6-1")*((機器台帳!$B$2:$B$400="背面")+(機器台帳!$B$2:$B$400="両面")&gt;0)*(機器台帳!$F$2:$F$400&lt;&gt;"")*(機器台帳!$C$2:$C$400&lt;=41)*(機器台帳!$C$2:$C$400+機器台帳!$D$2:$D$400-1&gt;=41))-1)&amp;"台",""))</f>
        <v/>
      </c>
      <c r="Y10">
        <f>IF(SUMPRODUCT((機器台帳!$A$2:$A$400="E24-S6-1")*((機器台帳!$B$2:$B$400="背面")+(機器台帳!$B$2:$B$400="両面")&gt;0)*(機器台帳!$F$2:$F$400&lt;&gt;"")*(機器台帳!$C$2:$C$400&lt;=41)*(機器台帳!$C$2:$C$400+機器台帳!$D$2:$D$400-1&gt;=41))=0,"",INDEX(機器台帳!$I$2:$I$400,MATCH(1,INDEX((機器台帳!$A$2:$A$400="E24-S6-1")*((機器台帳!$B$2:$B$400="背面")+(機器台帳!$B$2:$B$400="両面")&gt;0)*(機器台帳!$F$2:$F$400&lt;&gt;"")*(機器台帳!$C$2:$C$400&lt;=41)*(機器台帳!$C$2:$C$400+機器台帳!$D$2:$D$400-1&gt;=41),0),0))&amp;IF(INDEX(機器台帳!$Y$2:$Y$400,MATCH(1,INDEX((機器台帳!$A$2:$A$400="E24-S6-1")*((機器台帳!$B$2:$B$400="背面")+(機器台帳!$B$2:$B$400="両面")&gt;0)*(機器台帳!$F$2:$F$400&lt;&gt;"")*(機器台帳!$C$2:$C$400&lt;=41)*(機器台帳!$C$2:$C$400+機器台帳!$D$2:$D$400-1&gt;=41),0),0))=0,"|未記入",""))</f>
        <v/>
      </c>
    </row>
    <row r="11">
      <c r="A11" s="11" t="n">
        <v>40</v>
      </c>
      <c r="B11" s="12">
        <f>IF(SUMPRODUCT((機器台帳!$A$2:$A$400="E24-S8-1")*((機器台帳!$B$2:$B$400="前面")+(機器台帳!$B$2:$B$400="両面")&gt;0)*(機器台帳!$F$2:$F$400&lt;&gt;"")*(機器台帳!$C$2:$C$400&lt;=40)*(機器台帳!$C$2:$C$400+機器台帳!$D$2:$D$400-1&gt;=40))=0,"",INDEX(機器台帳!$F$2:$F$400,MATCH(1,INDEX((機器台帳!$A$2:$A$400="E24-S8-1")*((機器台帳!$B$2:$B$400="前面")+(機器台帳!$B$2:$B$400="両面")&gt;0)*(機器台帳!$F$2:$F$400&lt;&gt;"")*(機器台帳!$C$2:$C$400&lt;=40)*(機器台帳!$C$2:$C$400+機器台帳!$D$2:$D$400-1&gt;=40),0),0))&amp;IF(INDEX(機器台帳!$G$2:$G$400,MATCH(1,INDEX((機器台帳!$A$2:$A$400="E24-S8-1")*((機器台帳!$B$2:$B$400="前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-1")*((機器台帳!$B$2:$B$400="前面")+(機器台帳!$B$2:$B$400="両面")&gt;0)*(機器台帳!$F$2:$F$400&lt;&gt;"")*(機器台帳!$C$2:$C$400&lt;=40)*(機器台帳!$C$2:$C$400+機器台帳!$D$2:$D$400-1&gt;=40),0),0)))&amp;IF(SUMPRODUCT((機器台帳!$A$2:$A$400="E24-S8-1")*((機器台帳!$B$2:$B$400="前面")+(機器台帳!$B$2:$B$400="両面")&gt;0)*(機器台帳!$F$2:$F$400&lt;&gt;"")*(機器台帳!$C$2:$C$400&lt;=40)*(機器台帳!$C$2:$C$400+機器台帳!$D$2:$D$400-1&gt;=40))&gt;1," 他"&amp;(SUMPRODUCT((機器台帳!$A$2:$A$400="E24-S8-1")*((機器台帳!$B$2:$B$400="前面")+(機器台帳!$B$2:$B$400="両面")&gt;0)*(機器台帳!$F$2:$F$400&lt;&gt;"")*(機器台帳!$C$2:$C$400&lt;=40)*(機器台帳!$C$2:$C$400+機器台帳!$D$2:$D$400-1&gt;=40))-1)&amp;"台",""))</f>
        <v/>
      </c>
      <c r="C11">
        <f>IF(SUMPRODUCT((機器台帳!$A$2:$A$400="E24-S8-1")*((機器台帳!$B$2:$B$400="前面")+(機器台帳!$B$2:$B$400="両面")&gt;0)*(機器台帳!$F$2:$F$400&lt;&gt;"")*(機器台帳!$C$2:$C$400&lt;=40)*(機器台帳!$C$2:$C$400+機器台帳!$D$2:$D$400-1&gt;=40))=0,"",INDEX(機器台帳!$I$2:$I$400,MATCH(1,INDEX((機器台帳!$A$2:$A$400="E24-S8-1")*((機器台帳!$B$2:$B$400="前面")+(機器台帳!$B$2:$B$400="両面")&gt;0)*(機器台帳!$F$2:$F$400&lt;&gt;"")*(機器台帳!$C$2:$C$400&lt;=40)*(機器台帳!$C$2:$C$400+機器台帳!$D$2:$D$400-1&gt;=40),0),0))&amp;IF(INDEX(機器台帳!$Y$2:$Y$400,MATCH(1,INDEX((機器台帳!$A$2:$A$400="E24-S8-1")*((機器台帳!$B$2:$B$400="前面")+(機器台帳!$B$2:$B$400="両面")&gt;0)*(機器台帳!$F$2:$F$400&lt;&gt;"")*(機器台帳!$C$2:$C$400&lt;=40)*(機器台帳!$C$2:$C$400+機器台帳!$D$2:$D$400-1&gt;=40),0),0))=0,"|未記入",""))</f>
        <v/>
      </c>
      <c r="D11" s="12">
        <f>IF(SUMPRODUCT((機器台帳!$A$2:$A$400="E24-S8-1")*((機器台帳!$B$2:$B$400="背面")+(機器台帳!$B$2:$B$400="両面")&gt;0)*(機器台帳!$F$2:$F$400&lt;&gt;"")*(機器台帳!$C$2:$C$400&lt;=40)*(機器台帳!$C$2:$C$400+機器台帳!$D$2:$D$400-1&gt;=40))=0,"",INDEX(機器台帳!$F$2:$F$400,MATCH(1,INDEX((機器台帳!$A$2:$A$400="E24-S8-1")*((機器台帳!$B$2:$B$400="背面")+(機器台帳!$B$2:$B$400="両面")&gt;0)*(機器台帳!$F$2:$F$400&lt;&gt;"")*(機器台帳!$C$2:$C$400&lt;=40)*(機器台帳!$C$2:$C$400+機器台帳!$D$2:$D$400-1&gt;=40),0),0))&amp;IF(INDEX(機器台帳!$G$2:$G$400,MATCH(1,INDEX((機器台帳!$A$2:$A$400="E24-S8-1")*((機器台帳!$B$2:$B$400="背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-1")*((機器台帳!$B$2:$B$400="背面")+(機器台帳!$B$2:$B$400="両面")&gt;0)*(機器台帳!$F$2:$F$400&lt;&gt;"")*(機器台帳!$C$2:$C$400&lt;=40)*(機器台帳!$C$2:$C$400+機器台帳!$D$2:$D$400-1&gt;=40),0),0)))&amp;IF(SUMPRODUCT((機器台帳!$A$2:$A$400="E24-S8-1")*((機器台帳!$B$2:$B$400="背面")+(機器台帳!$B$2:$B$400="両面")&gt;0)*(機器台帳!$F$2:$F$400&lt;&gt;"")*(機器台帳!$C$2:$C$400&lt;=40)*(機器台帳!$C$2:$C$400+機器台帳!$D$2:$D$400-1&gt;=40))&gt;1," 他"&amp;(SUMPRODUCT((機器台帳!$A$2:$A$400="E24-S8-1")*((機器台帳!$B$2:$B$400="背面")+(機器台帳!$B$2:$B$400="両面")&gt;0)*(機器台帳!$F$2:$F$400&lt;&gt;"")*(機器台帳!$C$2:$C$400&lt;=40)*(機器台帳!$C$2:$C$400+機器台帳!$D$2:$D$400-1&gt;=40))-1)&amp;"台",""))</f>
        <v/>
      </c>
      <c r="E11">
        <f>IF(SUMPRODUCT((機器台帳!$A$2:$A$400="E24-S8-1")*((機器台帳!$B$2:$B$400="背面")+(機器台帳!$B$2:$B$400="両面")&gt;0)*(機器台帳!$F$2:$F$400&lt;&gt;"")*(機器台帳!$C$2:$C$400&lt;=40)*(機器台帳!$C$2:$C$400+機器台帳!$D$2:$D$400-1&gt;=40))=0,"",INDEX(機器台帳!$I$2:$I$400,MATCH(1,INDEX((機器台帳!$A$2:$A$400="E24-S8-1")*((機器台帳!$B$2:$B$400="背面")+(機器台帳!$B$2:$B$400="両面")&gt;0)*(機器台帳!$F$2:$F$400&lt;&gt;"")*(機器台帳!$C$2:$C$400&lt;=40)*(機器台帳!$C$2:$C$400+機器台帳!$D$2:$D$400-1&gt;=40),0),0))&amp;IF(INDEX(機器台帳!$Y$2:$Y$400,MATCH(1,INDEX((機器台帳!$A$2:$A$400="E24-S8-1")*((機器台帳!$B$2:$B$400="背面")+(機器台帳!$B$2:$B$400="両面")&gt;0)*(機器台帳!$F$2:$F$400&lt;&gt;"")*(機器台帳!$C$2:$C$400&lt;=40)*(機器台帳!$C$2:$C$400+機器台帳!$D$2:$D$400-1&gt;=40),0),0))=0,"|未記入",""))</f>
        <v/>
      </c>
      <c r="F11" s="12">
        <f>IF(SUMPRODUCT((機器台帳!$A$2:$A$400="E24-S8-2")*((機器台帳!$B$2:$B$400="前面")+(機器台帳!$B$2:$B$400="両面")&gt;0)*(機器台帳!$F$2:$F$400&lt;&gt;"")*(機器台帳!$C$2:$C$400&lt;=40)*(機器台帳!$C$2:$C$400+機器台帳!$D$2:$D$400-1&gt;=40))=0,"",INDEX(機器台帳!$F$2:$F$400,MATCH(1,INDEX((機器台帳!$A$2:$A$400="E24-S8-2")*((機器台帳!$B$2:$B$400="前面")+(機器台帳!$B$2:$B$400="両面")&gt;0)*(機器台帳!$F$2:$F$400&lt;&gt;"")*(機器台帳!$C$2:$C$400&lt;=40)*(機器台帳!$C$2:$C$400+機器台帳!$D$2:$D$400-1&gt;=40),0),0))&amp;IF(INDEX(機器台帳!$G$2:$G$400,MATCH(1,INDEX((機器台帳!$A$2:$A$400="E24-S8-2")*((機器台帳!$B$2:$B$400="前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-2")*((機器台帳!$B$2:$B$400="前面")+(機器台帳!$B$2:$B$400="両面")&gt;0)*(機器台帳!$F$2:$F$400&lt;&gt;"")*(機器台帳!$C$2:$C$400&lt;=40)*(機器台帳!$C$2:$C$400+機器台帳!$D$2:$D$400-1&gt;=40),0),0)))&amp;IF(SUMPRODUCT((機器台帳!$A$2:$A$400="E24-S8-2")*((機器台帳!$B$2:$B$400="前面")+(機器台帳!$B$2:$B$400="両面")&gt;0)*(機器台帳!$F$2:$F$400&lt;&gt;"")*(機器台帳!$C$2:$C$400&lt;=40)*(機器台帳!$C$2:$C$400+機器台帳!$D$2:$D$400-1&gt;=40))&gt;1," 他"&amp;(SUMPRODUCT((機器台帳!$A$2:$A$400="E24-S8-2")*((機器台帳!$B$2:$B$400="前面")+(機器台帳!$B$2:$B$400="両面")&gt;0)*(機器台帳!$F$2:$F$400&lt;&gt;"")*(機器台帳!$C$2:$C$400&lt;=40)*(機器台帳!$C$2:$C$400+機器台帳!$D$2:$D$400-1&gt;=40))-1)&amp;"台",""))</f>
        <v/>
      </c>
      <c r="G11">
        <f>IF(SUMPRODUCT((機器台帳!$A$2:$A$400="E24-S8-2")*((機器台帳!$B$2:$B$400="前面")+(機器台帳!$B$2:$B$400="両面")&gt;0)*(機器台帳!$F$2:$F$400&lt;&gt;"")*(機器台帳!$C$2:$C$400&lt;=40)*(機器台帳!$C$2:$C$400+機器台帳!$D$2:$D$400-1&gt;=40))=0,"",INDEX(機器台帳!$I$2:$I$400,MATCH(1,INDEX((機器台帳!$A$2:$A$400="E24-S8-2")*((機器台帳!$B$2:$B$400="前面")+(機器台帳!$B$2:$B$400="両面")&gt;0)*(機器台帳!$F$2:$F$400&lt;&gt;"")*(機器台帳!$C$2:$C$400&lt;=40)*(機器台帳!$C$2:$C$400+機器台帳!$D$2:$D$400-1&gt;=40),0),0))&amp;IF(INDEX(機器台帳!$Y$2:$Y$400,MATCH(1,INDEX((機器台帳!$A$2:$A$400="E24-S8-2")*((機器台帳!$B$2:$B$400="前面")+(機器台帳!$B$2:$B$400="両面")&gt;0)*(機器台帳!$F$2:$F$400&lt;&gt;"")*(機器台帳!$C$2:$C$400&lt;=40)*(機器台帳!$C$2:$C$400+機器台帳!$D$2:$D$400-1&gt;=40),0),0))=0,"|未記入",""))</f>
        <v/>
      </c>
      <c r="H11" s="12">
        <f>IF(SUMPRODUCT((機器台帳!$A$2:$A$400="E24-S8-2")*((機器台帳!$B$2:$B$400="背面")+(機器台帳!$B$2:$B$400="両面")&gt;0)*(機器台帳!$F$2:$F$400&lt;&gt;"")*(機器台帳!$C$2:$C$400&lt;=40)*(機器台帳!$C$2:$C$400+機器台帳!$D$2:$D$400-1&gt;=40))=0,"",INDEX(機器台帳!$F$2:$F$400,MATCH(1,INDEX((機器台帳!$A$2:$A$400="E24-S8-2")*((機器台帳!$B$2:$B$400="背面")+(機器台帳!$B$2:$B$400="両面")&gt;0)*(機器台帳!$F$2:$F$400&lt;&gt;"")*(機器台帳!$C$2:$C$400&lt;=40)*(機器台帳!$C$2:$C$400+機器台帳!$D$2:$D$400-1&gt;=40),0),0))&amp;IF(INDEX(機器台帳!$G$2:$G$400,MATCH(1,INDEX((機器台帳!$A$2:$A$400="E24-S8-2")*((機器台帳!$B$2:$B$400="背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-2")*((機器台帳!$B$2:$B$400="背面")+(機器台帳!$B$2:$B$400="両面")&gt;0)*(機器台帳!$F$2:$F$400&lt;&gt;"")*(機器台帳!$C$2:$C$400&lt;=40)*(機器台帳!$C$2:$C$400+機器台帳!$D$2:$D$400-1&gt;=40),0),0)))&amp;IF(SUMPRODUCT((機器台帳!$A$2:$A$400="E24-S8-2")*((機器台帳!$B$2:$B$400="背面")+(機器台帳!$B$2:$B$400="両面")&gt;0)*(機器台帳!$F$2:$F$400&lt;&gt;"")*(機器台帳!$C$2:$C$400&lt;=40)*(機器台帳!$C$2:$C$400+機器台帳!$D$2:$D$400-1&gt;=40))&gt;1," 他"&amp;(SUMPRODUCT((機器台帳!$A$2:$A$400="E24-S8-2")*((機器台帳!$B$2:$B$400="背面")+(機器台帳!$B$2:$B$400="両面")&gt;0)*(機器台帳!$F$2:$F$400&lt;&gt;"")*(機器台帳!$C$2:$C$400&lt;=40)*(機器台帳!$C$2:$C$400+機器台帳!$D$2:$D$400-1&gt;=40))-1)&amp;"台",""))</f>
        <v/>
      </c>
      <c r="I11">
        <f>IF(SUMPRODUCT((機器台帳!$A$2:$A$400="E24-S8-2")*((機器台帳!$B$2:$B$400="背面")+(機器台帳!$B$2:$B$400="両面")&gt;0)*(機器台帳!$F$2:$F$400&lt;&gt;"")*(機器台帳!$C$2:$C$400&lt;=40)*(機器台帳!$C$2:$C$400+機器台帳!$D$2:$D$400-1&gt;=40))=0,"",INDEX(機器台帳!$I$2:$I$400,MATCH(1,INDEX((機器台帳!$A$2:$A$400="E24-S8-2")*((機器台帳!$B$2:$B$400="背面")+(機器台帳!$B$2:$B$400="両面")&gt;0)*(機器台帳!$F$2:$F$400&lt;&gt;"")*(機器台帳!$C$2:$C$400&lt;=40)*(機器台帳!$C$2:$C$400+機器台帳!$D$2:$D$400-1&gt;=40),0),0))&amp;IF(INDEX(機器台帳!$Y$2:$Y$400,MATCH(1,INDEX((機器台帳!$A$2:$A$400="E24-S8-2")*((機器台帳!$B$2:$B$400="背面")+(機器台帳!$B$2:$B$400="両面")&gt;0)*(機器台帳!$F$2:$F$400&lt;&gt;"")*(機器台帳!$C$2:$C$400&lt;=40)*(機器台帳!$C$2:$C$400+機器台帳!$D$2:$D$400-1&gt;=40),0),0))=0,"|未記入",""))</f>
        <v/>
      </c>
      <c r="J11" s="12">
        <f>IF(SUMPRODUCT((機器台帳!$A$2:$A$400="E24-S8-3")*((機器台帳!$B$2:$B$400="前面")+(機器台帳!$B$2:$B$400="両面")&gt;0)*(機器台帳!$F$2:$F$400&lt;&gt;"")*(機器台帳!$C$2:$C$400&lt;=40)*(機器台帳!$C$2:$C$400+機器台帳!$D$2:$D$400-1&gt;=40))=0,"",INDEX(機器台帳!$F$2:$F$400,MATCH(1,INDEX((機器台帳!$A$2:$A$400="E24-S8-3")*((機器台帳!$B$2:$B$400="前面")+(機器台帳!$B$2:$B$400="両面")&gt;0)*(機器台帳!$F$2:$F$400&lt;&gt;"")*(機器台帳!$C$2:$C$400&lt;=40)*(機器台帳!$C$2:$C$400+機器台帳!$D$2:$D$400-1&gt;=40),0),0))&amp;IF(INDEX(機器台帳!$G$2:$G$400,MATCH(1,INDEX((機器台帳!$A$2:$A$400="E24-S8-3")*((機器台帳!$B$2:$B$400="前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-3")*((機器台帳!$B$2:$B$400="前面")+(機器台帳!$B$2:$B$400="両面")&gt;0)*(機器台帳!$F$2:$F$400&lt;&gt;"")*(機器台帳!$C$2:$C$400&lt;=40)*(機器台帳!$C$2:$C$400+機器台帳!$D$2:$D$400-1&gt;=40),0),0)))&amp;IF(SUMPRODUCT((機器台帳!$A$2:$A$400="E24-S8-3")*((機器台帳!$B$2:$B$400="前面")+(機器台帳!$B$2:$B$400="両面")&gt;0)*(機器台帳!$F$2:$F$400&lt;&gt;"")*(機器台帳!$C$2:$C$400&lt;=40)*(機器台帳!$C$2:$C$400+機器台帳!$D$2:$D$400-1&gt;=40))&gt;1," 他"&amp;(SUMPRODUCT((機器台帳!$A$2:$A$400="E24-S8-3")*((機器台帳!$B$2:$B$400="前面")+(機器台帳!$B$2:$B$400="両面")&gt;0)*(機器台帳!$F$2:$F$400&lt;&gt;"")*(機器台帳!$C$2:$C$400&lt;=40)*(機器台帳!$C$2:$C$400+機器台帳!$D$2:$D$400-1&gt;=40))-1)&amp;"台",""))</f>
        <v/>
      </c>
      <c r="K11">
        <f>IF(SUMPRODUCT((機器台帳!$A$2:$A$400="E24-S8-3")*((機器台帳!$B$2:$B$400="前面")+(機器台帳!$B$2:$B$400="両面")&gt;0)*(機器台帳!$F$2:$F$400&lt;&gt;"")*(機器台帳!$C$2:$C$400&lt;=40)*(機器台帳!$C$2:$C$400+機器台帳!$D$2:$D$400-1&gt;=40))=0,"",INDEX(機器台帳!$I$2:$I$400,MATCH(1,INDEX((機器台帳!$A$2:$A$400="E24-S8-3")*((機器台帳!$B$2:$B$400="前面")+(機器台帳!$B$2:$B$400="両面")&gt;0)*(機器台帳!$F$2:$F$400&lt;&gt;"")*(機器台帳!$C$2:$C$400&lt;=40)*(機器台帳!$C$2:$C$400+機器台帳!$D$2:$D$400-1&gt;=40),0),0))&amp;IF(INDEX(機器台帳!$Y$2:$Y$400,MATCH(1,INDEX((機器台帳!$A$2:$A$400="E24-S8-3")*((機器台帳!$B$2:$B$400="前面")+(機器台帳!$B$2:$B$400="両面")&gt;0)*(機器台帳!$F$2:$F$400&lt;&gt;"")*(機器台帳!$C$2:$C$400&lt;=40)*(機器台帳!$C$2:$C$400+機器台帳!$D$2:$D$400-1&gt;=40),0),0))=0,"|未記入",""))</f>
        <v/>
      </c>
      <c r="L11" s="12">
        <f>IF(SUMPRODUCT((機器台帳!$A$2:$A$400="E24-S8-3")*((機器台帳!$B$2:$B$400="背面")+(機器台帳!$B$2:$B$400="両面")&gt;0)*(機器台帳!$F$2:$F$400&lt;&gt;"")*(機器台帳!$C$2:$C$400&lt;=40)*(機器台帳!$C$2:$C$400+機器台帳!$D$2:$D$400-1&gt;=40))=0,"",INDEX(機器台帳!$F$2:$F$400,MATCH(1,INDEX((機器台帳!$A$2:$A$400="E24-S8-3")*((機器台帳!$B$2:$B$400="背面")+(機器台帳!$B$2:$B$400="両面")&gt;0)*(機器台帳!$F$2:$F$400&lt;&gt;"")*(機器台帳!$C$2:$C$400&lt;=40)*(機器台帳!$C$2:$C$400+機器台帳!$D$2:$D$400-1&gt;=40),0),0))&amp;IF(INDEX(機器台帳!$G$2:$G$400,MATCH(1,INDEX((機器台帳!$A$2:$A$400="E24-S8-3")*((機器台帳!$B$2:$B$400="背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-3")*((機器台帳!$B$2:$B$400="背面")+(機器台帳!$B$2:$B$400="両面")&gt;0)*(機器台帳!$F$2:$F$400&lt;&gt;"")*(機器台帳!$C$2:$C$400&lt;=40)*(機器台帳!$C$2:$C$400+機器台帳!$D$2:$D$400-1&gt;=40),0),0)))&amp;IF(SUMPRODUCT((機器台帳!$A$2:$A$400="E24-S8-3")*((機器台帳!$B$2:$B$400="背面")+(機器台帳!$B$2:$B$400="両面")&gt;0)*(機器台帳!$F$2:$F$400&lt;&gt;"")*(機器台帳!$C$2:$C$400&lt;=40)*(機器台帳!$C$2:$C$400+機器台帳!$D$2:$D$400-1&gt;=40))&gt;1," 他"&amp;(SUMPRODUCT((機器台帳!$A$2:$A$400="E24-S8-3")*((機器台帳!$B$2:$B$400="背面")+(機器台帳!$B$2:$B$400="両面")&gt;0)*(機器台帳!$F$2:$F$400&lt;&gt;"")*(機器台帳!$C$2:$C$400&lt;=40)*(機器台帳!$C$2:$C$400+機器台帳!$D$2:$D$400-1&gt;=40))-1)&amp;"台",""))</f>
        <v/>
      </c>
      <c r="M11">
        <f>IF(SUMPRODUCT((機器台帳!$A$2:$A$400="E24-S8-3")*((機器台帳!$B$2:$B$400="背面")+(機器台帳!$B$2:$B$400="両面")&gt;0)*(機器台帳!$F$2:$F$400&lt;&gt;"")*(機器台帳!$C$2:$C$400&lt;=40)*(機器台帳!$C$2:$C$400+機器台帳!$D$2:$D$400-1&gt;=40))=0,"",INDEX(機器台帳!$I$2:$I$400,MATCH(1,INDEX((機器台帳!$A$2:$A$400="E24-S8-3")*((機器台帳!$B$2:$B$400="背面")+(機器台帳!$B$2:$B$400="両面")&gt;0)*(機器台帳!$F$2:$F$400&lt;&gt;"")*(機器台帳!$C$2:$C$400&lt;=40)*(機器台帳!$C$2:$C$400+機器台帳!$D$2:$D$400-1&gt;=40),0),0))&amp;IF(INDEX(機器台帳!$Y$2:$Y$400,MATCH(1,INDEX((機器台帳!$A$2:$A$400="E24-S8-3")*((機器台帳!$B$2:$B$400="背面")+(機器台帳!$B$2:$B$400="両面")&gt;0)*(機器台帳!$F$2:$F$400&lt;&gt;"")*(機器台帳!$C$2:$C$400&lt;=40)*(機器台帳!$C$2:$C$400+機器台帳!$D$2:$D$400-1&gt;=40),0),0))=0,"|未記入",""))</f>
        <v/>
      </c>
      <c r="N11" s="12">
        <f>IF(SUMPRODUCT((機器台帳!$A$2:$A$400="E24-S8-4")*((機器台帳!$B$2:$B$400="前面")+(機器台帳!$B$2:$B$400="両面")&gt;0)*(機器台帳!$F$2:$F$400&lt;&gt;"")*(機器台帳!$C$2:$C$400&lt;=40)*(機器台帳!$C$2:$C$400+機器台帳!$D$2:$D$400-1&gt;=40))=0,"",INDEX(機器台帳!$F$2:$F$400,MATCH(1,INDEX((機器台帳!$A$2:$A$400="E24-S8-4")*((機器台帳!$B$2:$B$400="前面")+(機器台帳!$B$2:$B$400="両面")&gt;0)*(機器台帳!$F$2:$F$400&lt;&gt;"")*(機器台帳!$C$2:$C$400&lt;=40)*(機器台帳!$C$2:$C$400+機器台帳!$D$2:$D$400-1&gt;=40),0),0))&amp;IF(INDEX(機器台帳!$G$2:$G$400,MATCH(1,INDEX((機器台帳!$A$2:$A$400="E24-S8-4")*((機器台帳!$B$2:$B$400="前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-4")*((機器台帳!$B$2:$B$400="前面")+(機器台帳!$B$2:$B$400="両面")&gt;0)*(機器台帳!$F$2:$F$400&lt;&gt;"")*(機器台帳!$C$2:$C$400&lt;=40)*(機器台帳!$C$2:$C$400+機器台帳!$D$2:$D$400-1&gt;=40),0),0)))&amp;IF(SUMPRODUCT((機器台帳!$A$2:$A$400="E24-S8-4")*((機器台帳!$B$2:$B$400="前面")+(機器台帳!$B$2:$B$400="両面")&gt;0)*(機器台帳!$F$2:$F$400&lt;&gt;"")*(機器台帳!$C$2:$C$400&lt;=40)*(機器台帳!$C$2:$C$400+機器台帳!$D$2:$D$400-1&gt;=40))&gt;1," 他"&amp;(SUMPRODUCT((機器台帳!$A$2:$A$400="E24-S8-4")*((機器台帳!$B$2:$B$400="前面")+(機器台帳!$B$2:$B$400="両面")&gt;0)*(機器台帳!$F$2:$F$400&lt;&gt;"")*(機器台帳!$C$2:$C$400&lt;=40)*(機器台帳!$C$2:$C$400+機器台帳!$D$2:$D$400-1&gt;=40))-1)&amp;"台",""))</f>
        <v/>
      </c>
      <c r="O11">
        <f>IF(SUMPRODUCT((機器台帳!$A$2:$A$400="E24-S8-4")*((機器台帳!$B$2:$B$400="前面")+(機器台帳!$B$2:$B$400="両面")&gt;0)*(機器台帳!$F$2:$F$400&lt;&gt;"")*(機器台帳!$C$2:$C$400&lt;=40)*(機器台帳!$C$2:$C$400+機器台帳!$D$2:$D$400-1&gt;=40))=0,"",INDEX(機器台帳!$I$2:$I$400,MATCH(1,INDEX((機器台帳!$A$2:$A$400="E24-S8-4")*((機器台帳!$B$2:$B$400="前面")+(機器台帳!$B$2:$B$400="両面")&gt;0)*(機器台帳!$F$2:$F$400&lt;&gt;"")*(機器台帳!$C$2:$C$400&lt;=40)*(機器台帳!$C$2:$C$400+機器台帳!$D$2:$D$400-1&gt;=40),0),0))&amp;IF(INDEX(機器台帳!$Y$2:$Y$400,MATCH(1,INDEX((機器台帳!$A$2:$A$400="E24-S8-4")*((機器台帳!$B$2:$B$400="前面")+(機器台帳!$B$2:$B$400="両面")&gt;0)*(機器台帳!$F$2:$F$400&lt;&gt;"")*(機器台帳!$C$2:$C$400&lt;=40)*(機器台帳!$C$2:$C$400+機器台帳!$D$2:$D$400-1&gt;=40),0),0))=0,"|未記入",""))</f>
        <v/>
      </c>
      <c r="P11" s="12">
        <f>IF(SUMPRODUCT((機器台帳!$A$2:$A$400="E24-S8-4")*((機器台帳!$B$2:$B$400="背面")+(機器台帳!$B$2:$B$400="両面")&gt;0)*(機器台帳!$F$2:$F$400&lt;&gt;"")*(機器台帳!$C$2:$C$400&lt;=40)*(機器台帳!$C$2:$C$400+機器台帳!$D$2:$D$400-1&gt;=40))=0,"",INDEX(機器台帳!$F$2:$F$400,MATCH(1,INDEX((機器台帳!$A$2:$A$400="E24-S8-4")*((機器台帳!$B$2:$B$400="背面")+(機器台帳!$B$2:$B$400="両面")&gt;0)*(機器台帳!$F$2:$F$400&lt;&gt;"")*(機器台帳!$C$2:$C$400&lt;=40)*(機器台帳!$C$2:$C$400+機器台帳!$D$2:$D$400-1&gt;=40),0),0))&amp;IF(INDEX(機器台帳!$G$2:$G$400,MATCH(1,INDEX((機器台帳!$A$2:$A$400="E24-S8-4")*((機器台帳!$B$2:$B$400="背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-4")*((機器台帳!$B$2:$B$400="背面")+(機器台帳!$B$2:$B$400="両面")&gt;0)*(機器台帳!$F$2:$F$400&lt;&gt;"")*(機器台帳!$C$2:$C$400&lt;=40)*(機器台帳!$C$2:$C$400+機器台帳!$D$2:$D$400-1&gt;=40),0),0)))&amp;IF(SUMPRODUCT((機器台帳!$A$2:$A$400="E24-S8-4")*((機器台帳!$B$2:$B$400="背面")+(機器台帳!$B$2:$B$400="両面")&gt;0)*(機器台帳!$F$2:$F$400&lt;&gt;"")*(機器台帳!$C$2:$C$400&lt;=40)*(機器台帳!$C$2:$C$400+機器台帳!$D$2:$D$400-1&gt;=40))&gt;1," 他"&amp;(SUMPRODUCT((機器台帳!$A$2:$A$400="E24-S8-4")*((機器台帳!$B$2:$B$400="背面")+(機器台帳!$B$2:$B$400="両面")&gt;0)*(機器台帳!$F$2:$F$400&lt;&gt;"")*(機器台帳!$C$2:$C$400&lt;=40)*(機器台帳!$C$2:$C$400+機器台帳!$D$2:$D$400-1&gt;=40))-1)&amp;"台",""))</f>
        <v/>
      </c>
      <c r="Q11">
        <f>IF(SUMPRODUCT((機器台帳!$A$2:$A$400="E24-S8-4")*((機器台帳!$B$2:$B$400="背面")+(機器台帳!$B$2:$B$400="両面")&gt;0)*(機器台帳!$F$2:$F$400&lt;&gt;"")*(機器台帳!$C$2:$C$400&lt;=40)*(機器台帳!$C$2:$C$400+機器台帳!$D$2:$D$400-1&gt;=40))=0,"",INDEX(機器台帳!$I$2:$I$400,MATCH(1,INDEX((機器台帳!$A$2:$A$400="E24-S8-4")*((機器台帳!$B$2:$B$400="背面")+(機器台帳!$B$2:$B$400="両面")&gt;0)*(機器台帳!$F$2:$F$400&lt;&gt;"")*(機器台帳!$C$2:$C$400&lt;=40)*(機器台帳!$C$2:$C$400+機器台帳!$D$2:$D$400-1&gt;=40),0),0))&amp;IF(INDEX(機器台帳!$Y$2:$Y$400,MATCH(1,INDEX((機器台帳!$A$2:$A$400="E24-S8-4")*((機器台帳!$B$2:$B$400="背面")+(機器台帳!$B$2:$B$400="両面")&gt;0)*(機器台帳!$F$2:$F$400&lt;&gt;"")*(機器台帳!$C$2:$C$400&lt;=40)*(機器台帳!$C$2:$C$400+機器台帳!$D$2:$D$400-1&gt;=40),0),0))=0,"|未記入",""))</f>
        <v/>
      </c>
      <c r="R11" s="12">
        <f>IF(SUMPRODUCT((機器台帳!$A$2:$A$400="E24-S8-5")*((機器台帳!$B$2:$B$400="前面")+(機器台帳!$B$2:$B$400="両面")&gt;0)*(機器台帳!$F$2:$F$400&lt;&gt;"")*(機器台帳!$C$2:$C$400&lt;=40)*(機器台帳!$C$2:$C$400+機器台帳!$D$2:$D$400-1&gt;=40))=0,"",INDEX(機器台帳!$F$2:$F$400,MATCH(1,INDEX((機器台帳!$A$2:$A$400="E24-S8-5")*((機器台帳!$B$2:$B$400="前面")+(機器台帳!$B$2:$B$400="両面")&gt;0)*(機器台帳!$F$2:$F$400&lt;&gt;"")*(機器台帳!$C$2:$C$400&lt;=40)*(機器台帳!$C$2:$C$400+機器台帳!$D$2:$D$400-1&gt;=40),0),0))&amp;IF(INDEX(機器台帳!$G$2:$G$400,MATCH(1,INDEX((機器台帳!$A$2:$A$400="E24-S8-5")*((機器台帳!$B$2:$B$400="前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-5")*((機器台帳!$B$2:$B$400="前面")+(機器台帳!$B$2:$B$400="両面")&gt;0)*(機器台帳!$F$2:$F$400&lt;&gt;"")*(機器台帳!$C$2:$C$400&lt;=40)*(機器台帳!$C$2:$C$400+機器台帳!$D$2:$D$400-1&gt;=40),0),0)))&amp;IF(SUMPRODUCT((機器台帳!$A$2:$A$400="E24-S8-5")*((機器台帳!$B$2:$B$400="前面")+(機器台帳!$B$2:$B$400="両面")&gt;0)*(機器台帳!$F$2:$F$400&lt;&gt;"")*(機器台帳!$C$2:$C$400&lt;=40)*(機器台帳!$C$2:$C$400+機器台帳!$D$2:$D$400-1&gt;=40))&gt;1," 他"&amp;(SUMPRODUCT((機器台帳!$A$2:$A$400="E24-S8-5")*((機器台帳!$B$2:$B$400="前面")+(機器台帳!$B$2:$B$400="両面")&gt;0)*(機器台帳!$F$2:$F$400&lt;&gt;"")*(機器台帳!$C$2:$C$400&lt;=40)*(機器台帳!$C$2:$C$400+機器台帳!$D$2:$D$400-1&gt;=40))-1)&amp;"台",""))</f>
        <v/>
      </c>
      <c r="S11">
        <f>IF(SUMPRODUCT((機器台帳!$A$2:$A$400="E24-S8-5")*((機器台帳!$B$2:$B$400="前面")+(機器台帳!$B$2:$B$400="両面")&gt;0)*(機器台帳!$F$2:$F$400&lt;&gt;"")*(機器台帳!$C$2:$C$400&lt;=40)*(機器台帳!$C$2:$C$400+機器台帳!$D$2:$D$400-1&gt;=40))=0,"",INDEX(機器台帳!$I$2:$I$400,MATCH(1,INDEX((機器台帳!$A$2:$A$400="E24-S8-5")*((機器台帳!$B$2:$B$400="前面")+(機器台帳!$B$2:$B$400="両面")&gt;0)*(機器台帳!$F$2:$F$400&lt;&gt;"")*(機器台帳!$C$2:$C$400&lt;=40)*(機器台帳!$C$2:$C$400+機器台帳!$D$2:$D$400-1&gt;=40),0),0))&amp;IF(INDEX(機器台帳!$Y$2:$Y$400,MATCH(1,INDEX((機器台帳!$A$2:$A$400="E24-S8-5")*((機器台帳!$B$2:$B$400="前面")+(機器台帳!$B$2:$B$400="両面")&gt;0)*(機器台帳!$F$2:$F$400&lt;&gt;"")*(機器台帳!$C$2:$C$400&lt;=40)*(機器台帳!$C$2:$C$400+機器台帳!$D$2:$D$400-1&gt;=40),0),0))=0,"|未記入",""))</f>
        <v/>
      </c>
      <c r="T11" s="12">
        <f>IF(SUMPRODUCT((機器台帳!$A$2:$A$400="E24-S8-5")*((機器台帳!$B$2:$B$400="背面")+(機器台帳!$B$2:$B$400="両面")&gt;0)*(機器台帳!$F$2:$F$400&lt;&gt;"")*(機器台帳!$C$2:$C$400&lt;=40)*(機器台帳!$C$2:$C$400+機器台帳!$D$2:$D$400-1&gt;=40))=0,"",INDEX(機器台帳!$F$2:$F$400,MATCH(1,INDEX((機器台帳!$A$2:$A$400="E24-S8-5")*((機器台帳!$B$2:$B$400="背面")+(機器台帳!$B$2:$B$400="両面")&gt;0)*(機器台帳!$F$2:$F$400&lt;&gt;"")*(機器台帳!$C$2:$C$400&lt;=40)*(機器台帳!$C$2:$C$400+機器台帳!$D$2:$D$400-1&gt;=40),0),0))&amp;IF(INDEX(機器台帳!$G$2:$G$400,MATCH(1,INDEX((機器台帳!$A$2:$A$400="E24-S8-5")*((機器台帳!$B$2:$B$400="背面")+(機器台帳!$B$2:$B$400="両面")&gt;0)*(機器台帳!$F$2:$F$400&lt;&gt;"")*(機器台帳!$C$2:$C$400&lt;=40)*(機器台帳!$C$2:$C$400+機器台帳!$D$2:$D$400-1&gt;=40),0),0))=""," "," "&amp;INDEX(機器台帳!$G$2:$G$400,MATCH(1,INDEX((機器台帳!$A$2:$A$400="E24-S8-5")*((機器台帳!$B$2:$B$400="背面")+(機器台帳!$B$2:$B$400="両面")&gt;0)*(機器台帳!$F$2:$F$400&lt;&gt;"")*(機器台帳!$C$2:$C$400&lt;=40)*(機器台帳!$C$2:$C$400+機器台帳!$D$2:$D$400-1&gt;=40),0),0)))&amp;IF(SUMPRODUCT((機器台帳!$A$2:$A$400="E24-S8-5")*((機器台帳!$B$2:$B$400="背面")+(機器台帳!$B$2:$B$400="両面")&gt;0)*(機器台帳!$F$2:$F$400&lt;&gt;"")*(機器台帳!$C$2:$C$400&lt;=40)*(機器台帳!$C$2:$C$400+機器台帳!$D$2:$D$400-1&gt;=40))&gt;1," 他"&amp;(SUMPRODUCT((機器台帳!$A$2:$A$400="E24-S8-5")*((機器台帳!$B$2:$B$400="背面")+(機器台帳!$B$2:$B$400="両面")&gt;0)*(機器台帳!$F$2:$F$400&lt;&gt;"")*(機器台帳!$C$2:$C$400&lt;=40)*(機器台帳!$C$2:$C$400+機器台帳!$D$2:$D$400-1&gt;=40))-1)&amp;"台",""))</f>
        <v/>
      </c>
      <c r="U11">
        <f>IF(SUMPRODUCT((機器台帳!$A$2:$A$400="E24-S8-5")*((機器台帳!$B$2:$B$400="背面")+(機器台帳!$B$2:$B$400="両面")&gt;0)*(機器台帳!$F$2:$F$400&lt;&gt;"")*(機器台帳!$C$2:$C$400&lt;=40)*(機器台帳!$C$2:$C$400+機器台帳!$D$2:$D$400-1&gt;=40))=0,"",INDEX(機器台帳!$I$2:$I$400,MATCH(1,INDEX((機器台帳!$A$2:$A$400="E24-S8-5")*((機器台帳!$B$2:$B$400="背面")+(機器台帳!$B$2:$B$400="両面")&gt;0)*(機器台帳!$F$2:$F$400&lt;&gt;"")*(機器台帳!$C$2:$C$400&lt;=40)*(機器台帳!$C$2:$C$400+機器台帳!$D$2:$D$400-1&gt;=40),0),0))&amp;IF(INDEX(機器台帳!$Y$2:$Y$400,MATCH(1,INDEX((機器台帳!$A$2:$A$400="E24-S8-5")*((機器台帳!$B$2:$B$400="背面")+(機器台帳!$B$2:$B$400="両面")&gt;0)*(機器台帳!$F$2:$F$400&lt;&gt;"")*(機器台帳!$C$2:$C$400&lt;=40)*(機器台帳!$C$2:$C$400+機器台帳!$D$2:$D$400-1&gt;=40),0),0))=0,"|未記入",""))</f>
        <v/>
      </c>
      <c r="V11" s="12">
        <f>IF(SUMPRODUCT((機器台帳!$A$2:$A$400="E24-S6-1")*((機器台帳!$B$2:$B$400="前面")+(機器台帳!$B$2:$B$400="両面")&gt;0)*(機器台帳!$F$2:$F$400&lt;&gt;"")*(機器台帳!$C$2:$C$400&lt;=40)*(機器台帳!$C$2:$C$400+機器台帳!$D$2:$D$400-1&gt;=40))=0,"",INDEX(機器台帳!$F$2:$F$400,MATCH(1,INDEX((機器台帳!$A$2:$A$400="E24-S6-1")*((機器台帳!$B$2:$B$400="前面")+(機器台帳!$B$2:$B$400="両面")&gt;0)*(機器台帳!$F$2:$F$400&lt;&gt;"")*(機器台帳!$C$2:$C$400&lt;=40)*(機器台帳!$C$2:$C$400+機器台帳!$D$2:$D$400-1&gt;=40),0),0))&amp;IF(INDEX(機器台帳!$G$2:$G$400,MATCH(1,INDEX((機器台帳!$A$2:$A$400="E24-S6-1")*((機器台帳!$B$2:$B$400="前面")+(機器台帳!$B$2:$B$400="両面")&gt;0)*(機器台帳!$F$2:$F$400&lt;&gt;"")*(機器台帳!$C$2:$C$400&lt;=40)*(機器台帳!$C$2:$C$400+機器台帳!$D$2:$D$400-1&gt;=40),0),0))=""," "," "&amp;INDEX(機器台帳!$G$2:$G$400,MATCH(1,INDEX((機器台帳!$A$2:$A$400="E24-S6-1")*((機器台帳!$B$2:$B$400="前面")+(機器台帳!$B$2:$B$400="両面")&gt;0)*(機器台帳!$F$2:$F$400&lt;&gt;"")*(機器台帳!$C$2:$C$400&lt;=40)*(機器台帳!$C$2:$C$400+機器台帳!$D$2:$D$400-1&gt;=40),0),0)))&amp;IF(SUMPRODUCT((機器台帳!$A$2:$A$400="E24-S6-1")*((機器台帳!$B$2:$B$400="前面")+(機器台帳!$B$2:$B$400="両面")&gt;0)*(機器台帳!$F$2:$F$400&lt;&gt;"")*(機器台帳!$C$2:$C$400&lt;=40)*(機器台帳!$C$2:$C$400+機器台帳!$D$2:$D$400-1&gt;=40))&gt;1," 他"&amp;(SUMPRODUCT((機器台帳!$A$2:$A$400="E24-S6-1")*((機器台帳!$B$2:$B$400="前面")+(機器台帳!$B$2:$B$400="両面")&gt;0)*(機器台帳!$F$2:$F$400&lt;&gt;"")*(機器台帳!$C$2:$C$400&lt;=40)*(機器台帳!$C$2:$C$400+機器台帳!$D$2:$D$400-1&gt;=40))-1)&amp;"台",""))</f>
        <v/>
      </c>
      <c r="W11">
        <f>IF(SUMPRODUCT((機器台帳!$A$2:$A$400="E24-S6-1")*((機器台帳!$B$2:$B$400="前面")+(機器台帳!$B$2:$B$400="両面")&gt;0)*(機器台帳!$F$2:$F$400&lt;&gt;"")*(機器台帳!$C$2:$C$400&lt;=40)*(機器台帳!$C$2:$C$400+機器台帳!$D$2:$D$400-1&gt;=40))=0,"",INDEX(機器台帳!$I$2:$I$400,MATCH(1,INDEX((機器台帳!$A$2:$A$400="E24-S6-1")*((機器台帳!$B$2:$B$400="前面")+(機器台帳!$B$2:$B$400="両面")&gt;0)*(機器台帳!$F$2:$F$400&lt;&gt;"")*(機器台帳!$C$2:$C$400&lt;=40)*(機器台帳!$C$2:$C$400+機器台帳!$D$2:$D$400-1&gt;=40),0),0))&amp;IF(INDEX(機器台帳!$Y$2:$Y$400,MATCH(1,INDEX((機器台帳!$A$2:$A$400="E24-S6-1")*((機器台帳!$B$2:$B$400="前面")+(機器台帳!$B$2:$B$400="両面")&gt;0)*(機器台帳!$F$2:$F$400&lt;&gt;"")*(機器台帳!$C$2:$C$400&lt;=40)*(機器台帳!$C$2:$C$400+機器台帳!$D$2:$D$400-1&gt;=40),0),0))=0,"|未記入",""))</f>
        <v/>
      </c>
      <c r="X11" s="12">
        <f>IF(SUMPRODUCT((機器台帳!$A$2:$A$400="E24-S6-1")*((機器台帳!$B$2:$B$400="背面")+(機器台帳!$B$2:$B$400="両面")&gt;0)*(機器台帳!$F$2:$F$400&lt;&gt;"")*(機器台帳!$C$2:$C$400&lt;=40)*(機器台帳!$C$2:$C$400+機器台帳!$D$2:$D$400-1&gt;=40))=0,"",INDEX(機器台帳!$F$2:$F$400,MATCH(1,INDEX((機器台帳!$A$2:$A$400="E24-S6-1")*((機器台帳!$B$2:$B$400="背面")+(機器台帳!$B$2:$B$400="両面")&gt;0)*(機器台帳!$F$2:$F$400&lt;&gt;"")*(機器台帳!$C$2:$C$400&lt;=40)*(機器台帳!$C$2:$C$400+機器台帳!$D$2:$D$400-1&gt;=40),0),0))&amp;IF(INDEX(機器台帳!$G$2:$G$400,MATCH(1,INDEX((機器台帳!$A$2:$A$400="E24-S6-1")*((機器台帳!$B$2:$B$400="背面")+(機器台帳!$B$2:$B$400="両面")&gt;0)*(機器台帳!$F$2:$F$400&lt;&gt;"")*(機器台帳!$C$2:$C$400&lt;=40)*(機器台帳!$C$2:$C$400+機器台帳!$D$2:$D$400-1&gt;=40),0),0))=""," "," "&amp;INDEX(機器台帳!$G$2:$G$400,MATCH(1,INDEX((機器台帳!$A$2:$A$400="E24-S6-1")*((機器台帳!$B$2:$B$400="背面")+(機器台帳!$B$2:$B$400="両面")&gt;0)*(機器台帳!$F$2:$F$400&lt;&gt;"")*(機器台帳!$C$2:$C$400&lt;=40)*(機器台帳!$C$2:$C$400+機器台帳!$D$2:$D$400-1&gt;=40),0),0)))&amp;IF(SUMPRODUCT((機器台帳!$A$2:$A$400="E24-S6-1")*((機器台帳!$B$2:$B$400="背面")+(機器台帳!$B$2:$B$400="両面")&gt;0)*(機器台帳!$F$2:$F$400&lt;&gt;"")*(機器台帳!$C$2:$C$400&lt;=40)*(機器台帳!$C$2:$C$400+機器台帳!$D$2:$D$400-1&gt;=40))&gt;1," 他"&amp;(SUMPRODUCT((機器台帳!$A$2:$A$400="E24-S6-1")*((機器台帳!$B$2:$B$400="背面")+(機器台帳!$B$2:$B$400="両面")&gt;0)*(機器台帳!$F$2:$F$400&lt;&gt;"")*(機器台帳!$C$2:$C$400&lt;=40)*(機器台帳!$C$2:$C$400+機器台帳!$D$2:$D$400-1&gt;=40))-1)&amp;"台",""))</f>
        <v/>
      </c>
      <c r="Y11">
        <f>IF(SUMPRODUCT((機器台帳!$A$2:$A$400="E24-S6-1")*((機器台帳!$B$2:$B$400="背面")+(機器台帳!$B$2:$B$400="両面")&gt;0)*(機器台帳!$F$2:$F$400&lt;&gt;"")*(機器台帳!$C$2:$C$400&lt;=40)*(機器台帳!$C$2:$C$400+機器台帳!$D$2:$D$400-1&gt;=40))=0,"",INDEX(機器台帳!$I$2:$I$400,MATCH(1,INDEX((機器台帳!$A$2:$A$400="E24-S6-1")*((機器台帳!$B$2:$B$400="背面")+(機器台帳!$B$2:$B$400="両面")&gt;0)*(機器台帳!$F$2:$F$400&lt;&gt;"")*(機器台帳!$C$2:$C$400&lt;=40)*(機器台帳!$C$2:$C$400+機器台帳!$D$2:$D$400-1&gt;=40),0),0))&amp;IF(INDEX(機器台帳!$Y$2:$Y$400,MATCH(1,INDEX((機器台帳!$A$2:$A$400="E24-S6-1")*((機器台帳!$B$2:$B$400="背面")+(機器台帳!$B$2:$B$400="両面")&gt;0)*(機器台帳!$F$2:$F$400&lt;&gt;"")*(機器台帳!$C$2:$C$400&lt;=40)*(機器台帳!$C$2:$C$400+機器台帳!$D$2:$D$400-1&gt;=40),0),0))=0,"|未記入",""))</f>
        <v/>
      </c>
    </row>
    <row r="12">
      <c r="A12" s="11" t="n">
        <v>39</v>
      </c>
      <c r="B12" s="12">
        <f>IF(SUMPRODUCT((機器台帳!$A$2:$A$400="E24-S8-1")*((機器台帳!$B$2:$B$400="前面")+(機器台帳!$B$2:$B$400="両面")&gt;0)*(機器台帳!$F$2:$F$400&lt;&gt;"")*(機器台帳!$C$2:$C$400&lt;=39)*(機器台帳!$C$2:$C$400+機器台帳!$D$2:$D$400-1&gt;=39))=0,"",INDEX(機器台帳!$F$2:$F$400,MATCH(1,INDEX((機器台帳!$A$2:$A$400="E24-S8-1")*((機器台帳!$B$2:$B$400="前面")+(機器台帳!$B$2:$B$400="両面")&gt;0)*(機器台帳!$F$2:$F$400&lt;&gt;"")*(機器台帳!$C$2:$C$400&lt;=39)*(機器台帳!$C$2:$C$400+機器台帳!$D$2:$D$400-1&gt;=39),0),0))&amp;IF(INDEX(機器台帳!$G$2:$G$400,MATCH(1,INDEX((機器台帳!$A$2:$A$400="E24-S8-1")*((機器台帳!$B$2:$B$400="前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-1")*((機器台帳!$B$2:$B$400="前面")+(機器台帳!$B$2:$B$400="両面")&gt;0)*(機器台帳!$F$2:$F$400&lt;&gt;"")*(機器台帳!$C$2:$C$400&lt;=39)*(機器台帳!$C$2:$C$400+機器台帳!$D$2:$D$400-1&gt;=39),0),0)))&amp;IF(SUMPRODUCT((機器台帳!$A$2:$A$400="E24-S8-1")*((機器台帳!$B$2:$B$400="前面")+(機器台帳!$B$2:$B$400="両面")&gt;0)*(機器台帳!$F$2:$F$400&lt;&gt;"")*(機器台帳!$C$2:$C$400&lt;=39)*(機器台帳!$C$2:$C$400+機器台帳!$D$2:$D$400-1&gt;=39))&gt;1," 他"&amp;(SUMPRODUCT((機器台帳!$A$2:$A$400="E24-S8-1")*((機器台帳!$B$2:$B$400="前面")+(機器台帳!$B$2:$B$400="両面")&gt;0)*(機器台帳!$F$2:$F$400&lt;&gt;"")*(機器台帳!$C$2:$C$400&lt;=39)*(機器台帳!$C$2:$C$400+機器台帳!$D$2:$D$400-1&gt;=39))-1)&amp;"台",""))</f>
        <v/>
      </c>
      <c r="C12">
        <f>IF(SUMPRODUCT((機器台帳!$A$2:$A$400="E24-S8-1")*((機器台帳!$B$2:$B$400="前面")+(機器台帳!$B$2:$B$400="両面")&gt;0)*(機器台帳!$F$2:$F$400&lt;&gt;"")*(機器台帳!$C$2:$C$400&lt;=39)*(機器台帳!$C$2:$C$400+機器台帳!$D$2:$D$400-1&gt;=39))=0,"",INDEX(機器台帳!$I$2:$I$400,MATCH(1,INDEX((機器台帳!$A$2:$A$400="E24-S8-1")*((機器台帳!$B$2:$B$400="前面")+(機器台帳!$B$2:$B$400="両面")&gt;0)*(機器台帳!$F$2:$F$400&lt;&gt;"")*(機器台帳!$C$2:$C$400&lt;=39)*(機器台帳!$C$2:$C$400+機器台帳!$D$2:$D$400-1&gt;=39),0),0))&amp;IF(INDEX(機器台帳!$Y$2:$Y$400,MATCH(1,INDEX((機器台帳!$A$2:$A$400="E24-S8-1")*((機器台帳!$B$2:$B$400="前面")+(機器台帳!$B$2:$B$400="両面")&gt;0)*(機器台帳!$F$2:$F$400&lt;&gt;"")*(機器台帳!$C$2:$C$400&lt;=39)*(機器台帳!$C$2:$C$400+機器台帳!$D$2:$D$400-1&gt;=39),0),0))=0,"|未記入",""))</f>
        <v/>
      </c>
      <c r="D12" s="12">
        <f>IF(SUMPRODUCT((機器台帳!$A$2:$A$400="E24-S8-1")*((機器台帳!$B$2:$B$400="背面")+(機器台帳!$B$2:$B$400="両面")&gt;0)*(機器台帳!$F$2:$F$400&lt;&gt;"")*(機器台帳!$C$2:$C$400&lt;=39)*(機器台帳!$C$2:$C$400+機器台帳!$D$2:$D$400-1&gt;=39))=0,"",INDEX(機器台帳!$F$2:$F$400,MATCH(1,INDEX((機器台帳!$A$2:$A$400="E24-S8-1")*((機器台帳!$B$2:$B$400="背面")+(機器台帳!$B$2:$B$400="両面")&gt;0)*(機器台帳!$F$2:$F$400&lt;&gt;"")*(機器台帳!$C$2:$C$400&lt;=39)*(機器台帳!$C$2:$C$400+機器台帳!$D$2:$D$400-1&gt;=39),0),0))&amp;IF(INDEX(機器台帳!$G$2:$G$400,MATCH(1,INDEX((機器台帳!$A$2:$A$400="E24-S8-1")*((機器台帳!$B$2:$B$400="背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-1")*((機器台帳!$B$2:$B$400="背面")+(機器台帳!$B$2:$B$400="両面")&gt;0)*(機器台帳!$F$2:$F$400&lt;&gt;"")*(機器台帳!$C$2:$C$400&lt;=39)*(機器台帳!$C$2:$C$400+機器台帳!$D$2:$D$400-1&gt;=39),0),0)))&amp;IF(SUMPRODUCT((機器台帳!$A$2:$A$400="E24-S8-1")*((機器台帳!$B$2:$B$400="背面")+(機器台帳!$B$2:$B$400="両面")&gt;0)*(機器台帳!$F$2:$F$400&lt;&gt;"")*(機器台帳!$C$2:$C$400&lt;=39)*(機器台帳!$C$2:$C$400+機器台帳!$D$2:$D$400-1&gt;=39))&gt;1," 他"&amp;(SUMPRODUCT((機器台帳!$A$2:$A$400="E24-S8-1")*((機器台帳!$B$2:$B$400="背面")+(機器台帳!$B$2:$B$400="両面")&gt;0)*(機器台帳!$F$2:$F$400&lt;&gt;"")*(機器台帳!$C$2:$C$400&lt;=39)*(機器台帳!$C$2:$C$400+機器台帳!$D$2:$D$400-1&gt;=39))-1)&amp;"台",""))</f>
        <v/>
      </c>
      <c r="E12">
        <f>IF(SUMPRODUCT((機器台帳!$A$2:$A$400="E24-S8-1")*((機器台帳!$B$2:$B$400="背面")+(機器台帳!$B$2:$B$400="両面")&gt;0)*(機器台帳!$F$2:$F$400&lt;&gt;"")*(機器台帳!$C$2:$C$400&lt;=39)*(機器台帳!$C$2:$C$400+機器台帳!$D$2:$D$400-1&gt;=39))=0,"",INDEX(機器台帳!$I$2:$I$400,MATCH(1,INDEX((機器台帳!$A$2:$A$400="E24-S8-1")*((機器台帳!$B$2:$B$400="背面")+(機器台帳!$B$2:$B$400="両面")&gt;0)*(機器台帳!$F$2:$F$400&lt;&gt;"")*(機器台帳!$C$2:$C$400&lt;=39)*(機器台帳!$C$2:$C$400+機器台帳!$D$2:$D$400-1&gt;=39),0),0))&amp;IF(INDEX(機器台帳!$Y$2:$Y$400,MATCH(1,INDEX((機器台帳!$A$2:$A$400="E24-S8-1")*((機器台帳!$B$2:$B$400="背面")+(機器台帳!$B$2:$B$400="両面")&gt;0)*(機器台帳!$F$2:$F$400&lt;&gt;"")*(機器台帳!$C$2:$C$400&lt;=39)*(機器台帳!$C$2:$C$400+機器台帳!$D$2:$D$400-1&gt;=39),0),0))=0,"|未記入",""))</f>
        <v/>
      </c>
      <c r="F12" s="12">
        <f>IF(SUMPRODUCT((機器台帳!$A$2:$A$400="E24-S8-2")*((機器台帳!$B$2:$B$400="前面")+(機器台帳!$B$2:$B$400="両面")&gt;0)*(機器台帳!$F$2:$F$400&lt;&gt;"")*(機器台帳!$C$2:$C$400&lt;=39)*(機器台帳!$C$2:$C$400+機器台帳!$D$2:$D$400-1&gt;=39))=0,"",INDEX(機器台帳!$F$2:$F$400,MATCH(1,INDEX((機器台帳!$A$2:$A$400="E24-S8-2")*((機器台帳!$B$2:$B$400="前面")+(機器台帳!$B$2:$B$400="両面")&gt;0)*(機器台帳!$F$2:$F$400&lt;&gt;"")*(機器台帳!$C$2:$C$400&lt;=39)*(機器台帳!$C$2:$C$400+機器台帳!$D$2:$D$400-1&gt;=39),0),0))&amp;IF(INDEX(機器台帳!$G$2:$G$400,MATCH(1,INDEX((機器台帳!$A$2:$A$400="E24-S8-2")*((機器台帳!$B$2:$B$400="前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-2")*((機器台帳!$B$2:$B$400="前面")+(機器台帳!$B$2:$B$400="両面")&gt;0)*(機器台帳!$F$2:$F$400&lt;&gt;"")*(機器台帳!$C$2:$C$400&lt;=39)*(機器台帳!$C$2:$C$400+機器台帳!$D$2:$D$400-1&gt;=39),0),0)))&amp;IF(SUMPRODUCT((機器台帳!$A$2:$A$400="E24-S8-2")*((機器台帳!$B$2:$B$400="前面")+(機器台帳!$B$2:$B$400="両面")&gt;0)*(機器台帳!$F$2:$F$400&lt;&gt;"")*(機器台帳!$C$2:$C$400&lt;=39)*(機器台帳!$C$2:$C$400+機器台帳!$D$2:$D$400-1&gt;=39))&gt;1," 他"&amp;(SUMPRODUCT((機器台帳!$A$2:$A$400="E24-S8-2")*((機器台帳!$B$2:$B$400="前面")+(機器台帳!$B$2:$B$400="両面")&gt;0)*(機器台帳!$F$2:$F$400&lt;&gt;"")*(機器台帳!$C$2:$C$400&lt;=39)*(機器台帳!$C$2:$C$400+機器台帳!$D$2:$D$400-1&gt;=39))-1)&amp;"台",""))</f>
        <v/>
      </c>
      <c r="G12">
        <f>IF(SUMPRODUCT((機器台帳!$A$2:$A$400="E24-S8-2")*((機器台帳!$B$2:$B$400="前面")+(機器台帳!$B$2:$B$400="両面")&gt;0)*(機器台帳!$F$2:$F$400&lt;&gt;"")*(機器台帳!$C$2:$C$400&lt;=39)*(機器台帳!$C$2:$C$400+機器台帳!$D$2:$D$400-1&gt;=39))=0,"",INDEX(機器台帳!$I$2:$I$400,MATCH(1,INDEX((機器台帳!$A$2:$A$400="E24-S8-2")*((機器台帳!$B$2:$B$400="前面")+(機器台帳!$B$2:$B$400="両面")&gt;0)*(機器台帳!$F$2:$F$400&lt;&gt;"")*(機器台帳!$C$2:$C$400&lt;=39)*(機器台帳!$C$2:$C$400+機器台帳!$D$2:$D$400-1&gt;=39),0),0))&amp;IF(INDEX(機器台帳!$Y$2:$Y$400,MATCH(1,INDEX((機器台帳!$A$2:$A$400="E24-S8-2")*((機器台帳!$B$2:$B$400="前面")+(機器台帳!$B$2:$B$400="両面")&gt;0)*(機器台帳!$F$2:$F$400&lt;&gt;"")*(機器台帳!$C$2:$C$400&lt;=39)*(機器台帳!$C$2:$C$400+機器台帳!$D$2:$D$400-1&gt;=39),0),0))=0,"|未記入",""))</f>
        <v/>
      </c>
      <c r="H12" s="12">
        <f>IF(SUMPRODUCT((機器台帳!$A$2:$A$400="E24-S8-2")*((機器台帳!$B$2:$B$400="背面")+(機器台帳!$B$2:$B$400="両面")&gt;0)*(機器台帳!$F$2:$F$400&lt;&gt;"")*(機器台帳!$C$2:$C$400&lt;=39)*(機器台帳!$C$2:$C$400+機器台帳!$D$2:$D$400-1&gt;=39))=0,"",INDEX(機器台帳!$F$2:$F$400,MATCH(1,INDEX((機器台帳!$A$2:$A$400="E24-S8-2")*((機器台帳!$B$2:$B$400="背面")+(機器台帳!$B$2:$B$400="両面")&gt;0)*(機器台帳!$F$2:$F$400&lt;&gt;"")*(機器台帳!$C$2:$C$400&lt;=39)*(機器台帳!$C$2:$C$400+機器台帳!$D$2:$D$400-1&gt;=39),0),0))&amp;IF(INDEX(機器台帳!$G$2:$G$400,MATCH(1,INDEX((機器台帳!$A$2:$A$400="E24-S8-2")*((機器台帳!$B$2:$B$400="背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-2")*((機器台帳!$B$2:$B$400="背面")+(機器台帳!$B$2:$B$400="両面")&gt;0)*(機器台帳!$F$2:$F$400&lt;&gt;"")*(機器台帳!$C$2:$C$400&lt;=39)*(機器台帳!$C$2:$C$400+機器台帳!$D$2:$D$400-1&gt;=39),0),0)))&amp;IF(SUMPRODUCT((機器台帳!$A$2:$A$400="E24-S8-2")*((機器台帳!$B$2:$B$400="背面")+(機器台帳!$B$2:$B$400="両面")&gt;0)*(機器台帳!$F$2:$F$400&lt;&gt;"")*(機器台帳!$C$2:$C$400&lt;=39)*(機器台帳!$C$2:$C$400+機器台帳!$D$2:$D$400-1&gt;=39))&gt;1," 他"&amp;(SUMPRODUCT((機器台帳!$A$2:$A$400="E24-S8-2")*((機器台帳!$B$2:$B$400="背面")+(機器台帳!$B$2:$B$400="両面")&gt;0)*(機器台帳!$F$2:$F$400&lt;&gt;"")*(機器台帳!$C$2:$C$400&lt;=39)*(機器台帳!$C$2:$C$400+機器台帳!$D$2:$D$400-1&gt;=39))-1)&amp;"台",""))</f>
        <v/>
      </c>
      <c r="I12">
        <f>IF(SUMPRODUCT((機器台帳!$A$2:$A$400="E24-S8-2")*((機器台帳!$B$2:$B$400="背面")+(機器台帳!$B$2:$B$400="両面")&gt;0)*(機器台帳!$F$2:$F$400&lt;&gt;"")*(機器台帳!$C$2:$C$400&lt;=39)*(機器台帳!$C$2:$C$400+機器台帳!$D$2:$D$400-1&gt;=39))=0,"",INDEX(機器台帳!$I$2:$I$400,MATCH(1,INDEX((機器台帳!$A$2:$A$400="E24-S8-2")*((機器台帳!$B$2:$B$400="背面")+(機器台帳!$B$2:$B$400="両面")&gt;0)*(機器台帳!$F$2:$F$400&lt;&gt;"")*(機器台帳!$C$2:$C$400&lt;=39)*(機器台帳!$C$2:$C$400+機器台帳!$D$2:$D$400-1&gt;=39),0),0))&amp;IF(INDEX(機器台帳!$Y$2:$Y$400,MATCH(1,INDEX((機器台帳!$A$2:$A$400="E24-S8-2")*((機器台帳!$B$2:$B$400="背面")+(機器台帳!$B$2:$B$400="両面")&gt;0)*(機器台帳!$F$2:$F$400&lt;&gt;"")*(機器台帳!$C$2:$C$400&lt;=39)*(機器台帳!$C$2:$C$400+機器台帳!$D$2:$D$400-1&gt;=39),0),0))=0,"|未記入",""))</f>
        <v/>
      </c>
      <c r="J12" s="12">
        <f>IF(SUMPRODUCT((機器台帳!$A$2:$A$400="E24-S8-3")*((機器台帳!$B$2:$B$400="前面")+(機器台帳!$B$2:$B$400="両面")&gt;0)*(機器台帳!$F$2:$F$400&lt;&gt;"")*(機器台帳!$C$2:$C$400&lt;=39)*(機器台帳!$C$2:$C$400+機器台帳!$D$2:$D$400-1&gt;=39))=0,"",INDEX(機器台帳!$F$2:$F$400,MATCH(1,INDEX((機器台帳!$A$2:$A$400="E24-S8-3")*((機器台帳!$B$2:$B$400="前面")+(機器台帳!$B$2:$B$400="両面")&gt;0)*(機器台帳!$F$2:$F$400&lt;&gt;"")*(機器台帳!$C$2:$C$400&lt;=39)*(機器台帳!$C$2:$C$400+機器台帳!$D$2:$D$400-1&gt;=39),0),0))&amp;IF(INDEX(機器台帳!$G$2:$G$400,MATCH(1,INDEX((機器台帳!$A$2:$A$400="E24-S8-3")*((機器台帳!$B$2:$B$400="前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-3")*((機器台帳!$B$2:$B$400="前面")+(機器台帳!$B$2:$B$400="両面")&gt;0)*(機器台帳!$F$2:$F$400&lt;&gt;"")*(機器台帳!$C$2:$C$400&lt;=39)*(機器台帳!$C$2:$C$400+機器台帳!$D$2:$D$400-1&gt;=39),0),0)))&amp;IF(SUMPRODUCT((機器台帳!$A$2:$A$400="E24-S8-3")*((機器台帳!$B$2:$B$400="前面")+(機器台帳!$B$2:$B$400="両面")&gt;0)*(機器台帳!$F$2:$F$400&lt;&gt;"")*(機器台帳!$C$2:$C$400&lt;=39)*(機器台帳!$C$2:$C$400+機器台帳!$D$2:$D$400-1&gt;=39))&gt;1," 他"&amp;(SUMPRODUCT((機器台帳!$A$2:$A$400="E24-S8-3")*((機器台帳!$B$2:$B$400="前面")+(機器台帳!$B$2:$B$400="両面")&gt;0)*(機器台帳!$F$2:$F$400&lt;&gt;"")*(機器台帳!$C$2:$C$400&lt;=39)*(機器台帳!$C$2:$C$400+機器台帳!$D$2:$D$400-1&gt;=39))-1)&amp;"台",""))</f>
        <v/>
      </c>
      <c r="K12">
        <f>IF(SUMPRODUCT((機器台帳!$A$2:$A$400="E24-S8-3")*((機器台帳!$B$2:$B$400="前面")+(機器台帳!$B$2:$B$400="両面")&gt;0)*(機器台帳!$F$2:$F$400&lt;&gt;"")*(機器台帳!$C$2:$C$400&lt;=39)*(機器台帳!$C$2:$C$400+機器台帳!$D$2:$D$400-1&gt;=39))=0,"",INDEX(機器台帳!$I$2:$I$400,MATCH(1,INDEX((機器台帳!$A$2:$A$400="E24-S8-3")*((機器台帳!$B$2:$B$400="前面")+(機器台帳!$B$2:$B$400="両面")&gt;0)*(機器台帳!$F$2:$F$400&lt;&gt;"")*(機器台帳!$C$2:$C$400&lt;=39)*(機器台帳!$C$2:$C$400+機器台帳!$D$2:$D$400-1&gt;=39),0),0))&amp;IF(INDEX(機器台帳!$Y$2:$Y$400,MATCH(1,INDEX((機器台帳!$A$2:$A$400="E24-S8-3")*((機器台帳!$B$2:$B$400="前面")+(機器台帳!$B$2:$B$400="両面")&gt;0)*(機器台帳!$F$2:$F$400&lt;&gt;"")*(機器台帳!$C$2:$C$400&lt;=39)*(機器台帳!$C$2:$C$400+機器台帳!$D$2:$D$400-1&gt;=39),0),0))=0,"|未記入",""))</f>
        <v/>
      </c>
      <c r="L12" s="12">
        <f>IF(SUMPRODUCT((機器台帳!$A$2:$A$400="E24-S8-3")*((機器台帳!$B$2:$B$400="背面")+(機器台帳!$B$2:$B$400="両面")&gt;0)*(機器台帳!$F$2:$F$400&lt;&gt;"")*(機器台帳!$C$2:$C$400&lt;=39)*(機器台帳!$C$2:$C$400+機器台帳!$D$2:$D$400-1&gt;=39))=0,"",INDEX(機器台帳!$F$2:$F$400,MATCH(1,INDEX((機器台帳!$A$2:$A$400="E24-S8-3")*((機器台帳!$B$2:$B$400="背面")+(機器台帳!$B$2:$B$400="両面")&gt;0)*(機器台帳!$F$2:$F$400&lt;&gt;"")*(機器台帳!$C$2:$C$400&lt;=39)*(機器台帳!$C$2:$C$400+機器台帳!$D$2:$D$400-1&gt;=39),0),0))&amp;IF(INDEX(機器台帳!$G$2:$G$400,MATCH(1,INDEX((機器台帳!$A$2:$A$400="E24-S8-3")*((機器台帳!$B$2:$B$400="背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-3")*((機器台帳!$B$2:$B$400="背面")+(機器台帳!$B$2:$B$400="両面")&gt;0)*(機器台帳!$F$2:$F$400&lt;&gt;"")*(機器台帳!$C$2:$C$400&lt;=39)*(機器台帳!$C$2:$C$400+機器台帳!$D$2:$D$400-1&gt;=39),0),0)))&amp;IF(SUMPRODUCT((機器台帳!$A$2:$A$400="E24-S8-3")*((機器台帳!$B$2:$B$400="背面")+(機器台帳!$B$2:$B$400="両面")&gt;0)*(機器台帳!$F$2:$F$400&lt;&gt;"")*(機器台帳!$C$2:$C$400&lt;=39)*(機器台帳!$C$2:$C$400+機器台帳!$D$2:$D$400-1&gt;=39))&gt;1," 他"&amp;(SUMPRODUCT((機器台帳!$A$2:$A$400="E24-S8-3")*((機器台帳!$B$2:$B$400="背面")+(機器台帳!$B$2:$B$400="両面")&gt;0)*(機器台帳!$F$2:$F$400&lt;&gt;"")*(機器台帳!$C$2:$C$400&lt;=39)*(機器台帳!$C$2:$C$400+機器台帳!$D$2:$D$400-1&gt;=39))-1)&amp;"台",""))</f>
        <v/>
      </c>
      <c r="M12">
        <f>IF(SUMPRODUCT((機器台帳!$A$2:$A$400="E24-S8-3")*((機器台帳!$B$2:$B$400="背面")+(機器台帳!$B$2:$B$400="両面")&gt;0)*(機器台帳!$F$2:$F$400&lt;&gt;"")*(機器台帳!$C$2:$C$400&lt;=39)*(機器台帳!$C$2:$C$400+機器台帳!$D$2:$D$400-1&gt;=39))=0,"",INDEX(機器台帳!$I$2:$I$400,MATCH(1,INDEX((機器台帳!$A$2:$A$400="E24-S8-3")*((機器台帳!$B$2:$B$400="背面")+(機器台帳!$B$2:$B$400="両面")&gt;0)*(機器台帳!$F$2:$F$400&lt;&gt;"")*(機器台帳!$C$2:$C$400&lt;=39)*(機器台帳!$C$2:$C$400+機器台帳!$D$2:$D$400-1&gt;=39),0),0))&amp;IF(INDEX(機器台帳!$Y$2:$Y$400,MATCH(1,INDEX((機器台帳!$A$2:$A$400="E24-S8-3")*((機器台帳!$B$2:$B$400="背面")+(機器台帳!$B$2:$B$400="両面")&gt;0)*(機器台帳!$F$2:$F$400&lt;&gt;"")*(機器台帳!$C$2:$C$400&lt;=39)*(機器台帳!$C$2:$C$400+機器台帳!$D$2:$D$400-1&gt;=39),0),0))=0,"|未記入",""))</f>
        <v/>
      </c>
      <c r="N12" s="12">
        <f>IF(SUMPRODUCT((機器台帳!$A$2:$A$400="E24-S8-4")*((機器台帳!$B$2:$B$400="前面")+(機器台帳!$B$2:$B$400="両面")&gt;0)*(機器台帳!$F$2:$F$400&lt;&gt;"")*(機器台帳!$C$2:$C$400&lt;=39)*(機器台帳!$C$2:$C$400+機器台帳!$D$2:$D$400-1&gt;=39))=0,"",INDEX(機器台帳!$F$2:$F$400,MATCH(1,INDEX((機器台帳!$A$2:$A$400="E24-S8-4")*((機器台帳!$B$2:$B$400="前面")+(機器台帳!$B$2:$B$400="両面")&gt;0)*(機器台帳!$F$2:$F$400&lt;&gt;"")*(機器台帳!$C$2:$C$400&lt;=39)*(機器台帳!$C$2:$C$400+機器台帳!$D$2:$D$400-1&gt;=39),0),0))&amp;IF(INDEX(機器台帳!$G$2:$G$400,MATCH(1,INDEX((機器台帳!$A$2:$A$400="E24-S8-4")*((機器台帳!$B$2:$B$400="前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-4")*((機器台帳!$B$2:$B$400="前面")+(機器台帳!$B$2:$B$400="両面")&gt;0)*(機器台帳!$F$2:$F$400&lt;&gt;"")*(機器台帳!$C$2:$C$400&lt;=39)*(機器台帳!$C$2:$C$400+機器台帳!$D$2:$D$400-1&gt;=39),0),0)))&amp;IF(SUMPRODUCT((機器台帳!$A$2:$A$400="E24-S8-4")*((機器台帳!$B$2:$B$400="前面")+(機器台帳!$B$2:$B$400="両面")&gt;0)*(機器台帳!$F$2:$F$400&lt;&gt;"")*(機器台帳!$C$2:$C$400&lt;=39)*(機器台帳!$C$2:$C$400+機器台帳!$D$2:$D$400-1&gt;=39))&gt;1," 他"&amp;(SUMPRODUCT((機器台帳!$A$2:$A$400="E24-S8-4")*((機器台帳!$B$2:$B$400="前面")+(機器台帳!$B$2:$B$400="両面")&gt;0)*(機器台帳!$F$2:$F$400&lt;&gt;"")*(機器台帳!$C$2:$C$400&lt;=39)*(機器台帳!$C$2:$C$400+機器台帳!$D$2:$D$400-1&gt;=39))-1)&amp;"台",""))</f>
        <v/>
      </c>
      <c r="O12">
        <f>IF(SUMPRODUCT((機器台帳!$A$2:$A$400="E24-S8-4")*((機器台帳!$B$2:$B$400="前面")+(機器台帳!$B$2:$B$400="両面")&gt;0)*(機器台帳!$F$2:$F$400&lt;&gt;"")*(機器台帳!$C$2:$C$400&lt;=39)*(機器台帳!$C$2:$C$400+機器台帳!$D$2:$D$400-1&gt;=39))=0,"",INDEX(機器台帳!$I$2:$I$400,MATCH(1,INDEX((機器台帳!$A$2:$A$400="E24-S8-4")*((機器台帳!$B$2:$B$400="前面")+(機器台帳!$B$2:$B$400="両面")&gt;0)*(機器台帳!$F$2:$F$400&lt;&gt;"")*(機器台帳!$C$2:$C$400&lt;=39)*(機器台帳!$C$2:$C$400+機器台帳!$D$2:$D$400-1&gt;=39),0),0))&amp;IF(INDEX(機器台帳!$Y$2:$Y$400,MATCH(1,INDEX((機器台帳!$A$2:$A$400="E24-S8-4")*((機器台帳!$B$2:$B$400="前面")+(機器台帳!$B$2:$B$400="両面")&gt;0)*(機器台帳!$F$2:$F$400&lt;&gt;"")*(機器台帳!$C$2:$C$400&lt;=39)*(機器台帳!$C$2:$C$400+機器台帳!$D$2:$D$400-1&gt;=39),0),0))=0,"|未記入",""))</f>
        <v/>
      </c>
      <c r="P12" s="12">
        <f>IF(SUMPRODUCT((機器台帳!$A$2:$A$400="E24-S8-4")*((機器台帳!$B$2:$B$400="背面")+(機器台帳!$B$2:$B$400="両面")&gt;0)*(機器台帳!$F$2:$F$400&lt;&gt;"")*(機器台帳!$C$2:$C$400&lt;=39)*(機器台帳!$C$2:$C$400+機器台帳!$D$2:$D$400-1&gt;=39))=0,"",INDEX(機器台帳!$F$2:$F$400,MATCH(1,INDEX((機器台帳!$A$2:$A$400="E24-S8-4")*((機器台帳!$B$2:$B$400="背面")+(機器台帳!$B$2:$B$400="両面")&gt;0)*(機器台帳!$F$2:$F$400&lt;&gt;"")*(機器台帳!$C$2:$C$400&lt;=39)*(機器台帳!$C$2:$C$400+機器台帳!$D$2:$D$400-1&gt;=39),0),0))&amp;IF(INDEX(機器台帳!$G$2:$G$400,MATCH(1,INDEX((機器台帳!$A$2:$A$400="E24-S8-4")*((機器台帳!$B$2:$B$400="背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-4")*((機器台帳!$B$2:$B$400="背面")+(機器台帳!$B$2:$B$400="両面")&gt;0)*(機器台帳!$F$2:$F$400&lt;&gt;"")*(機器台帳!$C$2:$C$400&lt;=39)*(機器台帳!$C$2:$C$400+機器台帳!$D$2:$D$400-1&gt;=39),0),0)))&amp;IF(SUMPRODUCT((機器台帳!$A$2:$A$400="E24-S8-4")*((機器台帳!$B$2:$B$400="背面")+(機器台帳!$B$2:$B$400="両面")&gt;0)*(機器台帳!$F$2:$F$400&lt;&gt;"")*(機器台帳!$C$2:$C$400&lt;=39)*(機器台帳!$C$2:$C$400+機器台帳!$D$2:$D$400-1&gt;=39))&gt;1," 他"&amp;(SUMPRODUCT((機器台帳!$A$2:$A$400="E24-S8-4")*((機器台帳!$B$2:$B$400="背面")+(機器台帳!$B$2:$B$400="両面")&gt;0)*(機器台帳!$F$2:$F$400&lt;&gt;"")*(機器台帳!$C$2:$C$400&lt;=39)*(機器台帳!$C$2:$C$400+機器台帳!$D$2:$D$400-1&gt;=39))-1)&amp;"台",""))</f>
        <v/>
      </c>
      <c r="Q12">
        <f>IF(SUMPRODUCT((機器台帳!$A$2:$A$400="E24-S8-4")*((機器台帳!$B$2:$B$400="背面")+(機器台帳!$B$2:$B$400="両面")&gt;0)*(機器台帳!$F$2:$F$400&lt;&gt;"")*(機器台帳!$C$2:$C$400&lt;=39)*(機器台帳!$C$2:$C$400+機器台帳!$D$2:$D$400-1&gt;=39))=0,"",INDEX(機器台帳!$I$2:$I$400,MATCH(1,INDEX((機器台帳!$A$2:$A$400="E24-S8-4")*((機器台帳!$B$2:$B$400="背面")+(機器台帳!$B$2:$B$400="両面")&gt;0)*(機器台帳!$F$2:$F$400&lt;&gt;"")*(機器台帳!$C$2:$C$400&lt;=39)*(機器台帳!$C$2:$C$400+機器台帳!$D$2:$D$400-1&gt;=39),0),0))&amp;IF(INDEX(機器台帳!$Y$2:$Y$400,MATCH(1,INDEX((機器台帳!$A$2:$A$400="E24-S8-4")*((機器台帳!$B$2:$B$400="背面")+(機器台帳!$B$2:$B$400="両面")&gt;0)*(機器台帳!$F$2:$F$400&lt;&gt;"")*(機器台帳!$C$2:$C$400&lt;=39)*(機器台帳!$C$2:$C$400+機器台帳!$D$2:$D$400-1&gt;=39),0),0))=0,"|未記入",""))</f>
        <v/>
      </c>
      <c r="R12" s="12">
        <f>IF(SUMPRODUCT((機器台帳!$A$2:$A$400="E24-S8-5")*((機器台帳!$B$2:$B$400="前面")+(機器台帳!$B$2:$B$400="両面")&gt;0)*(機器台帳!$F$2:$F$400&lt;&gt;"")*(機器台帳!$C$2:$C$400&lt;=39)*(機器台帳!$C$2:$C$400+機器台帳!$D$2:$D$400-1&gt;=39))=0,"",INDEX(機器台帳!$F$2:$F$400,MATCH(1,INDEX((機器台帳!$A$2:$A$400="E24-S8-5")*((機器台帳!$B$2:$B$400="前面")+(機器台帳!$B$2:$B$400="両面")&gt;0)*(機器台帳!$F$2:$F$400&lt;&gt;"")*(機器台帳!$C$2:$C$400&lt;=39)*(機器台帳!$C$2:$C$400+機器台帳!$D$2:$D$400-1&gt;=39),0),0))&amp;IF(INDEX(機器台帳!$G$2:$G$400,MATCH(1,INDEX((機器台帳!$A$2:$A$400="E24-S8-5")*((機器台帳!$B$2:$B$400="前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-5")*((機器台帳!$B$2:$B$400="前面")+(機器台帳!$B$2:$B$400="両面")&gt;0)*(機器台帳!$F$2:$F$400&lt;&gt;"")*(機器台帳!$C$2:$C$400&lt;=39)*(機器台帳!$C$2:$C$400+機器台帳!$D$2:$D$400-1&gt;=39),0),0)))&amp;IF(SUMPRODUCT((機器台帳!$A$2:$A$400="E24-S8-5")*((機器台帳!$B$2:$B$400="前面")+(機器台帳!$B$2:$B$400="両面")&gt;0)*(機器台帳!$F$2:$F$400&lt;&gt;"")*(機器台帳!$C$2:$C$400&lt;=39)*(機器台帳!$C$2:$C$400+機器台帳!$D$2:$D$400-1&gt;=39))&gt;1," 他"&amp;(SUMPRODUCT((機器台帳!$A$2:$A$400="E24-S8-5")*((機器台帳!$B$2:$B$400="前面")+(機器台帳!$B$2:$B$400="両面")&gt;0)*(機器台帳!$F$2:$F$400&lt;&gt;"")*(機器台帳!$C$2:$C$400&lt;=39)*(機器台帳!$C$2:$C$400+機器台帳!$D$2:$D$400-1&gt;=39))-1)&amp;"台",""))</f>
        <v/>
      </c>
      <c r="S12">
        <f>IF(SUMPRODUCT((機器台帳!$A$2:$A$400="E24-S8-5")*((機器台帳!$B$2:$B$400="前面")+(機器台帳!$B$2:$B$400="両面")&gt;0)*(機器台帳!$F$2:$F$400&lt;&gt;"")*(機器台帳!$C$2:$C$400&lt;=39)*(機器台帳!$C$2:$C$400+機器台帳!$D$2:$D$400-1&gt;=39))=0,"",INDEX(機器台帳!$I$2:$I$400,MATCH(1,INDEX((機器台帳!$A$2:$A$400="E24-S8-5")*((機器台帳!$B$2:$B$400="前面")+(機器台帳!$B$2:$B$400="両面")&gt;0)*(機器台帳!$F$2:$F$400&lt;&gt;"")*(機器台帳!$C$2:$C$400&lt;=39)*(機器台帳!$C$2:$C$400+機器台帳!$D$2:$D$400-1&gt;=39),0),0))&amp;IF(INDEX(機器台帳!$Y$2:$Y$400,MATCH(1,INDEX((機器台帳!$A$2:$A$400="E24-S8-5")*((機器台帳!$B$2:$B$400="前面")+(機器台帳!$B$2:$B$400="両面")&gt;0)*(機器台帳!$F$2:$F$400&lt;&gt;"")*(機器台帳!$C$2:$C$400&lt;=39)*(機器台帳!$C$2:$C$400+機器台帳!$D$2:$D$400-1&gt;=39),0),0))=0,"|未記入",""))</f>
        <v/>
      </c>
      <c r="T12" s="12">
        <f>IF(SUMPRODUCT((機器台帳!$A$2:$A$400="E24-S8-5")*((機器台帳!$B$2:$B$400="背面")+(機器台帳!$B$2:$B$400="両面")&gt;0)*(機器台帳!$F$2:$F$400&lt;&gt;"")*(機器台帳!$C$2:$C$400&lt;=39)*(機器台帳!$C$2:$C$400+機器台帳!$D$2:$D$400-1&gt;=39))=0,"",INDEX(機器台帳!$F$2:$F$400,MATCH(1,INDEX((機器台帳!$A$2:$A$400="E24-S8-5")*((機器台帳!$B$2:$B$400="背面")+(機器台帳!$B$2:$B$400="両面")&gt;0)*(機器台帳!$F$2:$F$400&lt;&gt;"")*(機器台帳!$C$2:$C$400&lt;=39)*(機器台帳!$C$2:$C$400+機器台帳!$D$2:$D$400-1&gt;=39),0),0))&amp;IF(INDEX(機器台帳!$G$2:$G$400,MATCH(1,INDEX((機器台帳!$A$2:$A$400="E24-S8-5")*((機器台帳!$B$2:$B$400="背面")+(機器台帳!$B$2:$B$400="両面")&gt;0)*(機器台帳!$F$2:$F$400&lt;&gt;"")*(機器台帳!$C$2:$C$400&lt;=39)*(機器台帳!$C$2:$C$400+機器台帳!$D$2:$D$400-1&gt;=39),0),0))=""," "," "&amp;INDEX(機器台帳!$G$2:$G$400,MATCH(1,INDEX((機器台帳!$A$2:$A$400="E24-S8-5")*((機器台帳!$B$2:$B$400="背面")+(機器台帳!$B$2:$B$400="両面")&gt;0)*(機器台帳!$F$2:$F$400&lt;&gt;"")*(機器台帳!$C$2:$C$400&lt;=39)*(機器台帳!$C$2:$C$400+機器台帳!$D$2:$D$400-1&gt;=39),0),0)))&amp;IF(SUMPRODUCT((機器台帳!$A$2:$A$400="E24-S8-5")*((機器台帳!$B$2:$B$400="背面")+(機器台帳!$B$2:$B$400="両面")&gt;0)*(機器台帳!$F$2:$F$400&lt;&gt;"")*(機器台帳!$C$2:$C$400&lt;=39)*(機器台帳!$C$2:$C$400+機器台帳!$D$2:$D$400-1&gt;=39))&gt;1," 他"&amp;(SUMPRODUCT((機器台帳!$A$2:$A$400="E24-S8-5")*((機器台帳!$B$2:$B$400="背面")+(機器台帳!$B$2:$B$400="両面")&gt;0)*(機器台帳!$F$2:$F$400&lt;&gt;"")*(機器台帳!$C$2:$C$400&lt;=39)*(機器台帳!$C$2:$C$400+機器台帳!$D$2:$D$400-1&gt;=39))-1)&amp;"台",""))</f>
        <v/>
      </c>
      <c r="U12">
        <f>IF(SUMPRODUCT((機器台帳!$A$2:$A$400="E24-S8-5")*((機器台帳!$B$2:$B$400="背面")+(機器台帳!$B$2:$B$400="両面")&gt;0)*(機器台帳!$F$2:$F$400&lt;&gt;"")*(機器台帳!$C$2:$C$400&lt;=39)*(機器台帳!$C$2:$C$400+機器台帳!$D$2:$D$400-1&gt;=39))=0,"",INDEX(機器台帳!$I$2:$I$400,MATCH(1,INDEX((機器台帳!$A$2:$A$400="E24-S8-5")*((機器台帳!$B$2:$B$400="背面")+(機器台帳!$B$2:$B$400="両面")&gt;0)*(機器台帳!$F$2:$F$400&lt;&gt;"")*(機器台帳!$C$2:$C$400&lt;=39)*(機器台帳!$C$2:$C$400+機器台帳!$D$2:$D$400-1&gt;=39),0),0))&amp;IF(INDEX(機器台帳!$Y$2:$Y$400,MATCH(1,INDEX((機器台帳!$A$2:$A$400="E24-S8-5")*((機器台帳!$B$2:$B$400="背面")+(機器台帳!$B$2:$B$400="両面")&gt;0)*(機器台帳!$F$2:$F$400&lt;&gt;"")*(機器台帳!$C$2:$C$400&lt;=39)*(機器台帳!$C$2:$C$400+機器台帳!$D$2:$D$400-1&gt;=39),0),0))=0,"|未記入",""))</f>
        <v/>
      </c>
      <c r="V12" s="12">
        <f>IF(SUMPRODUCT((機器台帳!$A$2:$A$400="E24-S6-1")*((機器台帳!$B$2:$B$400="前面")+(機器台帳!$B$2:$B$400="両面")&gt;0)*(機器台帳!$F$2:$F$400&lt;&gt;"")*(機器台帳!$C$2:$C$400&lt;=39)*(機器台帳!$C$2:$C$400+機器台帳!$D$2:$D$400-1&gt;=39))=0,"",INDEX(機器台帳!$F$2:$F$400,MATCH(1,INDEX((機器台帳!$A$2:$A$400="E24-S6-1")*((機器台帳!$B$2:$B$400="前面")+(機器台帳!$B$2:$B$400="両面")&gt;0)*(機器台帳!$F$2:$F$400&lt;&gt;"")*(機器台帳!$C$2:$C$400&lt;=39)*(機器台帳!$C$2:$C$400+機器台帳!$D$2:$D$400-1&gt;=39),0),0))&amp;IF(INDEX(機器台帳!$G$2:$G$400,MATCH(1,INDEX((機器台帳!$A$2:$A$400="E24-S6-1")*((機器台帳!$B$2:$B$400="前面")+(機器台帳!$B$2:$B$400="両面")&gt;0)*(機器台帳!$F$2:$F$400&lt;&gt;"")*(機器台帳!$C$2:$C$400&lt;=39)*(機器台帳!$C$2:$C$400+機器台帳!$D$2:$D$400-1&gt;=39),0),0))=""," "," "&amp;INDEX(機器台帳!$G$2:$G$400,MATCH(1,INDEX((機器台帳!$A$2:$A$400="E24-S6-1")*((機器台帳!$B$2:$B$400="前面")+(機器台帳!$B$2:$B$400="両面")&gt;0)*(機器台帳!$F$2:$F$400&lt;&gt;"")*(機器台帳!$C$2:$C$400&lt;=39)*(機器台帳!$C$2:$C$400+機器台帳!$D$2:$D$400-1&gt;=39),0),0)))&amp;IF(SUMPRODUCT((機器台帳!$A$2:$A$400="E24-S6-1")*((機器台帳!$B$2:$B$400="前面")+(機器台帳!$B$2:$B$400="両面")&gt;0)*(機器台帳!$F$2:$F$400&lt;&gt;"")*(機器台帳!$C$2:$C$400&lt;=39)*(機器台帳!$C$2:$C$400+機器台帳!$D$2:$D$400-1&gt;=39))&gt;1," 他"&amp;(SUMPRODUCT((機器台帳!$A$2:$A$400="E24-S6-1")*((機器台帳!$B$2:$B$400="前面")+(機器台帳!$B$2:$B$400="両面")&gt;0)*(機器台帳!$F$2:$F$400&lt;&gt;"")*(機器台帳!$C$2:$C$400&lt;=39)*(機器台帳!$C$2:$C$400+機器台帳!$D$2:$D$400-1&gt;=39))-1)&amp;"台",""))</f>
        <v/>
      </c>
      <c r="W12">
        <f>IF(SUMPRODUCT((機器台帳!$A$2:$A$400="E24-S6-1")*((機器台帳!$B$2:$B$400="前面")+(機器台帳!$B$2:$B$400="両面")&gt;0)*(機器台帳!$F$2:$F$400&lt;&gt;"")*(機器台帳!$C$2:$C$400&lt;=39)*(機器台帳!$C$2:$C$400+機器台帳!$D$2:$D$400-1&gt;=39))=0,"",INDEX(機器台帳!$I$2:$I$400,MATCH(1,INDEX((機器台帳!$A$2:$A$400="E24-S6-1")*((機器台帳!$B$2:$B$400="前面")+(機器台帳!$B$2:$B$400="両面")&gt;0)*(機器台帳!$F$2:$F$400&lt;&gt;"")*(機器台帳!$C$2:$C$400&lt;=39)*(機器台帳!$C$2:$C$400+機器台帳!$D$2:$D$400-1&gt;=39),0),0))&amp;IF(INDEX(機器台帳!$Y$2:$Y$400,MATCH(1,INDEX((機器台帳!$A$2:$A$400="E24-S6-1")*((機器台帳!$B$2:$B$400="前面")+(機器台帳!$B$2:$B$400="両面")&gt;0)*(機器台帳!$F$2:$F$400&lt;&gt;"")*(機器台帳!$C$2:$C$400&lt;=39)*(機器台帳!$C$2:$C$400+機器台帳!$D$2:$D$400-1&gt;=39),0),0))=0,"|未記入",""))</f>
        <v/>
      </c>
      <c r="X12" s="12">
        <f>IF(SUMPRODUCT((機器台帳!$A$2:$A$400="E24-S6-1")*((機器台帳!$B$2:$B$400="背面")+(機器台帳!$B$2:$B$400="両面")&gt;0)*(機器台帳!$F$2:$F$400&lt;&gt;"")*(機器台帳!$C$2:$C$400&lt;=39)*(機器台帳!$C$2:$C$400+機器台帳!$D$2:$D$400-1&gt;=39))=0,"",INDEX(機器台帳!$F$2:$F$400,MATCH(1,INDEX((機器台帳!$A$2:$A$400="E24-S6-1")*((機器台帳!$B$2:$B$400="背面")+(機器台帳!$B$2:$B$400="両面")&gt;0)*(機器台帳!$F$2:$F$400&lt;&gt;"")*(機器台帳!$C$2:$C$400&lt;=39)*(機器台帳!$C$2:$C$400+機器台帳!$D$2:$D$400-1&gt;=39),0),0))&amp;IF(INDEX(機器台帳!$G$2:$G$400,MATCH(1,INDEX((機器台帳!$A$2:$A$400="E24-S6-1")*((機器台帳!$B$2:$B$400="背面")+(機器台帳!$B$2:$B$400="両面")&gt;0)*(機器台帳!$F$2:$F$400&lt;&gt;"")*(機器台帳!$C$2:$C$400&lt;=39)*(機器台帳!$C$2:$C$400+機器台帳!$D$2:$D$400-1&gt;=39),0),0))=""," "," "&amp;INDEX(機器台帳!$G$2:$G$400,MATCH(1,INDEX((機器台帳!$A$2:$A$400="E24-S6-1")*((機器台帳!$B$2:$B$400="背面")+(機器台帳!$B$2:$B$400="両面")&gt;0)*(機器台帳!$F$2:$F$400&lt;&gt;"")*(機器台帳!$C$2:$C$400&lt;=39)*(機器台帳!$C$2:$C$400+機器台帳!$D$2:$D$400-1&gt;=39),0),0)))&amp;IF(SUMPRODUCT((機器台帳!$A$2:$A$400="E24-S6-1")*((機器台帳!$B$2:$B$400="背面")+(機器台帳!$B$2:$B$400="両面")&gt;0)*(機器台帳!$F$2:$F$400&lt;&gt;"")*(機器台帳!$C$2:$C$400&lt;=39)*(機器台帳!$C$2:$C$400+機器台帳!$D$2:$D$400-1&gt;=39))&gt;1," 他"&amp;(SUMPRODUCT((機器台帳!$A$2:$A$400="E24-S6-1")*((機器台帳!$B$2:$B$400="背面")+(機器台帳!$B$2:$B$400="両面")&gt;0)*(機器台帳!$F$2:$F$400&lt;&gt;"")*(機器台帳!$C$2:$C$400&lt;=39)*(機器台帳!$C$2:$C$400+機器台帳!$D$2:$D$400-1&gt;=39))-1)&amp;"台",""))</f>
        <v/>
      </c>
      <c r="Y12">
        <f>IF(SUMPRODUCT((機器台帳!$A$2:$A$400="E24-S6-1")*((機器台帳!$B$2:$B$400="背面")+(機器台帳!$B$2:$B$400="両面")&gt;0)*(機器台帳!$F$2:$F$400&lt;&gt;"")*(機器台帳!$C$2:$C$400&lt;=39)*(機器台帳!$C$2:$C$400+機器台帳!$D$2:$D$400-1&gt;=39))=0,"",INDEX(機器台帳!$I$2:$I$400,MATCH(1,INDEX((機器台帳!$A$2:$A$400="E24-S6-1")*((機器台帳!$B$2:$B$400="背面")+(機器台帳!$B$2:$B$400="両面")&gt;0)*(機器台帳!$F$2:$F$400&lt;&gt;"")*(機器台帳!$C$2:$C$400&lt;=39)*(機器台帳!$C$2:$C$400+機器台帳!$D$2:$D$400-1&gt;=39),0),0))&amp;IF(INDEX(機器台帳!$Y$2:$Y$400,MATCH(1,INDEX((機器台帳!$A$2:$A$400="E24-S6-1")*((機器台帳!$B$2:$B$400="背面")+(機器台帳!$B$2:$B$400="両面")&gt;0)*(機器台帳!$F$2:$F$400&lt;&gt;"")*(機器台帳!$C$2:$C$400&lt;=39)*(機器台帳!$C$2:$C$400+機器台帳!$D$2:$D$400-1&gt;=39),0),0))=0,"|未記入",""))</f>
        <v/>
      </c>
    </row>
    <row r="13">
      <c r="A13" s="11" t="n">
        <v>38</v>
      </c>
      <c r="B13" s="12">
        <f>IF(SUMPRODUCT((機器台帳!$A$2:$A$400="E24-S8-1")*((機器台帳!$B$2:$B$400="前面")+(機器台帳!$B$2:$B$400="両面")&gt;0)*(機器台帳!$F$2:$F$400&lt;&gt;"")*(機器台帳!$C$2:$C$400&lt;=38)*(機器台帳!$C$2:$C$400+機器台帳!$D$2:$D$400-1&gt;=38))=0,"",INDEX(機器台帳!$F$2:$F$400,MATCH(1,INDEX((機器台帳!$A$2:$A$400="E24-S8-1")*((機器台帳!$B$2:$B$400="前面")+(機器台帳!$B$2:$B$400="両面")&gt;0)*(機器台帳!$F$2:$F$400&lt;&gt;"")*(機器台帳!$C$2:$C$400&lt;=38)*(機器台帳!$C$2:$C$400+機器台帳!$D$2:$D$400-1&gt;=38),0),0))&amp;IF(INDEX(機器台帳!$G$2:$G$400,MATCH(1,INDEX((機器台帳!$A$2:$A$400="E24-S8-1")*((機器台帳!$B$2:$B$400="前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-1")*((機器台帳!$B$2:$B$400="前面")+(機器台帳!$B$2:$B$400="両面")&gt;0)*(機器台帳!$F$2:$F$400&lt;&gt;"")*(機器台帳!$C$2:$C$400&lt;=38)*(機器台帳!$C$2:$C$400+機器台帳!$D$2:$D$400-1&gt;=38),0),0)))&amp;IF(SUMPRODUCT((機器台帳!$A$2:$A$400="E24-S8-1")*((機器台帳!$B$2:$B$400="前面")+(機器台帳!$B$2:$B$400="両面")&gt;0)*(機器台帳!$F$2:$F$400&lt;&gt;"")*(機器台帳!$C$2:$C$400&lt;=38)*(機器台帳!$C$2:$C$400+機器台帳!$D$2:$D$400-1&gt;=38))&gt;1," 他"&amp;(SUMPRODUCT((機器台帳!$A$2:$A$400="E24-S8-1")*((機器台帳!$B$2:$B$400="前面")+(機器台帳!$B$2:$B$400="両面")&gt;0)*(機器台帳!$F$2:$F$400&lt;&gt;"")*(機器台帳!$C$2:$C$400&lt;=38)*(機器台帳!$C$2:$C$400+機器台帳!$D$2:$D$400-1&gt;=38))-1)&amp;"台",""))</f>
        <v/>
      </c>
      <c r="C13">
        <f>IF(SUMPRODUCT((機器台帳!$A$2:$A$400="E24-S8-1")*((機器台帳!$B$2:$B$400="前面")+(機器台帳!$B$2:$B$400="両面")&gt;0)*(機器台帳!$F$2:$F$400&lt;&gt;"")*(機器台帳!$C$2:$C$400&lt;=38)*(機器台帳!$C$2:$C$400+機器台帳!$D$2:$D$400-1&gt;=38))=0,"",INDEX(機器台帳!$I$2:$I$400,MATCH(1,INDEX((機器台帳!$A$2:$A$400="E24-S8-1")*((機器台帳!$B$2:$B$400="前面")+(機器台帳!$B$2:$B$400="両面")&gt;0)*(機器台帳!$F$2:$F$400&lt;&gt;"")*(機器台帳!$C$2:$C$400&lt;=38)*(機器台帳!$C$2:$C$400+機器台帳!$D$2:$D$400-1&gt;=38),0),0))&amp;IF(INDEX(機器台帳!$Y$2:$Y$400,MATCH(1,INDEX((機器台帳!$A$2:$A$400="E24-S8-1")*((機器台帳!$B$2:$B$400="前面")+(機器台帳!$B$2:$B$400="両面")&gt;0)*(機器台帳!$F$2:$F$400&lt;&gt;"")*(機器台帳!$C$2:$C$400&lt;=38)*(機器台帳!$C$2:$C$400+機器台帳!$D$2:$D$400-1&gt;=38),0),0))=0,"|未記入",""))</f>
        <v/>
      </c>
      <c r="D13" s="12">
        <f>IF(SUMPRODUCT((機器台帳!$A$2:$A$400="E24-S8-1")*((機器台帳!$B$2:$B$400="背面")+(機器台帳!$B$2:$B$400="両面")&gt;0)*(機器台帳!$F$2:$F$400&lt;&gt;"")*(機器台帳!$C$2:$C$400&lt;=38)*(機器台帳!$C$2:$C$400+機器台帳!$D$2:$D$400-1&gt;=38))=0,"",INDEX(機器台帳!$F$2:$F$400,MATCH(1,INDEX((機器台帳!$A$2:$A$400="E24-S8-1")*((機器台帳!$B$2:$B$400="背面")+(機器台帳!$B$2:$B$400="両面")&gt;0)*(機器台帳!$F$2:$F$400&lt;&gt;"")*(機器台帳!$C$2:$C$400&lt;=38)*(機器台帳!$C$2:$C$400+機器台帳!$D$2:$D$400-1&gt;=38),0),0))&amp;IF(INDEX(機器台帳!$G$2:$G$400,MATCH(1,INDEX((機器台帳!$A$2:$A$400="E24-S8-1")*((機器台帳!$B$2:$B$400="背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-1")*((機器台帳!$B$2:$B$400="背面")+(機器台帳!$B$2:$B$400="両面")&gt;0)*(機器台帳!$F$2:$F$400&lt;&gt;"")*(機器台帳!$C$2:$C$400&lt;=38)*(機器台帳!$C$2:$C$400+機器台帳!$D$2:$D$400-1&gt;=38),0),0)))&amp;IF(SUMPRODUCT((機器台帳!$A$2:$A$400="E24-S8-1")*((機器台帳!$B$2:$B$400="背面")+(機器台帳!$B$2:$B$400="両面")&gt;0)*(機器台帳!$F$2:$F$400&lt;&gt;"")*(機器台帳!$C$2:$C$400&lt;=38)*(機器台帳!$C$2:$C$400+機器台帳!$D$2:$D$400-1&gt;=38))&gt;1," 他"&amp;(SUMPRODUCT((機器台帳!$A$2:$A$400="E24-S8-1")*((機器台帳!$B$2:$B$400="背面")+(機器台帳!$B$2:$B$400="両面")&gt;0)*(機器台帳!$F$2:$F$400&lt;&gt;"")*(機器台帳!$C$2:$C$400&lt;=38)*(機器台帳!$C$2:$C$400+機器台帳!$D$2:$D$400-1&gt;=38))-1)&amp;"台",""))</f>
        <v/>
      </c>
      <c r="E13">
        <f>IF(SUMPRODUCT((機器台帳!$A$2:$A$400="E24-S8-1")*((機器台帳!$B$2:$B$400="背面")+(機器台帳!$B$2:$B$400="両面")&gt;0)*(機器台帳!$F$2:$F$400&lt;&gt;"")*(機器台帳!$C$2:$C$400&lt;=38)*(機器台帳!$C$2:$C$400+機器台帳!$D$2:$D$400-1&gt;=38))=0,"",INDEX(機器台帳!$I$2:$I$400,MATCH(1,INDEX((機器台帳!$A$2:$A$400="E24-S8-1")*((機器台帳!$B$2:$B$400="背面")+(機器台帳!$B$2:$B$400="両面")&gt;0)*(機器台帳!$F$2:$F$400&lt;&gt;"")*(機器台帳!$C$2:$C$400&lt;=38)*(機器台帳!$C$2:$C$400+機器台帳!$D$2:$D$400-1&gt;=38),0),0))&amp;IF(INDEX(機器台帳!$Y$2:$Y$400,MATCH(1,INDEX((機器台帳!$A$2:$A$400="E24-S8-1")*((機器台帳!$B$2:$B$400="背面")+(機器台帳!$B$2:$B$400="両面")&gt;0)*(機器台帳!$F$2:$F$400&lt;&gt;"")*(機器台帳!$C$2:$C$400&lt;=38)*(機器台帳!$C$2:$C$400+機器台帳!$D$2:$D$400-1&gt;=38),0),0))=0,"|未記入",""))</f>
        <v/>
      </c>
      <c r="F13" s="12">
        <f>IF(SUMPRODUCT((機器台帳!$A$2:$A$400="E24-S8-2")*((機器台帳!$B$2:$B$400="前面")+(機器台帳!$B$2:$B$400="両面")&gt;0)*(機器台帳!$F$2:$F$400&lt;&gt;"")*(機器台帳!$C$2:$C$400&lt;=38)*(機器台帳!$C$2:$C$400+機器台帳!$D$2:$D$400-1&gt;=38))=0,"",INDEX(機器台帳!$F$2:$F$400,MATCH(1,INDEX((機器台帳!$A$2:$A$400="E24-S8-2")*((機器台帳!$B$2:$B$400="前面")+(機器台帳!$B$2:$B$400="両面")&gt;0)*(機器台帳!$F$2:$F$400&lt;&gt;"")*(機器台帳!$C$2:$C$400&lt;=38)*(機器台帳!$C$2:$C$400+機器台帳!$D$2:$D$400-1&gt;=38),0),0))&amp;IF(INDEX(機器台帳!$G$2:$G$400,MATCH(1,INDEX((機器台帳!$A$2:$A$400="E24-S8-2")*((機器台帳!$B$2:$B$400="前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-2")*((機器台帳!$B$2:$B$400="前面")+(機器台帳!$B$2:$B$400="両面")&gt;0)*(機器台帳!$F$2:$F$400&lt;&gt;"")*(機器台帳!$C$2:$C$400&lt;=38)*(機器台帳!$C$2:$C$400+機器台帳!$D$2:$D$400-1&gt;=38),0),0)))&amp;IF(SUMPRODUCT((機器台帳!$A$2:$A$400="E24-S8-2")*((機器台帳!$B$2:$B$400="前面")+(機器台帳!$B$2:$B$400="両面")&gt;0)*(機器台帳!$F$2:$F$400&lt;&gt;"")*(機器台帳!$C$2:$C$400&lt;=38)*(機器台帳!$C$2:$C$400+機器台帳!$D$2:$D$400-1&gt;=38))&gt;1," 他"&amp;(SUMPRODUCT((機器台帳!$A$2:$A$400="E24-S8-2")*((機器台帳!$B$2:$B$400="前面")+(機器台帳!$B$2:$B$400="両面")&gt;0)*(機器台帳!$F$2:$F$400&lt;&gt;"")*(機器台帳!$C$2:$C$400&lt;=38)*(機器台帳!$C$2:$C$400+機器台帳!$D$2:$D$400-1&gt;=38))-1)&amp;"台",""))</f>
        <v/>
      </c>
      <c r="G13">
        <f>IF(SUMPRODUCT((機器台帳!$A$2:$A$400="E24-S8-2")*((機器台帳!$B$2:$B$400="前面")+(機器台帳!$B$2:$B$400="両面")&gt;0)*(機器台帳!$F$2:$F$400&lt;&gt;"")*(機器台帳!$C$2:$C$400&lt;=38)*(機器台帳!$C$2:$C$400+機器台帳!$D$2:$D$400-1&gt;=38))=0,"",INDEX(機器台帳!$I$2:$I$400,MATCH(1,INDEX((機器台帳!$A$2:$A$400="E24-S8-2")*((機器台帳!$B$2:$B$400="前面")+(機器台帳!$B$2:$B$400="両面")&gt;0)*(機器台帳!$F$2:$F$400&lt;&gt;"")*(機器台帳!$C$2:$C$400&lt;=38)*(機器台帳!$C$2:$C$400+機器台帳!$D$2:$D$400-1&gt;=38),0),0))&amp;IF(INDEX(機器台帳!$Y$2:$Y$400,MATCH(1,INDEX((機器台帳!$A$2:$A$400="E24-S8-2")*((機器台帳!$B$2:$B$400="前面")+(機器台帳!$B$2:$B$400="両面")&gt;0)*(機器台帳!$F$2:$F$400&lt;&gt;"")*(機器台帳!$C$2:$C$400&lt;=38)*(機器台帳!$C$2:$C$400+機器台帳!$D$2:$D$400-1&gt;=38),0),0))=0,"|未記入",""))</f>
        <v/>
      </c>
      <c r="H13" s="12">
        <f>IF(SUMPRODUCT((機器台帳!$A$2:$A$400="E24-S8-2")*((機器台帳!$B$2:$B$400="背面")+(機器台帳!$B$2:$B$400="両面")&gt;0)*(機器台帳!$F$2:$F$400&lt;&gt;"")*(機器台帳!$C$2:$C$400&lt;=38)*(機器台帳!$C$2:$C$400+機器台帳!$D$2:$D$400-1&gt;=38))=0,"",INDEX(機器台帳!$F$2:$F$400,MATCH(1,INDEX((機器台帳!$A$2:$A$400="E24-S8-2")*((機器台帳!$B$2:$B$400="背面")+(機器台帳!$B$2:$B$400="両面")&gt;0)*(機器台帳!$F$2:$F$400&lt;&gt;"")*(機器台帳!$C$2:$C$400&lt;=38)*(機器台帳!$C$2:$C$400+機器台帳!$D$2:$D$400-1&gt;=38),0),0))&amp;IF(INDEX(機器台帳!$G$2:$G$400,MATCH(1,INDEX((機器台帳!$A$2:$A$400="E24-S8-2")*((機器台帳!$B$2:$B$400="背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-2")*((機器台帳!$B$2:$B$400="背面")+(機器台帳!$B$2:$B$400="両面")&gt;0)*(機器台帳!$F$2:$F$400&lt;&gt;"")*(機器台帳!$C$2:$C$400&lt;=38)*(機器台帳!$C$2:$C$400+機器台帳!$D$2:$D$400-1&gt;=38),0),0)))&amp;IF(SUMPRODUCT((機器台帳!$A$2:$A$400="E24-S8-2")*((機器台帳!$B$2:$B$400="背面")+(機器台帳!$B$2:$B$400="両面")&gt;0)*(機器台帳!$F$2:$F$400&lt;&gt;"")*(機器台帳!$C$2:$C$400&lt;=38)*(機器台帳!$C$2:$C$400+機器台帳!$D$2:$D$400-1&gt;=38))&gt;1," 他"&amp;(SUMPRODUCT((機器台帳!$A$2:$A$400="E24-S8-2")*((機器台帳!$B$2:$B$400="背面")+(機器台帳!$B$2:$B$400="両面")&gt;0)*(機器台帳!$F$2:$F$400&lt;&gt;"")*(機器台帳!$C$2:$C$400&lt;=38)*(機器台帳!$C$2:$C$400+機器台帳!$D$2:$D$400-1&gt;=38))-1)&amp;"台",""))</f>
        <v/>
      </c>
      <c r="I13">
        <f>IF(SUMPRODUCT((機器台帳!$A$2:$A$400="E24-S8-2")*((機器台帳!$B$2:$B$400="背面")+(機器台帳!$B$2:$B$400="両面")&gt;0)*(機器台帳!$F$2:$F$400&lt;&gt;"")*(機器台帳!$C$2:$C$400&lt;=38)*(機器台帳!$C$2:$C$400+機器台帳!$D$2:$D$400-1&gt;=38))=0,"",INDEX(機器台帳!$I$2:$I$400,MATCH(1,INDEX((機器台帳!$A$2:$A$400="E24-S8-2")*((機器台帳!$B$2:$B$400="背面")+(機器台帳!$B$2:$B$400="両面")&gt;0)*(機器台帳!$F$2:$F$400&lt;&gt;"")*(機器台帳!$C$2:$C$400&lt;=38)*(機器台帳!$C$2:$C$400+機器台帳!$D$2:$D$400-1&gt;=38),0),0))&amp;IF(INDEX(機器台帳!$Y$2:$Y$400,MATCH(1,INDEX((機器台帳!$A$2:$A$400="E24-S8-2")*((機器台帳!$B$2:$B$400="背面")+(機器台帳!$B$2:$B$400="両面")&gt;0)*(機器台帳!$F$2:$F$400&lt;&gt;"")*(機器台帳!$C$2:$C$400&lt;=38)*(機器台帳!$C$2:$C$400+機器台帳!$D$2:$D$400-1&gt;=38),0),0))=0,"|未記入",""))</f>
        <v/>
      </c>
      <c r="J13" s="12">
        <f>IF(SUMPRODUCT((機器台帳!$A$2:$A$400="E24-S8-3")*((機器台帳!$B$2:$B$400="前面")+(機器台帳!$B$2:$B$400="両面")&gt;0)*(機器台帳!$F$2:$F$400&lt;&gt;"")*(機器台帳!$C$2:$C$400&lt;=38)*(機器台帳!$C$2:$C$400+機器台帳!$D$2:$D$400-1&gt;=38))=0,"",INDEX(機器台帳!$F$2:$F$400,MATCH(1,INDEX((機器台帳!$A$2:$A$400="E24-S8-3")*((機器台帳!$B$2:$B$400="前面")+(機器台帳!$B$2:$B$400="両面")&gt;0)*(機器台帳!$F$2:$F$400&lt;&gt;"")*(機器台帳!$C$2:$C$400&lt;=38)*(機器台帳!$C$2:$C$400+機器台帳!$D$2:$D$400-1&gt;=38),0),0))&amp;IF(INDEX(機器台帳!$G$2:$G$400,MATCH(1,INDEX((機器台帳!$A$2:$A$400="E24-S8-3")*((機器台帳!$B$2:$B$400="前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-3")*((機器台帳!$B$2:$B$400="前面")+(機器台帳!$B$2:$B$400="両面")&gt;0)*(機器台帳!$F$2:$F$400&lt;&gt;"")*(機器台帳!$C$2:$C$400&lt;=38)*(機器台帳!$C$2:$C$400+機器台帳!$D$2:$D$400-1&gt;=38),0),0)))&amp;IF(SUMPRODUCT((機器台帳!$A$2:$A$400="E24-S8-3")*((機器台帳!$B$2:$B$400="前面")+(機器台帳!$B$2:$B$400="両面")&gt;0)*(機器台帳!$F$2:$F$400&lt;&gt;"")*(機器台帳!$C$2:$C$400&lt;=38)*(機器台帳!$C$2:$C$400+機器台帳!$D$2:$D$400-1&gt;=38))&gt;1," 他"&amp;(SUMPRODUCT((機器台帳!$A$2:$A$400="E24-S8-3")*((機器台帳!$B$2:$B$400="前面")+(機器台帳!$B$2:$B$400="両面")&gt;0)*(機器台帳!$F$2:$F$400&lt;&gt;"")*(機器台帳!$C$2:$C$400&lt;=38)*(機器台帳!$C$2:$C$400+機器台帳!$D$2:$D$400-1&gt;=38))-1)&amp;"台",""))</f>
        <v/>
      </c>
      <c r="K13">
        <f>IF(SUMPRODUCT((機器台帳!$A$2:$A$400="E24-S8-3")*((機器台帳!$B$2:$B$400="前面")+(機器台帳!$B$2:$B$400="両面")&gt;0)*(機器台帳!$F$2:$F$400&lt;&gt;"")*(機器台帳!$C$2:$C$400&lt;=38)*(機器台帳!$C$2:$C$400+機器台帳!$D$2:$D$400-1&gt;=38))=0,"",INDEX(機器台帳!$I$2:$I$400,MATCH(1,INDEX((機器台帳!$A$2:$A$400="E24-S8-3")*((機器台帳!$B$2:$B$400="前面")+(機器台帳!$B$2:$B$400="両面")&gt;0)*(機器台帳!$F$2:$F$400&lt;&gt;"")*(機器台帳!$C$2:$C$400&lt;=38)*(機器台帳!$C$2:$C$400+機器台帳!$D$2:$D$400-1&gt;=38),0),0))&amp;IF(INDEX(機器台帳!$Y$2:$Y$400,MATCH(1,INDEX((機器台帳!$A$2:$A$400="E24-S8-3")*((機器台帳!$B$2:$B$400="前面")+(機器台帳!$B$2:$B$400="両面")&gt;0)*(機器台帳!$F$2:$F$400&lt;&gt;"")*(機器台帳!$C$2:$C$400&lt;=38)*(機器台帳!$C$2:$C$400+機器台帳!$D$2:$D$400-1&gt;=38),0),0))=0,"|未記入",""))</f>
        <v/>
      </c>
      <c r="L13" s="12">
        <f>IF(SUMPRODUCT((機器台帳!$A$2:$A$400="E24-S8-3")*((機器台帳!$B$2:$B$400="背面")+(機器台帳!$B$2:$B$400="両面")&gt;0)*(機器台帳!$F$2:$F$400&lt;&gt;"")*(機器台帳!$C$2:$C$400&lt;=38)*(機器台帳!$C$2:$C$400+機器台帳!$D$2:$D$400-1&gt;=38))=0,"",INDEX(機器台帳!$F$2:$F$400,MATCH(1,INDEX((機器台帳!$A$2:$A$400="E24-S8-3")*((機器台帳!$B$2:$B$400="背面")+(機器台帳!$B$2:$B$400="両面")&gt;0)*(機器台帳!$F$2:$F$400&lt;&gt;"")*(機器台帳!$C$2:$C$400&lt;=38)*(機器台帳!$C$2:$C$400+機器台帳!$D$2:$D$400-1&gt;=38),0),0))&amp;IF(INDEX(機器台帳!$G$2:$G$400,MATCH(1,INDEX((機器台帳!$A$2:$A$400="E24-S8-3")*((機器台帳!$B$2:$B$400="背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-3")*((機器台帳!$B$2:$B$400="背面")+(機器台帳!$B$2:$B$400="両面")&gt;0)*(機器台帳!$F$2:$F$400&lt;&gt;"")*(機器台帳!$C$2:$C$400&lt;=38)*(機器台帳!$C$2:$C$400+機器台帳!$D$2:$D$400-1&gt;=38),0),0)))&amp;IF(SUMPRODUCT((機器台帳!$A$2:$A$400="E24-S8-3")*((機器台帳!$B$2:$B$400="背面")+(機器台帳!$B$2:$B$400="両面")&gt;0)*(機器台帳!$F$2:$F$400&lt;&gt;"")*(機器台帳!$C$2:$C$400&lt;=38)*(機器台帳!$C$2:$C$400+機器台帳!$D$2:$D$400-1&gt;=38))&gt;1," 他"&amp;(SUMPRODUCT((機器台帳!$A$2:$A$400="E24-S8-3")*((機器台帳!$B$2:$B$400="背面")+(機器台帳!$B$2:$B$400="両面")&gt;0)*(機器台帳!$F$2:$F$400&lt;&gt;"")*(機器台帳!$C$2:$C$400&lt;=38)*(機器台帳!$C$2:$C$400+機器台帳!$D$2:$D$400-1&gt;=38))-1)&amp;"台",""))</f>
        <v/>
      </c>
      <c r="M13">
        <f>IF(SUMPRODUCT((機器台帳!$A$2:$A$400="E24-S8-3")*((機器台帳!$B$2:$B$400="背面")+(機器台帳!$B$2:$B$400="両面")&gt;0)*(機器台帳!$F$2:$F$400&lt;&gt;"")*(機器台帳!$C$2:$C$400&lt;=38)*(機器台帳!$C$2:$C$400+機器台帳!$D$2:$D$400-1&gt;=38))=0,"",INDEX(機器台帳!$I$2:$I$400,MATCH(1,INDEX((機器台帳!$A$2:$A$400="E24-S8-3")*((機器台帳!$B$2:$B$400="背面")+(機器台帳!$B$2:$B$400="両面")&gt;0)*(機器台帳!$F$2:$F$400&lt;&gt;"")*(機器台帳!$C$2:$C$400&lt;=38)*(機器台帳!$C$2:$C$400+機器台帳!$D$2:$D$400-1&gt;=38),0),0))&amp;IF(INDEX(機器台帳!$Y$2:$Y$400,MATCH(1,INDEX((機器台帳!$A$2:$A$400="E24-S8-3")*((機器台帳!$B$2:$B$400="背面")+(機器台帳!$B$2:$B$400="両面")&gt;0)*(機器台帳!$F$2:$F$400&lt;&gt;"")*(機器台帳!$C$2:$C$400&lt;=38)*(機器台帳!$C$2:$C$400+機器台帳!$D$2:$D$400-1&gt;=38),0),0))=0,"|未記入",""))</f>
        <v/>
      </c>
      <c r="N13" s="12">
        <f>IF(SUMPRODUCT((機器台帳!$A$2:$A$400="E24-S8-4")*((機器台帳!$B$2:$B$400="前面")+(機器台帳!$B$2:$B$400="両面")&gt;0)*(機器台帳!$F$2:$F$400&lt;&gt;"")*(機器台帳!$C$2:$C$400&lt;=38)*(機器台帳!$C$2:$C$400+機器台帳!$D$2:$D$400-1&gt;=38))=0,"",INDEX(機器台帳!$F$2:$F$400,MATCH(1,INDEX((機器台帳!$A$2:$A$400="E24-S8-4")*((機器台帳!$B$2:$B$400="前面")+(機器台帳!$B$2:$B$400="両面")&gt;0)*(機器台帳!$F$2:$F$400&lt;&gt;"")*(機器台帳!$C$2:$C$400&lt;=38)*(機器台帳!$C$2:$C$400+機器台帳!$D$2:$D$400-1&gt;=38),0),0))&amp;IF(INDEX(機器台帳!$G$2:$G$400,MATCH(1,INDEX((機器台帳!$A$2:$A$400="E24-S8-4")*((機器台帳!$B$2:$B$400="前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-4")*((機器台帳!$B$2:$B$400="前面")+(機器台帳!$B$2:$B$400="両面")&gt;0)*(機器台帳!$F$2:$F$400&lt;&gt;"")*(機器台帳!$C$2:$C$400&lt;=38)*(機器台帳!$C$2:$C$400+機器台帳!$D$2:$D$400-1&gt;=38),0),0)))&amp;IF(SUMPRODUCT((機器台帳!$A$2:$A$400="E24-S8-4")*((機器台帳!$B$2:$B$400="前面")+(機器台帳!$B$2:$B$400="両面")&gt;0)*(機器台帳!$F$2:$F$400&lt;&gt;"")*(機器台帳!$C$2:$C$400&lt;=38)*(機器台帳!$C$2:$C$400+機器台帳!$D$2:$D$400-1&gt;=38))&gt;1," 他"&amp;(SUMPRODUCT((機器台帳!$A$2:$A$400="E24-S8-4")*((機器台帳!$B$2:$B$400="前面")+(機器台帳!$B$2:$B$400="両面")&gt;0)*(機器台帳!$F$2:$F$400&lt;&gt;"")*(機器台帳!$C$2:$C$400&lt;=38)*(機器台帳!$C$2:$C$400+機器台帳!$D$2:$D$400-1&gt;=38))-1)&amp;"台",""))</f>
        <v/>
      </c>
      <c r="O13">
        <f>IF(SUMPRODUCT((機器台帳!$A$2:$A$400="E24-S8-4")*((機器台帳!$B$2:$B$400="前面")+(機器台帳!$B$2:$B$400="両面")&gt;0)*(機器台帳!$F$2:$F$400&lt;&gt;"")*(機器台帳!$C$2:$C$400&lt;=38)*(機器台帳!$C$2:$C$400+機器台帳!$D$2:$D$400-1&gt;=38))=0,"",INDEX(機器台帳!$I$2:$I$400,MATCH(1,INDEX((機器台帳!$A$2:$A$400="E24-S8-4")*((機器台帳!$B$2:$B$400="前面")+(機器台帳!$B$2:$B$400="両面")&gt;0)*(機器台帳!$F$2:$F$400&lt;&gt;"")*(機器台帳!$C$2:$C$400&lt;=38)*(機器台帳!$C$2:$C$400+機器台帳!$D$2:$D$400-1&gt;=38),0),0))&amp;IF(INDEX(機器台帳!$Y$2:$Y$400,MATCH(1,INDEX((機器台帳!$A$2:$A$400="E24-S8-4")*((機器台帳!$B$2:$B$400="前面")+(機器台帳!$B$2:$B$400="両面")&gt;0)*(機器台帳!$F$2:$F$400&lt;&gt;"")*(機器台帳!$C$2:$C$400&lt;=38)*(機器台帳!$C$2:$C$400+機器台帳!$D$2:$D$400-1&gt;=38),0),0))=0,"|未記入",""))</f>
        <v/>
      </c>
      <c r="P13" s="12">
        <f>IF(SUMPRODUCT((機器台帳!$A$2:$A$400="E24-S8-4")*((機器台帳!$B$2:$B$400="背面")+(機器台帳!$B$2:$B$400="両面")&gt;0)*(機器台帳!$F$2:$F$400&lt;&gt;"")*(機器台帳!$C$2:$C$400&lt;=38)*(機器台帳!$C$2:$C$400+機器台帳!$D$2:$D$400-1&gt;=38))=0,"",INDEX(機器台帳!$F$2:$F$400,MATCH(1,INDEX((機器台帳!$A$2:$A$400="E24-S8-4")*((機器台帳!$B$2:$B$400="背面")+(機器台帳!$B$2:$B$400="両面")&gt;0)*(機器台帳!$F$2:$F$400&lt;&gt;"")*(機器台帳!$C$2:$C$400&lt;=38)*(機器台帳!$C$2:$C$400+機器台帳!$D$2:$D$400-1&gt;=38),0),0))&amp;IF(INDEX(機器台帳!$G$2:$G$400,MATCH(1,INDEX((機器台帳!$A$2:$A$400="E24-S8-4")*((機器台帳!$B$2:$B$400="背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-4")*((機器台帳!$B$2:$B$400="背面")+(機器台帳!$B$2:$B$400="両面")&gt;0)*(機器台帳!$F$2:$F$400&lt;&gt;"")*(機器台帳!$C$2:$C$400&lt;=38)*(機器台帳!$C$2:$C$400+機器台帳!$D$2:$D$400-1&gt;=38),0),0)))&amp;IF(SUMPRODUCT((機器台帳!$A$2:$A$400="E24-S8-4")*((機器台帳!$B$2:$B$400="背面")+(機器台帳!$B$2:$B$400="両面")&gt;0)*(機器台帳!$F$2:$F$400&lt;&gt;"")*(機器台帳!$C$2:$C$400&lt;=38)*(機器台帳!$C$2:$C$400+機器台帳!$D$2:$D$400-1&gt;=38))&gt;1," 他"&amp;(SUMPRODUCT((機器台帳!$A$2:$A$400="E24-S8-4")*((機器台帳!$B$2:$B$400="背面")+(機器台帳!$B$2:$B$400="両面")&gt;0)*(機器台帳!$F$2:$F$400&lt;&gt;"")*(機器台帳!$C$2:$C$400&lt;=38)*(機器台帳!$C$2:$C$400+機器台帳!$D$2:$D$400-1&gt;=38))-1)&amp;"台",""))</f>
        <v/>
      </c>
      <c r="Q13">
        <f>IF(SUMPRODUCT((機器台帳!$A$2:$A$400="E24-S8-4")*((機器台帳!$B$2:$B$400="背面")+(機器台帳!$B$2:$B$400="両面")&gt;0)*(機器台帳!$F$2:$F$400&lt;&gt;"")*(機器台帳!$C$2:$C$400&lt;=38)*(機器台帳!$C$2:$C$400+機器台帳!$D$2:$D$400-1&gt;=38))=0,"",INDEX(機器台帳!$I$2:$I$400,MATCH(1,INDEX((機器台帳!$A$2:$A$400="E24-S8-4")*((機器台帳!$B$2:$B$400="背面")+(機器台帳!$B$2:$B$400="両面")&gt;0)*(機器台帳!$F$2:$F$400&lt;&gt;"")*(機器台帳!$C$2:$C$400&lt;=38)*(機器台帳!$C$2:$C$400+機器台帳!$D$2:$D$400-1&gt;=38),0),0))&amp;IF(INDEX(機器台帳!$Y$2:$Y$400,MATCH(1,INDEX((機器台帳!$A$2:$A$400="E24-S8-4")*((機器台帳!$B$2:$B$400="背面")+(機器台帳!$B$2:$B$400="両面")&gt;0)*(機器台帳!$F$2:$F$400&lt;&gt;"")*(機器台帳!$C$2:$C$400&lt;=38)*(機器台帳!$C$2:$C$400+機器台帳!$D$2:$D$400-1&gt;=38),0),0))=0,"|未記入",""))</f>
        <v/>
      </c>
      <c r="R13" s="12">
        <f>IF(SUMPRODUCT((機器台帳!$A$2:$A$400="E24-S8-5")*((機器台帳!$B$2:$B$400="前面")+(機器台帳!$B$2:$B$400="両面")&gt;0)*(機器台帳!$F$2:$F$400&lt;&gt;"")*(機器台帳!$C$2:$C$400&lt;=38)*(機器台帳!$C$2:$C$400+機器台帳!$D$2:$D$400-1&gt;=38))=0,"",INDEX(機器台帳!$F$2:$F$400,MATCH(1,INDEX((機器台帳!$A$2:$A$400="E24-S8-5")*((機器台帳!$B$2:$B$400="前面")+(機器台帳!$B$2:$B$400="両面")&gt;0)*(機器台帳!$F$2:$F$400&lt;&gt;"")*(機器台帳!$C$2:$C$400&lt;=38)*(機器台帳!$C$2:$C$400+機器台帳!$D$2:$D$400-1&gt;=38),0),0))&amp;IF(INDEX(機器台帳!$G$2:$G$400,MATCH(1,INDEX((機器台帳!$A$2:$A$400="E24-S8-5")*((機器台帳!$B$2:$B$400="前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-5")*((機器台帳!$B$2:$B$400="前面")+(機器台帳!$B$2:$B$400="両面")&gt;0)*(機器台帳!$F$2:$F$400&lt;&gt;"")*(機器台帳!$C$2:$C$400&lt;=38)*(機器台帳!$C$2:$C$400+機器台帳!$D$2:$D$400-1&gt;=38),0),0)))&amp;IF(SUMPRODUCT((機器台帳!$A$2:$A$400="E24-S8-5")*((機器台帳!$B$2:$B$400="前面")+(機器台帳!$B$2:$B$400="両面")&gt;0)*(機器台帳!$F$2:$F$400&lt;&gt;"")*(機器台帳!$C$2:$C$400&lt;=38)*(機器台帳!$C$2:$C$400+機器台帳!$D$2:$D$400-1&gt;=38))&gt;1," 他"&amp;(SUMPRODUCT((機器台帳!$A$2:$A$400="E24-S8-5")*((機器台帳!$B$2:$B$400="前面")+(機器台帳!$B$2:$B$400="両面")&gt;0)*(機器台帳!$F$2:$F$400&lt;&gt;"")*(機器台帳!$C$2:$C$400&lt;=38)*(機器台帳!$C$2:$C$400+機器台帳!$D$2:$D$400-1&gt;=38))-1)&amp;"台",""))</f>
        <v/>
      </c>
      <c r="S13">
        <f>IF(SUMPRODUCT((機器台帳!$A$2:$A$400="E24-S8-5")*((機器台帳!$B$2:$B$400="前面")+(機器台帳!$B$2:$B$400="両面")&gt;0)*(機器台帳!$F$2:$F$400&lt;&gt;"")*(機器台帳!$C$2:$C$400&lt;=38)*(機器台帳!$C$2:$C$400+機器台帳!$D$2:$D$400-1&gt;=38))=0,"",INDEX(機器台帳!$I$2:$I$400,MATCH(1,INDEX((機器台帳!$A$2:$A$400="E24-S8-5")*((機器台帳!$B$2:$B$400="前面")+(機器台帳!$B$2:$B$400="両面")&gt;0)*(機器台帳!$F$2:$F$400&lt;&gt;"")*(機器台帳!$C$2:$C$400&lt;=38)*(機器台帳!$C$2:$C$400+機器台帳!$D$2:$D$400-1&gt;=38),0),0))&amp;IF(INDEX(機器台帳!$Y$2:$Y$400,MATCH(1,INDEX((機器台帳!$A$2:$A$400="E24-S8-5")*((機器台帳!$B$2:$B$400="前面")+(機器台帳!$B$2:$B$400="両面")&gt;0)*(機器台帳!$F$2:$F$400&lt;&gt;"")*(機器台帳!$C$2:$C$400&lt;=38)*(機器台帳!$C$2:$C$400+機器台帳!$D$2:$D$400-1&gt;=38),0),0))=0,"|未記入",""))</f>
        <v/>
      </c>
      <c r="T13" s="12">
        <f>IF(SUMPRODUCT((機器台帳!$A$2:$A$400="E24-S8-5")*((機器台帳!$B$2:$B$400="背面")+(機器台帳!$B$2:$B$400="両面")&gt;0)*(機器台帳!$F$2:$F$400&lt;&gt;"")*(機器台帳!$C$2:$C$400&lt;=38)*(機器台帳!$C$2:$C$400+機器台帳!$D$2:$D$400-1&gt;=38))=0,"",INDEX(機器台帳!$F$2:$F$400,MATCH(1,INDEX((機器台帳!$A$2:$A$400="E24-S8-5")*((機器台帳!$B$2:$B$400="背面")+(機器台帳!$B$2:$B$400="両面")&gt;0)*(機器台帳!$F$2:$F$400&lt;&gt;"")*(機器台帳!$C$2:$C$400&lt;=38)*(機器台帳!$C$2:$C$400+機器台帳!$D$2:$D$400-1&gt;=38),0),0))&amp;IF(INDEX(機器台帳!$G$2:$G$400,MATCH(1,INDEX((機器台帳!$A$2:$A$400="E24-S8-5")*((機器台帳!$B$2:$B$400="背面")+(機器台帳!$B$2:$B$400="両面")&gt;0)*(機器台帳!$F$2:$F$400&lt;&gt;"")*(機器台帳!$C$2:$C$400&lt;=38)*(機器台帳!$C$2:$C$400+機器台帳!$D$2:$D$400-1&gt;=38),0),0))=""," "," "&amp;INDEX(機器台帳!$G$2:$G$400,MATCH(1,INDEX((機器台帳!$A$2:$A$400="E24-S8-5")*((機器台帳!$B$2:$B$400="背面")+(機器台帳!$B$2:$B$400="両面")&gt;0)*(機器台帳!$F$2:$F$400&lt;&gt;"")*(機器台帳!$C$2:$C$400&lt;=38)*(機器台帳!$C$2:$C$400+機器台帳!$D$2:$D$400-1&gt;=38),0),0)))&amp;IF(SUMPRODUCT((機器台帳!$A$2:$A$400="E24-S8-5")*((機器台帳!$B$2:$B$400="背面")+(機器台帳!$B$2:$B$400="両面")&gt;0)*(機器台帳!$F$2:$F$400&lt;&gt;"")*(機器台帳!$C$2:$C$400&lt;=38)*(機器台帳!$C$2:$C$400+機器台帳!$D$2:$D$400-1&gt;=38))&gt;1," 他"&amp;(SUMPRODUCT((機器台帳!$A$2:$A$400="E24-S8-5")*((機器台帳!$B$2:$B$400="背面")+(機器台帳!$B$2:$B$400="両面")&gt;0)*(機器台帳!$F$2:$F$400&lt;&gt;"")*(機器台帳!$C$2:$C$400&lt;=38)*(機器台帳!$C$2:$C$400+機器台帳!$D$2:$D$400-1&gt;=38))-1)&amp;"台",""))</f>
        <v/>
      </c>
      <c r="U13">
        <f>IF(SUMPRODUCT((機器台帳!$A$2:$A$400="E24-S8-5")*((機器台帳!$B$2:$B$400="背面")+(機器台帳!$B$2:$B$400="両面")&gt;0)*(機器台帳!$F$2:$F$400&lt;&gt;"")*(機器台帳!$C$2:$C$400&lt;=38)*(機器台帳!$C$2:$C$400+機器台帳!$D$2:$D$400-1&gt;=38))=0,"",INDEX(機器台帳!$I$2:$I$400,MATCH(1,INDEX((機器台帳!$A$2:$A$400="E24-S8-5")*((機器台帳!$B$2:$B$400="背面")+(機器台帳!$B$2:$B$400="両面")&gt;0)*(機器台帳!$F$2:$F$400&lt;&gt;"")*(機器台帳!$C$2:$C$400&lt;=38)*(機器台帳!$C$2:$C$400+機器台帳!$D$2:$D$400-1&gt;=38),0),0))&amp;IF(INDEX(機器台帳!$Y$2:$Y$400,MATCH(1,INDEX((機器台帳!$A$2:$A$400="E24-S8-5")*((機器台帳!$B$2:$B$400="背面")+(機器台帳!$B$2:$B$400="両面")&gt;0)*(機器台帳!$F$2:$F$400&lt;&gt;"")*(機器台帳!$C$2:$C$400&lt;=38)*(機器台帳!$C$2:$C$400+機器台帳!$D$2:$D$400-1&gt;=38),0),0))=0,"|未記入",""))</f>
        <v/>
      </c>
      <c r="V13" s="12">
        <f>IF(SUMPRODUCT((機器台帳!$A$2:$A$400="E24-S6-1")*((機器台帳!$B$2:$B$400="前面")+(機器台帳!$B$2:$B$400="両面")&gt;0)*(機器台帳!$F$2:$F$400&lt;&gt;"")*(機器台帳!$C$2:$C$400&lt;=38)*(機器台帳!$C$2:$C$400+機器台帳!$D$2:$D$400-1&gt;=38))=0,"",INDEX(機器台帳!$F$2:$F$400,MATCH(1,INDEX((機器台帳!$A$2:$A$400="E24-S6-1")*((機器台帳!$B$2:$B$400="前面")+(機器台帳!$B$2:$B$400="両面")&gt;0)*(機器台帳!$F$2:$F$400&lt;&gt;"")*(機器台帳!$C$2:$C$400&lt;=38)*(機器台帳!$C$2:$C$400+機器台帳!$D$2:$D$400-1&gt;=38),0),0))&amp;IF(INDEX(機器台帳!$G$2:$G$400,MATCH(1,INDEX((機器台帳!$A$2:$A$400="E24-S6-1")*((機器台帳!$B$2:$B$400="前面")+(機器台帳!$B$2:$B$400="両面")&gt;0)*(機器台帳!$F$2:$F$400&lt;&gt;"")*(機器台帳!$C$2:$C$400&lt;=38)*(機器台帳!$C$2:$C$400+機器台帳!$D$2:$D$400-1&gt;=38),0),0))=""," "," "&amp;INDEX(機器台帳!$G$2:$G$400,MATCH(1,INDEX((機器台帳!$A$2:$A$400="E24-S6-1")*((機器台帳!$B$2:$B$400="前面")+(機器台帳!$B$2:$B$400="両面")&gt;0)*(機器台帳!$F$2:$F$400&lt;&gt;"")*(機器台帳!$C$2:$C$400&lt;=38)*(機器台帳!$C$2:$C$400+機器台帳!$D$2:$D$400-1&gt;=38),0),0)))&amp;IF(SUMPRODUCT((機器台帳!$A$2:$A$400="E24-S6-1")*((機器台帳!$B$2:$B$400="前面")+(機器台帳!$B$2:$B$400="両面")&gt;0)*(機器台帳!$F$2:$F$400&lt;&gt;"")*(機器台帳!$C$2:$C$400&lt;=38)*(機器台帳!$C$2:$C$400+機器台帳!$D$2:$D$400-1&gt;=38))&gt;1," 他"&amp;(SUMPRODUCT((機器台帳!$A$2:$A$400="E24-S6-1")*((機器台帳!$B$2:$B$400="前面")+(機器台帳!$B$2:$B$400="両面")&gt;0)*(機器台帳!$F$2:$F$400&lt;&gt;"")*(機器台帳!$C$2:$C$400&lt;=38)*(機器台帳!$C$2:$C$400+機器台帳!$D$2:$D$400-1&gt;=38))-1)&amp;"台",""))</f>
        <v/>
      </c>
      <c r="W13">
        <f>IF(SUMPRODUCT((機器台帳!$A$2:$A$400="E24-S6-1")*((機器台帳!$B$2:$B$400="前面")+(機器台帳!$B$2:$B$400="両面")&gt;0)*(機器台帳!$F$2:$F$400&lt;&gt;"")*(機器台帳!$C$2:$C$400&lt;=38)*(機器台帳!$C$2:$C$400+機器台帳!$D$2:$D$400-1&gt;=38))=0,"",INDEX(機器台帳!$I$2:$I$400,MATCH(1,INDEX((機器台帳!$A$2:$A$400="E24-S6-1")*((機器台帳!$B$2:$B$400="前面")+(機器台帳!$B$2:$B$400="両面")&gt;0)*(機器台帳!$F$2:$F$400&lt;&gt;"")*(機器台帳!$C$2:$C$400&lt;=38)*(機器台帳!$C$2:$C$400+機器台帳!$D$2:$D$400-1&gt;=38),0),0))&amp;IF(INDEX(機器台帳!$Y$2:$Y$400,MATCH(1,INDEX((機器台帳!$A$2:$A$400="E24-S6-1")*((機器台帳!$B$2:$B$400="前面")+(機器台帳!$B$2:$B$400="両面")&gt;0)*(機器台帳!$F$2:$F$400&lt;&gt;"")*(機器台帳!$C$2:$C$400&lt;=38)*(機器台帳!$C$2:$C$400+機器台帳!$D$2:$D$400-1&gt;=38),0),0))=0,"|未記入",""))</f>
        <v/>
      </c>
      <c r="X13" s="12">
        <f>IF(SUMPRODUCT((機器台帳!$A$2:$A$400="E24-S6-1")*((機器台帳!$B$2:$B$400="背面")+(機器台帳!$B$2:$B$400="両面")&gt;0)*(機器台帳!$F$2:$F$400&lt;&gt;"")*(機器台帳!$C$2:$C$400&lt;=38)*(機器台帳!$C$2:$C$400+機器台帳!$D$2:$D$400-1&gt;=38))=0,"",INDEX(機器台帳!$F$2:$F$400,MATCH(1,INDEX((機器台帳!$A$2:$A$400="E24-S6-1")*((機器台帳!$B$2:$B$400="背面")+(機器台帳!$B$2:$B$400="両面")&gt;0)*(機器台帳!$F$2:$F$400&lt;&gt;"")*(機器台帳!$C$2:$C$400&lt;=38)*(機器台帳!$C$2:$C$400+機器台帳!$D$2:$D$400-1&gt;=38),0),0))&amp;IF(INDEX(機器台帳!$G$2:$G$400,MATCH(1,INDEX((機器台帳!$A$2:$A$400="E24-S6-1")*((機器台帳!$B$2:$B$400="背面")+(機器台帳!$B$2:$B$400="両面")&gt;0)*(機器台帳!$F$2:$F$400&lt;&gt;"")*(機器台帳!$C$2:$C$400&lt;=38)*(機器台帳!$C$2:$C$400+機器台帳!$D$2:$D$400-1&gt;=38),0),0))=""," "," "&amp;INDEX(機器台帳!$G$2:$G$400,MATCH(1,INDEX((機器台帳!$A$2:$A$400="E24-S6-1")*((機器台帳!$B$2:$B$400="背面")+(機器台帳!$B$2:$B$400="両面")&gt;0)*(機器台帳!$F$2:$F$400&lt;&gt;"")*(機器台帳!$C$2:$C$400&lt;=38)*(機器台帳!$C$2:$C$400+機器台帳!$D$2:$D$400-1&gt;=38),0),0)))&amp;IF(SUMPRODUCT((機器台帳!$A$2:$A$400="E24-S6-1")*((機器台帳!$B$2:$B$400="背面")+(機器台帳!$B$2:$B$400="両面")&gt;0)*(機器台帳!$F$2:$F$400&lt;&gt;"")*(機器台帳!$C$2:$C$400&lt;=38)*(機器台帳!$C$2:$C$400+機器台帳!$D$2:$D$400-1&gt;=38))&gt;1," 他"&amp;(SUMPRODUCT((機器台帳!$A$2:$A$400="E24-S6-1")*((機器台帳!$B$2:$B$400="背面")+(機器台帳!$B$2:$B$400="両面")&gt;0)*(機器台帳!$F$2:$F$400&lt;&gt;"")*(機器台帳!$C$2:$C$400&lt;=38)*(機器台帳!$C$2:$C$400+機器台帳!$D$2:$D$400-1&gt;=38))-1)&amp;"台",""))</f>
        <v/>
      </c>
      <c r="Y13">
        <f>IF(SUMPRODUCT((機器台帳!$A$2:$A$400="E24-S6-1")*((機器台帳!$B$2:$B$400="背面")+(機器台帳!$B$2:$B$400="両面")&gt;0)*(機器台帳!$F$2:$F$400&lt;&gt;"")*(機器台帳!$C$2:$C$400&lt;=38)*(機器台帳!$C$2:$C$400+機器台帳!$D$2:$D$400-1&gt;=38))=0,"",INDEX(機器台帳!$I$2:$I$400,MATCH(1,INDEX((機器台帳!$A$2:$A$400="E24-S6-1")*((機器台帳!$B$2:$B$400="背面")+(機器台帳!$B$2:$B$400="両面")&gt;0)*(機器台帳!$F$2:$F$400&lt;&gt;"")*(機器台帳!$C$2:$C$400&lt;=38)*(機器台帳!$C$2:$C$400+機器台帳!$D$2:$D$400-1&gt;=38),0),0))&amp;IF(INDEX(機器台帳!$Y$2:$Y$400,MATCH(1,INDEX((機器台帳!$A$2:$A$400="E24-S6-1")*((機器台帳!$B$2:$B$400="背面")+(機器台帳!$B$2:$B$400="両面")&gt;0)*(機器台帳!$F$2:$F$400&lt;&gt;"")*(機器台帳!$C$2:$C$400&lt;=38)*(機器台帳!$C$2:$C$400+機器台帳!$D$2:$D$400-1&gt;=38),0),0))=0,"|未記入",""))</f>
        <v/>
      </c>
    </row>
    <row r="14">
      <c r="A14" s="11" t="n">
        <v>37</v>
      </c>
      <c r="B14" s="12">
        <f>IF(SUMPRODUCT((機器台帳!$A$2:$A$400="E24-S8-1")*((機器台帳!$B$2:$B$400="前面")+(機器台帳!$B$2:$B$400="両面")&gt;0)*(機器台帳!$F$2:$F$400&lt;&gt;"")*(機器台帳!$C$2:$C$400&lt;=37)*(機器台帳!$C$2:$C$400+機器台帳!$D$2:$D$400-1&gt;=37))=0,"",INDEX(機器台帳!$F$2:$F$400,MATCH(1,INDEX((機器台帳!$A$2:$A$400="E24-S8-1")*((機器台帳!$B$2:$B$400="前面")+(機器台帳!$B$2:$B$400="両面")&gt;0)*(機器台帳!$F$2:$F$400&lt;&gt;"")*(機器台帳!$C$2:$C$400&lt;=37)*(機器台帳!$C$2:$C$400+機器台帳!$D$2:$D$400-1&gt;=37),0),0))&amp;IF(INDEX(機器台帳!$G$2:$G$400,MATCH(1,INDEX((機器台帳!$A$2:$A$400="E24-S8-1")*((機器台帳!$B$2:$B$400="前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-1")*((機器台帳!$B$2:$B$400="前面")+(機器台帳!$B$2:$B$400="両面")&gt;0)*(機器台帳!$F$2:$F$400&lt;&gt;"")*(機器台帳!$C$2:$C$400&lt;=37)*(機器台帳!$C$2:$C$400+機器台帳!$D$2:$D$400-1&gt;=37),0),0)))&amp;IF(SUMPRODUCT((機器台帳!$A$2:$A$400="E24-S8-1")*((機器台帳!$B$2:$B$400="前面")+(機器台帳!$B$2:$B$400="両面")&gt;0)*(機器台帳!$F$2:$F$400&lt;&gt;"")*(機器台帳!$C$2:$C$400&lt;=37)*(機器台帳!$C$2:$C$400+機器台帳!$D$2:$D$400-1&gt;=37))&gt;1," 他"&amp;(SUMPRODUCT((機器台帳!$A$2:$A$400="E24-S8-1")*((機器台帳!$B$2:$B$400="前面")+(機器台帳!$B$2:$B$400="両面")&gt;0)*(機器台帳!$F$2:$F$400&lt;&gt;"")*(機器台帳!$C$2:$C$400&lt;=37)*(機器台帳!$C$2:$C$400+機器台帳!$D$2:$D$400-1&gt;=37))-1)&amp;"台",""))</f>
        <v/>
      </c>
      <c r="C14">
        <f>IF(SUMPRODUCT((機器台帳!$A$2:$A$400="E24-S8-1")*((機器台帳!$B$2:$B$400="前面")+(機器台帳!$B$2:$B$400="両面")&gt;0)*(機器台帳!$F$2:$F$400&lt;&gt;"")*(機器台帳!$C$2:$C$400&lt;=37)*(機器台帳!$C$2:$C$400+機器台帳!$D$2:$D$400-1&gt;=37))=0,"",INDEX(機器台帳!$I$2:$I$400,MATCH(1,INDEX((機器台帳!$A$2:$A$400="E24-S8-1")*((機器台帳!$B$2:$B$400="前面")+(機器台帳!$B$2:$B$400="両面")&gt;0)*(機器台帳!$F$2:$F$400&lt;&gt;"")*(機器台帳!$C$2:$C$400&lt;=37)*(機器台帳!$C$2:$C$400+機器台帳!$D$2:$D$400-1&gt;=37),0),0))&amp;IF(INDEX(機器台帳!$Y$2:$Y$400,MATCH(1,INDEX((機器台帳!$A$2:$A$400="E24-S8-1")*((機器台帳!$B$2:$B$400="前面")+(機器台帳!$B$2:$B$400="両面")&gt;0)*(機器台帳!$F$2:$F$400&lt;&gt;"")*(機器台帳!$C$2:$C$400&lt;=37)*(機器台帳!$C$2:$C$400+機器台帳!$D$2:$D$400-1&gt;=37),0),0))=0,"|未記入",""))</f>
        <v/>
      </c>
      <c r="D14" s="12">
        <f>IF(SUMPRODUCT((機器台帳!$A$2:$A$400="E24-S8-1")*((機器台帳!$B$2:$B$400="背面")+(機器台帳!$B$2:$B$400="両面")&gt;0)*(機器台帳!$F$2:$F$400&lt;&gt;"")*(機器台帳!$C$2:$C$400&lt;=37)*(機器台帳!$C$2:$C$400+機器台帳!$D$2:$D$400-1&gt;=37))=0,"",INDEX(機器台帳!$F$2:$F$400,MATCH(1,INDEX((機器台帳!$A$2:$A$400="E24-S8-1")*((機器台帳!$B$2:$B$400="背面")+(機器台帳!$B$2:$B$400="両面")&gt;0)*(機器台帳!$F$2:$F$400&lt;&gt;"")*(機器台帳!$C$2:$C$400&lt;=37)*(機器台帳!$C$2:$C$400+機器台帳!$D$2:$D$400-1&gt;=37),0),0))&amp;IF(INDEX(機器台帳!$G$2:$G$400,MATCH(1,INDEX((機器台帳!$A$2:$A$400="E24-S8-1")*((機器台帳!$B$2:$B$400="背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-1")*((機器台帳!$B$2:$B$400="背面")+(機器台帳!$B$2:$B$400="両面")&gt;0)*(機器台帳!$F$2:$F$400&lt;&gt;"")*(機器台帳!$C$2:$C$400&lt;=37)*(機器台帳!$C$2:$C$400+機器台帳!$D$2:$D$400-1&gt;=37),0),0)))&amp;IF(SUMPRODUCT((機器台帳!$A$2:$A$400="E24-S8-1")*((機器台帳!$B$2:$B$400="背面")+(機器台帳!$B$2:$B$400="両面")&gt;0)*(機器台帳!$F$2:$F$400&lt;&gt;"")*(機器台帳!$C$2:$C$400&lt;=37)*(機器台帳!$C$2:$C$400+機器台帳!$D$2:$D$400-1&gt;=37))&gt;1," 他"&amp;(SUMPRODUCT((機器台帳!$A$2:$A$400="E24-S8-1")*((機器台帳!$B$2:$B$400="背面")+(機器台帳!$B$2:$B$400="両面")&gt;0)*(機器台帳!$F$2:$F$400&lt;&gt;"")*(機器台帳!$C$2:$C$400&lt;=37)*(機器台帳!$C$2:$C$400+機器台帳!$D$2:$D$400-1&gt;=37))-1)&amp;"台",""))</f>
        <v/>
      </c>
      <c r="E14">
        <f>IF(SUMPRODUCT((機器台帳!$A$2:$A$400="E24-S8-1")*((機器台帳!$B$2:$B$400="背面")+(機器台帳!$B$2:$B$400="両面")&gt;0)*(機器台帳!$F$2:$F$400&lt;&gt;"")*(機器台帳!$C$2:$C$400&lt;=37)*(機器台帳!$C$2:$C$400+機器台帳!$D$2:$D$400-1&gt;=37))=0,"",INDEX(機器台帳!$I$2:$I$400,MATCH(1,INDEX((機器台帳!$A$2:$A$400="E24-S8-1")*((機器台帳!$B$2:$B$400="背面")+(機器台帳!$B$2:$B$400="両面")&gt;0)*(機器台帳!$F$2:$F$400&lt;&gt;"")*(機器台帳!$C$2:$C$400&lt;=37)*(機器台帳!$C$2:$C$400+機器台帳!$D$2:$D$400-1&gt;=37),0),0))&amp;IF(INDEX(機器台帳!$Y$2:$Y$400,MATCH(1,INDEX((機器台帳!$A$2:$A$400="E24-S8-1")*((機器台帳!$B$2:$B$400="背面")+(機器台帳!$B$2:$B$400="両面")&gt;0)*(機器台帳!$F$2:$F$400&lt;&gt;"")*(機器台帳!$C$2:$C$400&lt;=37)*(機器台帳!$C$2:$C$400+機器台帳!$D$2:$D$400-1&gt;=37),0),0))=0,"|未記入",""))</f>
        <v/>
      </c>
      <c r="F14" s="12">
        <f>IF(SUMPRODUCT((機器台帳!$A$2:$A$400="E24-S8-2")*((機器台帳!$B$2:$B$400="前面")+(機器台帳!$B$2:$B$400="両面")&gt;0)*(機器台帳!$F$2:$F$400&lt;&gt;"")*(機器台帳!$C$2:$C$400&lt;=37)*(機器台帳!$C$2:$C$400+機器台帳!$D$2:$D$400-1&gt;=37))=0,"",INDEX(機器台帳!$F$2:$F$400,MATCH(1,INDEX((機器台帳!$A$2:$A$400="E24-S8-2")*((機器台帳!$B$2:$B$400="前面")+(機器台帳!$B$2:$B$400="両面")&gt;0)*(機器台帳!$F$2:$F$400&lt;&gt;"")*(機器台帳!$C$2:$C$400&lt;=37)*(機器台帳!$C$2:$C$400+機器台帳!$D$2:$D$400-1&gt;=37),0),0))&amp;IF(INDEX(機器台帳!$G$2:$G$400,MATCH(1,INDEX((機器台帳!$A$2:$A$400="E24-S8-2")*((機器台帳!$B$2:$B$400="前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-2")*((機器台帳!$B$2:$B$400="前面")+(機器台帳!$B$2:$B$400="両面")&gt;0)*(機器台帳!$F$2:$F$400&lt;&gt;"")*(機器台帳!$C$2:$C$400&lt;=37)*(機器台帳!$C$2:$C$400+機器台帳!$D$2:$D$400-1&gt;=37),0),0)))&amp;IF(SUMPRODUCT((機器台帳!$A$2:$A$400="E24-S8-2")*((機器台帳!$B$2:$B$400="前面")+(機器台帳!$B$2:$B$400="両面")&gt;0)*(機器台帳!$F$2:$F$400&lt;&gt;"")*(機器台帳!$C$2:$C$400&lt;=37)*(機器台帳!$C$2:$C$400+機器台帳!$D$2:$D$400-1&gt;=37))&gt;1," 他"&amp;(SUMPRODUCT((機器台帳!$A$2:$A$400="E24-S8-2")*((機器台帳!$B$2:$B$400="前面")+(機器台帳!$B$2:$B$400="両面")&gt;0)*(機器台帳!$F$2:$F$400&lt;&gt;"")*(機器台帳!$C$2:$C$400&lt;=37)*(機器台帳!$C$2:$C$400+機器台帳!$D$2:$D$400-1&gt;=37))-1)&amp;"台",""))</f>
        <v/>
      </c>
      <c r="G14">
        <f>IF(SUMPRODUCT((機器台帳!$A$2:$A$400="E24-S8-2")*((機器台帳!$B$2:$B$400="前面")+(機器台帳!$B$2:$B$400="両面")&gt;0)*(機器台帳!$F$2:$F$400&lt;&gt;"")*(機器台帳!$C$2:$C$400&lt;=37)*(機器台帳!$C$2:$C$400+機器台帳!$D$2:$D$400-1&gt;=37))=0,"",INDEX(機器台帳!$I$2:$I$400,MATCH(1,INDEX((機器台帳!$A$2:$A$400="E24-S8-2")*((機器台帳!$B$2:$B$400="前面")+(機器台帳!$B$2:$B$400="両面")&gt;0)*(機器台帳!$F$2:$F$400&lt;&gt;"")*(機器台帳!$C$2:$C$400&lt;=37)*(機器台帳!$C$2:$C$400+機器台帳!$D$2:$D$400-1&gt;=37),0),0))&amp;IF(INDEX(機器台帳!$Y$2:$Y$400,MATCH(1,INDEX((機器台帳!$A$2:$A$400="E24-S8-2")*((機器台帳!$B$2:$B$400="前面")+(機器台帳!$B$2:$B$400="両面")&gt;0)*(機器台帳!$F$2:$F$400&lt;&gt;"")*(機器台帳!$C$2:$C$400&lt;=37)*(機器台帳!$C$2:$C$400+機器台帳!$D$2:$D$400-1&gt;=37),0),0))=0,"|未記入",""))</f>
        <v/>
      </c>
      <c r="H14" s="12">
        <f>IF(SUMPRODUCT((機器台帳!$A$2:$A$400="E24-S8-2")*((機器台帳!$B$2:$B$400="背面")+(機器台帳!$B$2:$B$400="両面")&gt;0)*(機器台帳!$F$2:$F$400&lt;&gt;"")*(機器台帳!$C$2:$C$400&lt;=37)*(機器台帳!$C$2:$C$400+機器台帳!$D$2:$D$400-1&gt;=37))=0,"",INDEX(機器台帳!$F$2:$F$400,MATCH(1,INDEX((機器台帳!$A$2:$A$400="E24-S8-2")*((機器台帳!$B$2:$B$400="背面")+(機器台帳!$B$2:$B$400="両面")&gt;0)*(機器台帳!$F$2:$F$400&lt;&gt;"")*(機器台帳!$C$2:$C$400&lt;=37)*(機器台帳!$C$2:$C$400+機器台帳!$D$2:$D$400-1&gt;=37),0),0))&amp;IF(INDEX(機器台帳!$G$2:$G$400,MATCH(1,INDEX((機器台帳!$A$2:$A$400="E24-S8-2")*((機器台帳!$B$2:$B$400="背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-2")*((機器台帳!$B$2:$B$400="背面")+(機器台帳!$B$2:$B$400="両面")&gt;0)*(機器台帳!$F$2:$F$400&lt;&gt;"")*(機器台帳!$C$2:$C$400&lt;=37)*(機器台帳!$C$2:$C$400+機器台帳!$D$2:$D$400-1&gt;=37),0),0)))&amp;IF(SUMPRODUCT((機器台帳!$A$2:$A$400="E24-S8-2")*((機器台帳!$B$2:$B$400="背面")+(機器台帳!$B$2:$B$400="両面")&gt;0)*(機器台帳!$F$2:$F$400&lt;&gt;"")*(機器台帳!$C$2:$C$400&lt;=37)*(機器台帳!$C$2:$C$400+機器台帳!$D$2:$D$400-1&gt;=37))&gt;1," 他"&amp;(SUMPRODUCT((機器台帳!$A$2:$A$400="E24-S8-2")*((機器台帳!$B$2:$B$400="背面")+(機器台帳!$B$2:$B$400="両面")&gt;0)*(機器台帳!$F$2:$F$400&lt;&gt;"")*(機器台帳!$C$2:$C$400&lt;=37)*(機器台帳!$C$2:$C$400+機器台帳!$D$2:$D$400-1&gt;=37))-1)&amp;"台",""))</f>
        <v/>
      </c>
      <c r="I14">
        <f>IF(SUMPRODUCT((機器台帳!$A$2:$A$400="E24-S8-2")*((機器台帳!$B$2:$B$400="背面")+(機器台帳!$B$2:$B$400="両面")&gt;0)*(機器台帳!$F$2:$F$400&lt;&gt;"")*(機器台帳!$C$2:$C$400&lt;=37)*(機器台帳!$C$2:$C$400+機器台帳!$D$2:$D$400-1&gt;=37))=0,"",INDEX(機器台帳!$I$2:$I$400,MATCH(1,INDEX((機器台帳!$A$2:$A$400="E24-S8-2")*((機器台帳!$B$2:$B$400="背面")+(機器台帳!$B$2:$B$400="両面")&gt;0)*(機器台帳!$F$2:$F$400&lt;&gt;"")*(機器台帳!$C$2:$C$400&lt;=37)*(機器台帳!$C$2:$C$400+機器台帳!$D$2:$D$400-1&gt;=37),0),0))&amp;IF(INDEX(機器台帳!$Y$2:$Y$400,MATCH(1,INDEX((機器台帳!$A$2:$A$400="E24-S8-2")*((機器台帳!$B$2:$B$400="背面")+(機器台帳!$B$2:$B$400="両面")&gt;0)*(機器台帳!$F$2:$F$400&lt;&gt;"")*(機器台帳!$C$2:$C$400&lt;=37)*(機器台帳!$C$2:$C$400+機器台帳!$D$2:$D$400-1&gt;=37),0),0))=0,"|未記入",""))</f>
        <v/>
      </c>
      <c r="J14" s="12">
        <f>IF(SUMPRODUCT((機器台帳!$A$2:$A$400="E24-S8-3")*((機器台帳!$B$2:$B$400="前面")+(機器台帳!$B$2:$B$400="両面")&gt;0)*(機器台帳!$F$2:$F$400&lt;&gt;"")*(機器台帳!$C$2:$C$400&lt;=37)*(機器台帳!$C$2:$C$400+機器台帳!$D$2:$D$400-1&gt;=37))=0,"",INDEX(機器台帳!$F$2:$F$400,MATCH(1,INDEX((機器台帳!$A$2:$A$400="E24-S8-3")*((機器台帳!$B$2:$B$400="前面")+(機器台帳!$B$2:$B$400="両面")&gt;0)*(機器台帳!$F$2:$F$400&lt;&gt;"")*(機器台帳!$C$2:$C$400&lt;=37)*(機器台帳!$C$2:$C$400+機器台帳!$D$2:$D$400-1&gt;=37),0),0))&amp;IF(INDEX(機器台帳!$G$2:$G$400,MATCH(1,INDEX((機器台帳!$A$2:$A$400="E24-S8-3")*((機器台帳!$B$2:$B$400="前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-3")*((機器台帳!$B$2:$B$400="前面")+(機器台帳!$B$2:$B$400="両面")&gt;0)*(機器台帳!$F$2:$F$400&lt;&gt;"")*(機器台帳!$C$2:$C$400&lt;=37)*(機器台帳!$C$2:$C$400+機器台帳!$D$2:$D$400-1&gt;=37),0),0)))&amp;IF(SUMPRODUCT((機器台帳!$A$2:$A$400="E24-S8-3")*((機器台帳!$B$2:$B$400="前面")+(機器台帳!$B$2:$B$400="両面")&gt;0)*(機器台帳!$F$2:$F$400&lt;&gt;"")*(機器台帳!$C$2:$C$400&lt;=37)*(機器台帳!$C$2:$C$400+機器台帳!$D$2:$D$400-1&gt;=37))&gt;1," 他"&amp;(SUMPRODUCT((機器台帳!$A$2:$A$400="E24-S8-3")*((機器台帳!$B$2:$B$400="前面")+(機器台帳!$B$2:$B$400="両面")&gt;0)*(機器台帳!$F$2:$F$400&lt;&gt;"")*(機器台帳!$C$2:$C$400&lt;=37)*(機器台帳!$C$2:$C$400+機器台帳!$D$2:$D$400-1&gt;=37))-1)&amp;"台",""))</f>
        <v/>
      </c>
      <c r="K14">
        <f>IF(SUMPRODUCT((機器台帳!$A$2:$A$400="E24-S8-3")*((機器台帳!$B$2:$B$400="前面")+(機器台帳!$B$2:$B$400="両面")&gt;0)*(機器台帳!$F$2:$F$400&lt;&gt;"")*(機器台帳!$C$2:$C$400&lt;=37)*(機器台帳!$C$2:$C$400+機器台帳!$D$2:$D$400-1&gt;=37))=0,"",INDEX(機器台帳!$I$2:$I$400,MATCH(1,INDEX((機器台帳!$A$2:$A$400="E24-S8-3")*((機器台帳!$B$2:$B$400="前面")+(機器台帳!$B$2:$B$400="両面")&gt;0)*(機器台帳!$F$2:$F$400&lt;&gt;"")*(機器台帳!$C$2:$C$400&lt;=37)*(機器台帳!$C$2:$C$400+機器台帳!$D$2:$D$400-1&gt;=37),0),0))&amp;IF(INDEX(機器台帳!$Y$2:$Y$400,MATCH(1,INDEX((機器台帳!$A$2:$A$400="E24-S8-3")*((機器台帳!$B$2:$B$400="前面")+(機器台帳!$B$2:$B$400="両面")&gt;0)*(機器台帳!$F$2:$F$400&lt;&gt;"")*(機器台帳!$C$2:$C$400&lt;=37)*(機器台帳!$C$2:$C$400+機器台帳!$D$2:$D$400-1&gt;=37),0),0))=0,"|未記入",""))</f>
        <v/>
      </c>
      <c r="L14" s="12">
        <f>IF(SUMPRODUCT((機器台帳!$A$2:$A$400="E24-S8-3")*((機器台帳!$B$2:$B$400="背面")+(機器台帳!$B$2:$B$400="両面")&gt;0)*(機器台帳!$F$2:$F$400&lt;&gt;"")*(機器台帳!$C$2:$C$400&lt;=37)*(機器台帳!$C$2:$C$400+機器台帳!$D$2:$D$400-1&gt;=37))=0,"",INDEX(機器台帳!$F$2:$F$400,MATCH(1,INDEX((機器台帳!$A$2:$A$400="E24-S8-3")*((機器台帳!$B$2:$B$400="背面")+(機器台帳!$B$2:$B$400="両面")&gt;0)*(機器台帳!$F$2:$F$400&lt;&gt;"")*(機器台帳!$C$2:$C$400&lt;=37)*(機器台帳!$C$2:$C$400+機器台帳!$D$2:$D$400-1&gt;=37),0),0))&amp;IF(INDEX(機器台帳!$G$2:$G$400,MATCH(1,INDEX((機器台帳!$A$2:$A$400="E24-S8-3")*((機器台帳!$B$2:$B$400="背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-3")*((機器台帳!$B$2:$B$400="背面")+(機器台帳!$B$2:$B$400="両面")&gt;0)*(機器台帳!$F$2:$F$400&lt;&gt;"")*(機器台帳!$C$2:$C$400&lt;=37)*(機器台帳!$C$2:$C$400+機器台帳!$D$2:$D$400-1&gt;=37),0),0)))&amp;IF(SUMPRODUCT((機器台帳!$A$2:$A$400="E24-S8-3")*((機器台帳!$B$2:$B$400="背面")+(機器台帳!$B$2:$B$400="両面")&gt;0)*(機器台帳!$F$2:$F$400&lt;&gt;"")*(機器台帳!$C$2:$C$400&lt;=37)*(機器台帳!$C$2:$C$400+機器台帳!$D$2:$D$400-1&gt;=37))&gt;1," 他"&amp;(SUMPRODUCT((機器台帳!$A$2:$A$400="E24-S8-3")*((機器台帳!$B$2:$B$400="背面")+(機器台帳!$B$2:$B$400="両面")&gt;0)*(機器台帳!$F$2:$F$400&lt;&gt;"")*(機器台帳!$C$2:$C$400&lt;=37)*(機器台帳!$C$2:$C$400+機器台帳!$D$2:$D$400-1&gt;=37))-1)&amp;"台",""))</f>
        <v/>
      </c>
      <c r="M14">
        <f>IF(SUMPRODUCT((機器台帳!$A$2:$A$400="E24-S8-3")*((機器台帳!$B$2:$B$400="背面")+(機器台帳!$B$2:$B$400="両面")&gt;0)*(機器台帳!$F$2:$F$400&lt;&gt;"")*(機器台帳!$C$2:$C$400&lt;=37)*(機器台帳!$C$2:$C$400+機器台帳!$D$2:$D$400-1&gt;=37))=0,"",INDEX(機器台帳!$I$2:$I$400,MATCH(1,INDEX((機器台帳!$A$2:$A$400="E24-S8-3")*((機器台帳!$B$2:$B$400="背面")+(機器台帳!$B$2:$B$400="両面")&gt;0)*(機器台帳!$F$2:$F$400&lt;&gt;"")*(機器台帳!$C$2:$C$400&lt;=37)*(機器台帳!$C$2:$C$400+機器台帳!$D$2:$D$400-1&gt;=37),0),0))&amp;IF(INDEX(機器台帳!$Y$2:$Y$400,MATCH(1,INDEX((機器台帳!$A$2:$A$400="E24-S8-3")*((機器台帳!$B$2:$B$400="背面")+(機器台帳!$B$2:$B$400="両面")&gt;0)*(機器台帳!$F$2:$F$400&lt;&gt;"")*(機器台帳!$C$2:$C$400&lt;=37)*(機器台帳!$C$2:$C$400+機器台帳!$D$2:$D$400-1&gt;=37),0),0))=0,"|未記入",""))</f>
        <v/>
      </c>
      <c r="N14" s="12">
        <f>IF(SUMPRODUCT((機器台帳!$A$2:$A$400="E24-S8-4")*((機器台帳!$B$2:$B$400="前面")+(機器台帳!$B$2:$B$400="両面")&gt;0)*(機器台帳!$F$2:$F$400&lt;&gt;"")*(機器台帳!$C$2:$C$400&lt;=37)*(機器台帳!$C$2:$C$400+機器台帳!$D$2:$D$400-1&gt;=37))=0,"",INDEX(機器台帳!$F$2:$F$400,MATCH(1,INDEX((機器台帳!$A$2:$A$400="E24-S8-4")*((機器台帳!$B$2:$B$400="前面")+(機器台帳!$B$2:$B$400="両面")&gt;0)*(機器台帳!$F$2:$F$400&lt;&gt;"")*(機器台帳!$C$2:$C$400&lt;=37)*(機器台帳!$C$2:$C$400+機器台帳!$D$2:$D$400-1&gt;=37),0),0))&amp;IF(INDEX(機器台帳!$G$2:$G$400,MATCH(1,INDEX((機器台帳!$A$2:$A$400="E24-S8-4")*((機器台帳!$B$2:$B$400="前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-4")*((機器台帳!$B$2:$B$400="前面")+(機器台帳!$B$2:$B$400="両面")&gt;0)*(機器台帳!$F$2:$F$400&lt;&gt;"")*(機器台帳!$C$2:$C$400&lt;=37)*(機器台帳!$C$2:$C$400+機器台帳!$D$2:$D$400-1&gt;=37),0),0)))&amp;IF(SUMPRODUCT((機器台帳!$A$2:$A$400="E24-S8-4")*((機器台帳!$B$2:$B$400="前面")+(機器台帳!$B$2:$B$400="両面")&gt;0)*(機器台帳!$F$2:$F$400&lt;&gt;"")*(機器台帳!$C$2:$C$400&lt;=37)*(機器台帳!$C$2:$C$400+機器台帳!$D$2:$D$400-1&gt;=37))&gt;1," 他"&amp;(SUMPRODUCT((機器台帳!$A$2:$A$400="E24-S8-4")*((機器台帳!$B$2:$B$400="前面")+(機器台帳!$B$2:$B$400="両面")&gt;0)*(機器台帳!$F$2:$F$400&lt;&gt;"")*(機器台帳!$C$2:$C$400&lt;=37)*(機器台帳!$C$2:$C$400+機器台帳!$D$2:$D$400-1&gt;=37))-1)&amp;"台",""))</f>
        <v/>
      </c>
      <c r="O14">
        <f>IF(SUMPRODUCT((機器台帳!$A$2:$A$400="E24-S8-4")*((機器台帳!$B$2:$B$400="前面")+(機器台帳!$B$2:$B$400="両面")&gt;0)*(機器台帳!$F$2:$F$400&lt;&gt;"")*(機器台帳!$C$2:$C$400&lt;=37)*(機器台帳!$C$2:$C$400+機器台帳!$D$2:$D$400-1&gt;=37))=0,"",INDEX(機器台帳!$I$2:$I$400,MATCH(1,INDEX((機器台帳!$A$2:$A$400="E24-S8-4")*((機器台帳!$B$2:$B$400="前面")+(機器台帳!$B$2:$B$400="両面")&gt;0)*(機器台帳!$F$2:$F$400&lt;&gt;"")*(機器台帳!$C$2:$C$400&lt;=37)*(機器台帳!$C$2:$C$400+機器台帳!$D$2:$D$400-1&gt;=37),0),0))&amp;IF(INDEX(機器台帳!$Y$2:$Y$400,MATCH(1,INDEX((機器台帳!$A$2:$A$400="E24-S8-4")*((機器台帳!$B$2:$B$400="前面")+(機器台帳!$B$2:$B$400="両面")&gt;0)*(機器台帳!$F$2:$F$400&lt;&gt;"")*(機器台帳!$C$2:$C$400&lt;=37)*(機器台帳!$C$2:$C$400+機器台帳!$D$2:$D$400-1&gt;=37),0),0))=0,"|未記入",""))</f>
        <v/>
      </c>
      <c r="P14" s="12">
        <f>IF(SUMPRODUCT((機器台帳!$A$2:$A$400="E24-S8-4")*((機器台帳!$B$2:$B$400="背面")+(機器台帳!$B$2:$B$400="両面")&gt;0)*(機器台帳!$F$2:$F$400&lt;&gt;"")*(機器台帳!$C$2:$C$400&lt;=37)*(機器台帳!$C$2:$C$400+機器台帳!$D$2:$D$400-1&gt;=37))=0,"",INDEX(機器台帳!$F$2:$F$400,MATCH(1,INDEX((機器台帳!$A$2:$A$400="E24-S8-4")*((機器台帳!$B$2:$B$400="背面")+(機器台帳!$B$2:$B$400="両面")&gt;0)*(機器台帳!$F$2:$F$400&lt;&gt;"")*(機器台帳!$C$2:$C$400&lt;=37)*(機器台帳!$C$2:$C$400+機器台帳!$D$2:$D$400-1&gt;=37),0),0))&amp;IF(INDEX(機器台帳!$G$2:$G$400,MATCH(1,INDEX((機器台帳!$A$2:$A$400="E24-S8-4")*((機器台帳!$B$2:$B$400="背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-4")*((機器台帳!$B$2:$B$400="背面")+(機器台帳!$B$2:$B$400="両面")&gt;0)*(機器台帳!$F$2:$F$400&lt;&gt;"")*(機器台帳!$C$2:$C$400&lt;=37)*(機器台帳!$C$2:$C$400+機器台帳!$D$2:$D$400-1&gt;=37),0),0)))&amp;IF(SUMPRODUCT((機器台帳!$A$2:$A$400="E24-S8-4")*((機器台帳!$B$2:$B$400="背面")+(機器台帳!$B$2:$B$400="両面")&gt;0)*(機器台帳!$F$2:$F$400&lt;&gt;"")*(機器台帳!$C$2:$C$400&lt;=37)*(機器台帳!$C$2:$C$400+機器台帳!$D$2:$D$400-1&gt;=37))&gt;1," 他"&amp;(SUMPRODUCT((機器台帳!$A$2:$A$400="E24-S8-4")*((機器台帳!$B$2:$B$400="背面")+(機器台帳!$B$2:$B$400="両面")&gt;0)*(機器台帳!$F$2:$F$400&lt;&gt;"")*(機器台帳!$C$2:$C$400&lt;=37)*(機器台帳!$C$2:$C$400+機器台帳!$D$2:$D$400-1&gt;=37))-1)&amp;"台",""))</f>
        <v/>
      </c>
      <c r="Q14">
        <f>IF(SUMPRODUCT((機器台帳!$A$2:$A$400="E24-S8-4")*((機器台帳!$B$2:$B$400="背面")+(機器台帳!$B$2:$B$400="両面")&gt;0)*(機器台帳!$F$2:$F$400&lt;&gt;"")*(機器台帳!$C$2:$C$400&lt;=37)*(機器台帳!$C$2:$C$400+機器台帳!$D$2:$D$400-1&gt;=37))=0,"",INDEX(機器台帳!$I$2:$I$400,MATCH(1,INDEX((機器台帳!$A$2:$A$400="E24-S8-4")*((機器台帳!$B$2:$B$400="背面")+(機器台帳!$B$2:$B$400="両面")&gt;0)*(機器台帳!$F$2:$F$400&lt;&gt;"")*(機器台帳!$C$2:$C$400&lt;=37)*(機器台帳!$C$2:$C$400+機器台帳!$D$2:$D$400-1&gt;=37),0),0))&amp;IF(INDEX(機器台帳!$Y$2:$Y$400,MATCH(1,INDEX((機器台帳!$A$2:$A$400="E24-S8-4")*((機器台帳!$B$2:$B$400="背面")+(機器台帳!$B$2:$B$400="両面")&gt;0)*(機器台帳!$F$2:$F$400&lt;&gt;"")*(機器台帳!$C$2:$C$400&lt;=37)*(機器台帳!$C$2:$C$400+機器台帳!$D$2:$D$400-1&gt;=37),0),0))=0,"|未記入",""))</f>
        <v/>
      </c>
      <c r="R14" s="12">
        <f>IF(SUMPRODUCT((機器台帳!$A$2:$A$400="E24-S8-5")*((機器台帳!$B$2:$B$400="前面")+(機器台帳!$B$2:$B$400="両面")&gt;0)*(機器台帳!$F$2:$F$400&lt;&gt;"")*(機器台帳!$C$2:$C$400&lt;=37)*(機器台帳!$C$2:$C$400+機器台帳!$D$2:$D$400-1&gt;=37))=0,"",INDEX(機器台帳!$F$2:$F$400,MATCH(1,INDEX((機器台帳!$A$2:$A$400="E24-S8-5")*((機器台帳!$B$2:$B$400="前面")+(機器台帳!$B$2:$B$400="両面")&gt;0)*(機器台帳!$F$2:$F$400&lt;&gt;"")*(機器台帳!$C$2:$C$400&lt;=37)*(機器台帳!$C$2:$C$400+機器台帳!$D$2:$D$400-1&gt;=37),0),0))&amp;IF(INDEX(機器台帳!$G$2:$G$400,MATCH(1,INDEX((機器台帳!$A$2:$A$400="E24-S8-5")*((機器台帳!$B$2:$B$400="前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-5")*((機器台帳!$B$2:$B$400="前面")+(機器台帳!$B$2:$B$400="両面")&gt;0)*(機器台帳!$F$2:$F$400&lt;&gt;"")*(機器台帳!$C$2:$C$400&lt;=37)*(機器台帳!$C$2:$C$400+機器台帳!$D$2:$D$400-1&gt;=37),0),0)))&amp;IF(SUMPRODUCT((機器台帳!$A$2:$A$400="E24-S8-5")*((機器台帳!$B$2:$B$400="前面")+(機器台帳!$B$2:$B$400="両面")&gt;0)*(機器台帳!$F$2:$F$400&lt;&gt;"")*(機器台帳!$C$2:$C$400&lt;=37)*(機器台帳!$C$2:$C$400+機器台帳!$D$2:$D$400-1&gt;=37))&gt;1," 他"&amp;(SUMPRODUCT((機器台帳!$A$2:$A$400="E24-S8-5")*((機器台帳!$B$2:$B$400="前面")+(機器台帳!$B$2:$B$400="両面")&gt;0)*(機器台帳!$F$2:$F$400&lt;&gt;"")*(機器台帳!$C$2:$C$400&lt;=37)*(機器台帳!$C$2:$C$400+機器台帳!$D$2:$D$400-1&gt;=37))-1)&amp;"台",""))</f>
        <v/>
      </c>
      <c r="S14">
        <f>IF(SUMPRODUCT((機器台帳!$A$2:$A$400="E24-S8-5")*((機器台帳!$B$2:$B$400="前面")+(機器台帳!$B$2:$B$400="両面")&gt;0)*(機器台帳!$F$2:$F$400&lt;&gt;"")*(機器台帳!$C$2:$C$400&lt;=37)*(機器台帳!$C$2:$C$400+機器台帳!$D$2:$D$400-1&gt;=37))=0,"",INDEX(機器台帳!$I$2:$I$400,MATCH(1,INDEX((機器台帳!$A$2:$A$400="E24-S8-5")*((機器台帳!$B$2:$B$400="前面")+(機器台帳!$B$2:$B$400="両面")&gt;0)*(機器台帳!$F$2:$F$400&lt;&gt;"")*(機器台帳!$C$2:$C$400&lt;=37)*(機器台帳!$C$2:$C$400+機器台帳!$D$2:$D$400-1&gt;=37),0),0))&amp;IF(INDEX(機器台帳!$Y$2:$Y$400,MATCH(1,INDEX((機器台帳!$A$2:$A$400="E24-S8-5")*((機器台帳!$B$2:$B$400="前面")+(機器台帳!$B$2:$B$400="両面")&gt;0)*(機器台帳!$F$2:$F$400&lt;&gt;"")*(機器台帳!$C$2:$C$400&lt;=37)*(機器台帳!$C$2:$C$400+機器台帳!$D$2:$D$400-1&gt;=37),0),0))=0,"|未記入",""))</f>
        <v/>
      </c>
      <c r="T14" s="12">
        <f>IF(SUMPRODUCT((機器台帳!$A$2:$A$400="E24-S8-5")*((機器台帳!$B$2:$B$400="背面")+(機器台帳!$B$2:$B$400="両面")&gt;0)*(機器台帳!$F$2:$F$400&lt;&gt;"")*(機器台帳!$C$2:$C$400&lt;=37)*(機器台帳!$C$2:$C$400+機器台帳!$D$2:$D$400-1&gt;=37))=0,"",INDEX(機器台帳!$F$2:$F$400,MATCH(1,INDEX((機器台帳!$A$2:$A$400="E24-S8-5")*((機器台帳!$B$2:$B$400="背面")+(機器台帳!$B$2:$B$400="両面")&gt;0)*(機器台帳!$F$2:$F$400&lt;&gt;"")*(機器台帳!$C$2:$C$400&lt;=37)*(機器台帳!$C$2:$C$400+機器台帳!$D$2:$D$400-1&gt;=37),0),0))&amp;IF(INDEX(機器台帳!$G$2:$G$400,MATCH(1,INDEX((機器台帳!$A$2:$A$400="E24-S8-5")*((機器台帳!$B$2:$B$400="背面")+(機器台帳!$B$2:$B$400="両面")&gt;0)*(機器台帳!$F$2:$F$400&lt;&gt;"")*(機器台帳!$C$2:$C$400&lt;=37)*(機器台帳!$C$2:$C$400+機器台帳!$D$2:$D$400-1&gt;=37),0),0))=""," "," "&amp;INDEX(機器台帳!$G$2:$G$400,MATCH(1,INDEX((機器台帳!$A$2:$A$400="E24-S8-5")*((機器台帳!$B$2:$B$400="背面")+(機器台帳!$B$2:$B$400="両面")&gt;0)*(機器台帳!$F$2:$F$400&lt;&gt;"")*(機器台帳!$C$2:$C$400&lt;=37)*(機器台帳!$C$2:$C$400+機器台帳!$D$2:$D$400-1&gt;=37),0),0)))&amp;IF(SUMPRODUCT((機器台帳!$A$2:$A$400="E24-S8-5")*((機器台帳!$B$2:$B$400="背面")+(機器台帳!$B$2:$B$400="両面")&gt;0)*(機器台帳!$F$2:$F$400&lt;&gt;"")*(機器台帳!$C$2:$C$400&lt;=37)*(機器台帳!$C$2:$C$400+機器台帳!$D$2:$D$400-1&gt;=37))&gt;1," 他"&amp;(SUMPRODUCT((機器台帳!$A$2:$A$400="E24-S8-5")*((機器台帳!$B$2:$B$400="背面")+(機器台帳!$B$2:$B$400="両面")&gt;0)*(機器台帳!$F$2:$F$400&lt;&gt;"")*(機器台帳!$C$2:$C$400&lt;=37)*(機器台帳!$C$2:$C$400+機器台帳!$D$2:$D$400-1&gt;=37))-1)&amp;"台",""))</f>
        <v/>
      </c>
      <c r="U14">
        <f>IF(SUMPRODUCT((機器台帳!$A$2:$A$400="E24-S8-5")*((機器台帳!$B$2:$B$400="背面")+(機器台帳!$B$2:$B$400="両面")&gt;0)*(機器台帳!$F$2:$F$400&lt;&gt;"")*(機器台帳!$C$2:$C$400&lt;=37)*(機器台帳!$C$2:$C$400+機器台帳!$D$2:$D$400-1&gt;=37))=0,"",INDEX(機器台帳!$I$2:$I$400,MATCH(1,INDEX((機器台帳!$A$2:$A$400="E24-S8-5")*((機器台帳!$B$2:$B$400="背面")+(機器台帳!$B$2:$B$400="両面")&gt;0)*(機器台帳!$F$2:$F$400&lt;&gt;"")*(機器台帳!$C$2:$C$400&lt;=37)*(機器台帳!$C$2:$C$400+機器台帳!$D$2:$D$400-1&gt;=37),0),0))&amp;IF(INDEX(機器台帳!$Y$2:$Y$400,MATCH(1,INDEX((機器台帳!$A$2:$A$400="E24-S8-5")*((機器台帳!$B$2:$B$400="背面")+(機器台帳!$B$2:$B$400="両面")&gt;0)*(機器台帳!$F$2:$F$400&lt;&gt;"")*(機器台帳!$C$2:$C$400&lt;=37)*(機器台帳!$C$2:$C$400+機器台帳!$D$2:$D$400-1&gt;=37),0),0))=0,"|未記入",""))</f>
        <v/>
      </c>
      <c r="V14" s="12">
        <f>IF(SUMPRODUCT((機器台帳!$A$2:$A$400="E24-S6-1")*((機器台帳!$B$2:$B$400="前面")+(機器台帳!$B$2:$B$400="両面")&gt;0)*(機器台帳!$F$2:$F$400&lt;&gt;"")*(機器台帳!$C$2:$C$400&lt;=37)*(機器台帳!$C$2:$C$400+機器台帳!$D$2:$D$400-1&gt;=37))=0,"",INDEX(機器台帳!$F$2:$F$400,MATCH(1,INDEX((機器台帳!$A$2:$A$400="E24-S6-1")*((機器台帳!$B$2:$B$400="前面")+(機器台帳!$B$2:$B$400="両面")&gt;0)*(機器台帳!$F$2:$F$400&lt;&gt;"")*(機器台帳!$C$2:$C$400&lt;=37)*(機器台帳!$C$2:$C$400+機器台帳!$D$2:$D$400-1&gt;=37),0),0))&amp;IF(INDEX(機器台帳!$G$2:$G$400,MATCH(1,INDEX((機器台帳!$A$2:$A$400="E24-S6-1")*((機器台帳!$B$2:$B$400="前面")+(機器台帳!$B$2:$B$400="両面")&gt;0)*(機器台帳!$F$2:$F$400&lt;&gt;"")*(機器台帳!$C$2:$C$400&lt;=37)*(機器台帳!$C$2:$C$400+機器台帳!$D$2:$D$400-1&gt;=37),0),0))=""," "," "&amp;INDEX(機器台帳!$G$2:$G$400,MATCH(1,INDEX((機器台帳!$A$2:$A$400="E24-S6-1")*((機器台帳!$B$2:$B$400="前面")+(機器台帳!$B$2:$B$400="両面")&gt;0)*(機器台帳!$F$2:$F$400&lt;&gt;"")*(機器台帳!$C$2:$C$400&lt;=37)*(機器台帳!$C$2:$C$400+機器台帳!$D$2:$D$400-1&gt;=37),0),0)))&amp;IF(SUMPRODUCT((機器台帳!$A$2:$A$400="E24-S6-1")*((機器台帳!$B$2:$B$400="前面")+(機器台帳!$B$2:$B$400="両面")&gt;0)*(機器台帳!$F$2:$F$400&lt;&gt;"")*(機器台帳!$C$2:$C$400&lt;=37)*(機器台帳!$C$2:$C$400+機器台帳!$D$2:$D$400-1&gt;=37))&gt;1," 他"&amp;(SUMPRODUCT((機器台帳!$A$2:$A$400="E24-S6-1")*((機器台帳!$B$2:$B$400="前面")+(機器台帳!$B$2:$B$400="両面")&gt;0)*(機器台帳!$F$2:$F$400&lt;&gt;"")*(機器台帳!$C$2:$C$400&lt;=37)*(機器台帳!$C$2:$C$400+機器台帳!$D$2:$D$400-1&gt;=37))-1)&amp;"台",""))</f>
        <v/>
      </c>
      <c r="W14">
        <f>IF(SUMPRODUCT((機器台帳!$A$2:$A$400="E24-S6-1")*((機器台帳!$B$2:$B$400="前面")+(機器台帳!$B$2:$B$400="両面")&gt;0)*(機器台帳!$F$2:$F$400&lt;&gt;"")*(機器台帳!$C$2:$C$400&lt;=37)*(機器台帳!$C$2:$C$400+機器台帳!$D$2:$D$400-1&gt;=37))=0,"",INDEX(機器台帳!$I$2:$I$400,MATCH(1,INDEX((機器台帳!$A$2:$A$400="E24-S6-1")*((機器台帳!$B$2:$B$400="前面")+(機器台帳!$B$2:$B$400="両面")&gt;0)*(機器台帳!$F$2:$F$400&lt;&gt;"")*(機器台帳!$C$2:$C$400&lt;=37)*(機器台帳!$C$2:$C$400+機器台帳!$D$2:$D$400-1&gt;=37),0),0))&amp;IF(INDEX(機器台帳!$Y$2:$Y$400,MATCH(1,INDEX((機器台帳!$A$2:$A$400="E24-S6-1")*((機器台帳!$B$2:$B$400="前面")+(機器台帳!$B$2:$B$400="両面")&gt;0)*(機器台帳!$F$2:$F$400&lt;&gt;"")*(機器台帳!$C$2:$C$400&lt;=37)*(機器台帳!$C$2:$C$400+機器台帳!$D$2:$D$400-1&gt;=37),0),0))=0,"|未記入",""))</f>
        <v/>
      </c>
      <c r="X14" s="12">
        <f>IF(SUMPRODUCT((機器台帳!$A$2:$A$400="E24-S6-1")*((機器台帳!$B$2:$B$400="背面")+(機器台帳!$B$2:$B$400="両面")&gt;0)*(機器台帳!$F$2:$F$400&lt;&gt;"")*(機器台帳!$C$2:$C$400&lt;=37)*(機器台帳!$C$2:$C$400+機器台帳!$D$2:$D$400-1&gt;=37))=0,"",INDEX(機器台帳!$F$2:$F$400,MATCH(1,INDEX((機器台帳!$A$2:$A$400="E24-S6-1")*((機器台帳!$B$2:$B$400="背面")+(機器台帳!$B$2:$B$400="両面")&gt;0)*(機器台帳!$F$2:$F$400&lt;&gt;"")*(機器台帳!$C$2:$C$400&lt;=37)*(機器台帳!$C$2:$C$400+機器台帳!$D$2:$D$400-1&gt;=37),0),0))&amp;IF(INDEX(機器台帳!$G$2:$G$400,MATCH(1,INDEX((機器台帳!$A$2:$A$400="E24-S6-1")*((機器台帳!$B$2:$B$400="背面")+(機器台帳!$B$2:$B$400="両面")&gt;0)*(機器台帳!$F$2:$F$400&lt;&gt;"")*(機器台帳!$C$2:$C$400&lt;=37)*(機器台帳!$C$2:$C$400+機器台帳!$D$2:$D$400-1&gt;=37),0),0))=""," "," "&amp;INDEX(機器台帳!$G$2:$G$400,MATCH(1,INDEX((機器台帳!$A$2:$A$400="E24-S6-1")*((機器台帳!$B$2:$B$400="背面")+(機器台帳!$B$2:$B$400="両面")&gt;0)*(機器台帳!$F$2:$F$400&lt;&gt;"")*(機器台帳!$C$2:$C$400&lt;=37)*(機器台帳!$C$2:$C$400+機器台帳!$D$2:$D$400-1&gt;=37),0),0)))&amp;IF(SUMPRODUCT((機器台帳!$A$2:$A$400="E24-S6-1")*((機器台帳!$B$2:$B$400="背面")+(機器台帳!$B$2:$B$400="両面")&gt;0)*(機器台帳!$F$2:$F$400&lt;&gt;"")*(機器台帳!$C$2:$C$400&lt;=37)*(機器台帳!$C$2:$C$400+機器台帳!$D$2:$D$400-1&gt;=37))&gt;1," 他"&amp;(SUMPRODUCT((機器台帳!$A$2:$A$400="E24-S6-1")*((機器台帳!$B$2:$B$400="背面")+(機器台帳!$B$2:$B$400="両面")&gt;0)*(機器台帳!$F$2:$F$400&lt;&gt;"")*(機器台帳!$C$2:$C$400&lt;=37)*(機器台帳!$C$2:$C$400+機器台帳!$D$2:$D$400-1&gt;=37))-1)&amp;"台",""))</f>
        <v/>
      </c>
      <c r="Y14">
        <f>IF(SUMPRODUCT((機器台帳!$A$2:$A$400="E24-S6-1")*((機器台帳!$B$2:$B$400="背面")+(機器台帳!$B$2:$B$400="両面")&gt;0)*(機器台帳!$F$2:$F$400&lt;&gt;"")*(機器台帳!$C$2:$C$400&lt;=37)*(機器台帳!$C$2:$C$400+機器台帳!$D$2:$D$400-1&gt;=37))=0,"",INDEX(機器台帳!$I$2:$I$400,MATCH(1,INDEX((機器台帳!$A$2:$A$400="E24-S6-1")*((機器台帳!$B$2:$B$400="背面")+(機器台帳!$B$2:$B$400="両面")&gt;0)*(機器台帳!$F$2:$F$400&lt;&gt;"")*(機器台帳!$C$2:$C$400&lt;=37)*(機器台帳!$C$2:$C$400+機器台帳!$D$2:$D$400-1&gt;=37),0),0))&amp;IF(INDEX(機器台帳!$Y$2:$Y$400,MATCH(1,INDEX((機器台帳!$A$2:$A$400="E24-S6-1")*((機器台帳!$B$2:$B$400="背面")+(機器台帳!$B$2:$B$400="両面")&gt;0)*(機器台帳!$F$2:$F$400&lt;&gt;"")*(機器台帳!$C$2:$C$400&lt;=37)*(機器台帳!$C$2:$C$400+機器台帳!$D$2:$D$400-1&gt;=37),0),0))=0,"|未記入",""))</f>
        <v/>
      </c>
    </row>
    <row r="15">
      <c r="A15" s="11" t="n">
        <v>36</v>
      </c>
      <c r="B15" s="12">
        <f>IF(SUMPRODUCT((機器台帳!$A$2:$A$400="E24-S8-1")*((機器台帳!$B$2:$B$400="前面")+(機器台帳!$B$2:$B$400="両面")&gt;0)*(機器台帳!$F$2:$F$400&lt;&gt;"")*(機器台帳!$C$2:$C$400&lt;=36)*(機器台帳!$C$2:$C$400+機器台帳!$D$2:$D$400-1&gt;=36))=0,"",INDEX(機器台帳!$F$2:$F$400,MATCH(1,INDEX((機器台帳!$A$2:$A$400="E24-S8-1")*((機器台帳!$B$2:$B$400="前面")+(機器台帳!$B$2:$B$400="両面")&gt;0)*(機器台帳!$F$2:$F$400&lt;&gt;"")*(機器台帳!$C$2:$C$400&lt;=36)*(機器台帳!$C$2:$C$400+機器台帳!$D$2:$D$400-1&gt;=36),0),0))&amp;IF(INDEX(機器台帳!$G$2:$G$400,MATCH(1,INDEX((機器台帳!$A$2:$A$400="E24-S8-1")*((機器台帳!$B$2:$B$400="前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-1")*((機器台帳!$B$2:$B$400="前面")+(機器台帳!$B$2:$B$400="両面")&gt;0)*(機器台帳!$F$2:$F$400&lt;&gt;"")*(機器台帳!$C$2:$C$400&lt;=36)*(機器台帳!$C$2:$C$400+機器台帳!$D$2:$D$400-1&gt;=36),0),0)))&amp;IF(SUMPRODUCT((機器台帳!$A$2:$A$400="E24-S8-1")*((機器台帳!$B$2:$B$400="前面")+(機器台帳!$B$2:$B$400="両面")&gt;0)*(機器台帳!$F$2:$F$400&lt;&gt;"")*(機器台帳!$C$2:$C$400&lt;=36)*(機器台帳!$C$2:$C$400+機器台帳!$D$2:$D$400-1&gt;=36))&gt;1," 他"&amp;(SUMPRODUCT((機器台帳!$A$2:$A$400="E24-S8-1")*((機器台帳!$B$2:$B$400="前面")+(機器台帳!$B$2:$B$400="両面")&gt;0)*(機器台帳!$F$2:$F$400&lt;&gt;"")*(機器台帳!$C$2:$C$400&lt;=36)*(機器台帳!$C$2:$C$400+機器台帳!$D$2:$D$400-1&gt;=36))-1)&amp;"台",""))</f>
        <v/>
      </c>
      <c r="C15">
        <f>IF(SUMPRODUCT((機器台帳!$A$2:$A$400="E24-S8-1")*((機器台帳!$B$2:$B$400="前面")+(機器台帳!$B$2:$B$400="両面")&gt;0)*(機器台帳!$F$2:$F$400&lt;&gt;"")*(機器台帳!$C$2:$C$400&lt;=36)*(機器台帳!$C$2:$C$400+機器台帳!$D$2:$D$400-1&gt;=36))=0,"",INDEX(機器台帳!$I$2:$I$400,MATCH(1,INDEX((機器台帳!$A$2:$A$400="E24-S8-1")*((機器台帳!$B$2:$B$400="前面")+(機器台帳!$B$2:$B$400="両面")&gt;0)*(機器台帳!$F$2:$F$400&lt;&gt;"")*(機器台帳!$C$2:$C$400&lt;=36)*(機器台帳!$C$2:$C$400+機器台帳!$D$2:$D$400-1&gt;=36),0),0))&amp;IF(INDEX(機器台帳!$Y$2:$Y$400,MATCH(1,INDEX((機器台帳!$A$2:$A$400="E24-S8-1")*((機器台帳!$B$2:$B$400="前面")+(機器台帳!$B$2:$B$400="両面")&gt;0)*(機器台帳!$F$2:$F$400&lt;&gt;"")*(機器台帳!$C$2:$C$400&lt;=36)*(機器台帳!$C$2:$C$400+機器台帳!$D$2:$D$400-1&gt;=36),0),0))=0,"|未記入",""))</f>
        <v/>
      </c>
      <c r="D15" s="12">
        <f>IF(SUMPRODUCT((機器台帳!$A$2:$A$400="E24-S8-1")*((機器台帳!$B$2:$B$400="背面")+(機器台帳!$B$2:$B$400="両面")&gt;0)*(機器台帳!$F$2:$F$400&lt;&gt;"")*(機器台帳!$C$2:$C$400&lt;=36)*(機器台帳!$C$2:$C$400+機器台帳!$D$2:$D$400-1&gt;=36))=0,"",INDEX(機器台帳!$F$2:$F$400,MATCH(1,INDEX((機器台帳!$A$2:$A$400="E24-S8-1")*((機器台帳!$B$2:$B$400="背面")+(機器台帳!$B$2:$B$400="両面")&gt;0)*(機器台帳!$F$2:$F$400&lt;&gt;"")*(機器台帳!$C$2:$C$400&lt;=36)*(機器台帳!$C$2:$C$400+機器台帳!$D$2:$D$400-1&gt;=36),0),0))&amp;IF(INDEX(機器台帳!$G$2:$G$400,MATCH(1,INDEX((機器台帳!$A$2:$A$400="E24-S8-1")*((機器台帳!$B$2:$B$400="背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-1")*((機器台帳!$B$2:$B$400="背面")+(機器台帳!$B$2:$B$400="両面")&gt;0)*(機器台帳!$F$2:$F$400&lt;&gt;"")*(機器台帳!$C$2:$C$400&lt;=36)*(機器台帳!$C$2:$C$400+機器台帳!$D$2:$D$400-1&gt;=36),0),0)))&amp;IF(SUMPRODUCT((機器台帳!$A$2:$A$400="E24-S8-1")*((機器台帳!$B$2:$B$400="背面")+(機器台帳!$B$2:$B$400="両面")&gt;0)*(機器台帳!$F$2:$F$400&lt;&gt;"")*(機器台帳!$C$2:$C$400&lt;=36)*(機器台帳!$C$2:$C$400+機器台帳!$D$2:$D$400-1&gt;=36))&gt;1," 他"&amp;(SUMPRODUCT((機器台帳!$A$2:$A$400="E24-S8-1")*((機器台帳!$B$2:$B$400="背面")+(機器台帳!$B$2:$B$400="両面")&gt;0)*(機器台帳!$F$2:$F$400&lt;&gt;"")*(機器台帳!$C$2:$C$400&lt;=36)*(機器台帳!$C$2:$C$400+機器台帳!$D$2:$D$400-1&gt;=36))-1)&amp;"台",""))</f>
        <v/>
      </c>
      <c r="E15">
        <f>IF(SUMPRODUCT((機器台帳!$A$2:$A$400="E24-S8-1")*((機器台帳!$B$2:$B$400="背面")+(機器台帳!$B$2:$B$400="両面")&gt;0)*(機器台帳!$F$2:$F$400&lt;&gt;"")*(機器台帳!$C$2:$C$400&lt;=36)*(機器台帳!$C$2:$C$400+機器台帳!$D$2:$D$400-1&gt;=36))=0,"",INDEX(機器台帳!$I$2:$I$400,MATCH(1,INDEX((機器台帳!$A$2:$A$400="E24-S8-1")*((機器台帳!$B$2:$B$400="背面")+(機器台帳!$B$2:$B$400="両面")&gt;0)*(機器台帳!$F$2:$F$400&lt;&gt;"")*(機器台帳!$C$2:$C$400&lt;=36)*(機器台帳!$C$2:$C$400+機器台帳!$D$2:$D$400-1&gt;=36),0),0))&amp;IF(INDEX(機器台帳!$Y$2:$Y$400,MATCH(1,INDEX((機器台帳!$A$2:$A$400="E24-S8-1")*((機器台帳!$B$2:$B$400="背面")+(機器台帳!$B$2:$B$400="両面")&gt;0)*(機器台帳!$F$2:$F$400&lt;&gt;"")*(機器台帳!$C$2:$C$400&lt;=36)*(機器台帳!$C$2:$C$400+機器台帳!$D$2:$D$400-1&gt;=36),0),0))=0,"|未記入",""))</f>
        <v/>
      </c>
      <c r="F15" s="12">
        <f>IF(SUMPRODUCT((機器台帳!$A$2:$A$400="E24-S8-2")*((機器台帳!$B$2:$B$400="前面")+(機器台帳!$B$2:$B$400="両面")&gt;0)*(機器台帳!$F$2:$F$400&lt;&gt;"")*(機器台帳!$C$2:$C$400&lt;=36)*(機器台帳!$C$2:$C$400+機器台帳!$D$2:$D$400-1&gt;=36))=0,"",INDEX(機器台帳!$F$2:$F$400,MATCH(1,INDEX((機器台帳!$A$2:$A$400="E24-S8-2")*((機器台帳!$B$2:$B$400="前面")+(機器台帳!$B$2:$B$400="両面")&gt;0)*(機器台帳!$F$2:$F$400&lt;&gt;"")*(機器台帳!$C$2:$C$400&lt;=36)*(機器台帳!$C$2:$C$400+機器台帳!$D$2:$D$400-1&gt;=36),0),0))&amp;IF(INDEX(機器台帳!$G$2:$G$400,MATCH(1,INDEX((機器台帳!$A$2:$A$400="E24-S8-2")*((機器台帳!$B$2:$B$400="前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-2")*((機器台帳!$B$2:$B$400="前面")+(機器台帳!$B$2:$B$400="両面")&gt;0)*(機器台帳!$F$2:$F$400&lt;&gt;"")*(機器台帳!$C$2:$C$400&lt;=36)*(機器台帳!$C$2:$C$400+機器台帳!$D$2:$D$400-1&gt;=36),0),0)))&amp;IF(SUMPRODUCT((機器台帳!$A$2:$A$400="E24-S8-2")*((機器台帳!$B$2:$B$400="前面")+(機器台帳!$B$2:$B$400="両面")&gt;0)*(機器台帳!$F$2:$F$400&lt;&gt;"")*(機器台帳!$C$2:$C$400&lt;=36)*(機器台帳!$C$2:$C$400+機器台帳!$D$2:$D$400-1&gt;=36))&gt;1," 他"&amp;(SUMPRODUCT((機器台帳!$A$2:$A$400="E24-S8-2")*((機器台帳!$B$2:$B$400="前面")+(機器台帳!$B$2:$B$400="両面")&gt;0)*(機器台帳!$F$2:$F$400&lt;&gt;"")*(機器台帳!$C$2:$C$400&lt;=36)*(機器台帳!$C$2:$C$400+機器台帳!$D$2:$D$400-1&gt;=36))-1)&amp;"台",""))</f>
        <v/>
      </c>
      <c r="G15">
        <f>IF(SUMPRODUCT((機器台帳!$A$2:$A$400="E24-S8-2")*((機器台帳!$B$2:$B$400="前面")+(機器台帳!$B$2:$B$400="両面")&gt;0)*(機器台帳!$F$2:$F$400&lt;&gt;"")*(機器台帳!$C$2:$C$400&lt;=36)*(機器台帳!$C$2:$C$400+機器台帳!$D$2:$D$400-1&gt;=36))=0,"",INDEX(機器台帳!$I$2:$I$400,MATCH(1,INDEX((機器台帳!$A$2:$A$400="E24-S8-2")*((機器台帳!$B$2:$B$400="前面")+(機器台帳!$B$2:$B$400="両面")&gt;0)*(機器台帳!$F$2:$F$400&lt;&gt;"")*(機器台帳!$C$2:$C$400&lt;=36)*(機器台帳!$C$2:$C$400+機器台帳!$D$2:$D$400-1&gt;=36),0),0))&amp;IF(INDEX(機器台帳!$Y$2:$Y$400,MATCH(1,INDEX((機器台帳!$A$2:$A$400="E24-S8-2")*((機器台帳!$B$2:$B$400="前面")+(機器台帳!$B$2:$B$400="両面")&gt;0)*(機器台帳!$F$2:$F$400&lt;&gt;"")*(機器台帳!$C$2:$C$400&lt;=36)*(機器台帳!$C$2:$C$400+機器台帳!$D$2:$D$400-1&gt;=36),0),0))=0,"|未記入",""))</f>
        <v/>
      </c>
      <c r="H15" s="12">
        <f>IF(SUMPRODUCT((機器台帳!$A$2:$A$400="E24-S8-2")*((機器台帳!$B$2:$B$400="背面")+(機器台帳!$B$2:$B$400="両面")&gt;0)*(機器台帳!$F$2:$F$400&lt;&gt;"")*(機器台帳!$C$2:$C$400&lt;=36)*(機器台帳!$C$2:$C$400+機器台帳!$D$2:$D$400-1&gt;=36))=0,"",INDEX(機器台帳!$F$2:$F$400,MATCH(1,INDEX((機器台帳!$A$2:$A$400="E24-S8-2")*((機器台帳!$B$2:$B$400="背面")+(機器台帳!$B$2:$B$400="両面")&gt;0)*(機器台帳!$F$2:$F$400&lt;&gt;"")*(機器台帳!$C$2:$C$400&lt;=36)*(機器台帳!$C$2:$C$400+機器台帳!$D$2:$D$400-1&gt;=36),0),0))&amp;IF(INDEX(機器台帳!$G$2:$G$400,MATCH(1,INDEX((機器台帳!$A$2:$A$400="E24-S8-2")*((機器台帳!$B$2:$B$400="背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-2")*((機器台帳!$B$2:$B$400="背面")+(機器台帳!$B$2:$B$400="両面")&gt;0)*(機器台帳!$F$2:$F$400&lt;&gt;"")*(機器台帳!$C$2:$C$400&lt;=36)*(機器台帳!$C$2:$C$400+機器台帳!$D$2:$D$400-1&gt;=36),0),0)))&amp;IF(SUMPRODUCT((機器台帳!$A$2:$A$400="E24-S8-2")*((機器台帳!$B$2:$B$400="背面")+(機器台帳!$B$2:$B$400="両面")&gt;0)*(機器台帳!$F$2:$F$400&lt;&gt;"")*(機器台帳!$C$2:$C$400&lt;=36)*(機器台帳!$C$2:$C$400+機器台帳!$D$2:$D$400-1&gt;=36))&gt;1," 他"&amp;(SUMPRODUCT((機器台帳!$A$2:$A$400="E24-S8-2")*((機器台帳!$B$2:$B$400="背面")+(機器台帳!$B$2:$B$400="両面")&gt;0)*(機器台帳!$F$2:$F$400&lt;&gt;"")*(機器台帳!$C$2:$C$400&lt;=36)*(機器台帳!$C$2:$C$400+機器台帳!$D$2:$D$400-1&gt;=36))-1)&amp;"台",""))</f>
        <v/>
      </c>
      <c r="I15">
        <f>IF(SUMPRODUCT((機器台帳!$A$2:$A$400="E24-S8-2")*((機器台帳!$B$2:$B$400="背面")+(機器台帳!$B$2:$B$400="両面")&gt;0)*(機器台帳!$F$2:$F$400&lt;&gt;"")*(機器台帳!$C$2:$C$400&lt;=36)*(機器台帳!$C$2:$C$400+機器台帳!$D$2:$D$400-1&gt;=36))=0,"",INDEX(機器台帳!$I$2:$I$400,MATCH(1,INDEX((機器台帳!$A$2:$A$400="E24-S8-2")*((機器台帳!$B$2:$B$400="背面")+(機器台帳!$B$2:$B$400="両面")&gt;0)*(機器台帳!$F$2:$F$400&lt;&gt;"")*(機器台帳!$C$2:$C$400&lt;=36)*(機器台帳!$C$2:$C$400+機器台帳!$D$2:$D$400-1&gt;=36),0),0))&amp;IF(INDEX(機器台帳!$Y$2:$Y$400,MATCH(1,INDEX((機器台帳!$A$2:$A$400="E24-S8-2")*((機器台帳!$B$2:$B$400="背面")+(機器台帳!$B$2:$B$400="両面")&gt;0)*(機器台帳!$F$2:$F$400&lt;&gt;"")*(機器台帳!$C$2:$C$400&lt;=36)*(機器台帳!$C$2:$C$400+機器台帳!$D$2:$D$400-1&gt;=36),0),0))=0,"|未記入",""))</f>
        <v/>
      </c>
      <c r="J15" s="12">
        <f>IF(SUMPRODUCT((機器台帳!$A$2:$A$400="E24-S8-3")*((機器台帳!$B$2:$B$400="前面")+(機器台帳!$B$2:$B$400="両面")&gt;0)*(機器台帳!$F$2:$F$400&lt;&gt;"")*(機器台帳!$C$2:$C$400&lt;=36)*(機器台帳!$C$2:$C$400+機器台帳!$D$2:$D$400-1&gt;=36))=0,"",INDEX(機器台帳!$F$2:$F$400,MATCH(1,INDEX((機器台帳!$A$2:$A$400="E24-S8-3")*((機器台帳!$B$2:$B$400="前面")+(機器台帳!$B$2:$B$400="両面")&gt;0)*(機器台帳!$F$2:$F$400&lt;&gt;"")*(機器台帳!$C$2:$C$400&lt;=36)*(機器台帳!$C$2:$C$400+機器台帳!$D$2:$D$400-1&gt;=36),0),0))&amp;IF(INDEX(機器台帳!$G$2:$G$400,MATCH(1,INDEX((機器台帳!$A$2:$A$400="E24-S8-3")*((機器台帳!$B$2:$B$400="前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-3")*((機器台帳!$B$2:$B$400="前面")+(機器台帳!$B$2:$B$400="両面")&gt;0)*(機器台帳!$F$2:$F$400&lt;&gt;"")*(機器台帳!$C$2:$C$400&lt;=36)*(機器台帳!$C$2:$C$400+機器台帳!$D$2:$D$400-1&gt;=36),0),0)))&amp;IF(SUMPRODUCT((機器台帳!$A$2:$A$400="E24-S8-3")*((機器台帳!$B$2:$B$400="前面")+(機器台帳!$B$2:$B$400="両面")&gt;0)*(機器台帳!$F$2:$F$400&lt;&gt;"")*(機器台帳!$C$2:$C$400&lt;=36)*(機器台帳!$C$2:$C$400+機器台帳!$D$2:$D$400-1&gt;=36))&gt;1," 他"&amp;(SUMPRODUCT((機器台帳!$A$2:$A$400="E24-S8-3")*((機器台帳!$B$2:$B$400="前面")+(機器台帳!$B$2:$B$400="両面")&gt;0)*(機器台帳!$F$2:$F$400&lt;&gt;"")*(機器台帳!$C$2:$C$400&lt;=36)*(機器台帳!$C$2:$C$400+機器台帳!$D$2:$D$400-1&gt;=36))-1)&amp;"台",""))</f>
        <v/>
      </c>
      <c r="K15">
        <f>IF(SUMPRODUCT((機器台帳!$A$2:$A$400="E24-S8-3")*((機器台帳!$B$2:$B$400="前面")+(機器台帳!$B$2:$B$400="両面")&gt;0)*(機器台帳!$F$2:$F$400&lt;&gt;"")*(機器台帳!$C$2:$C$400&lt;=36)*(機器台帳!$C$2:$C$400+機器台帳!$D$2:$D$400-1&gt;=36))=0,"",INDEX(機器台帳!$I$2:$I$400,MATCH(1,INDEX((機器台帳!$A$2:$A$400="E24-S8-3")*((機器台帳!$B$2:$B$400="前面")+(機器台帳!$B$2:$B$400="両面")&gt;0)*(機器台帳!$F$2:$F$400&lt;&gt;"")*(機器台帳!$C$2:$C$400&lt;=36)*(機器台帳!$C$2:$C$400+機器台帳!$D$2:$D$400-1&gt;=36),0),0))&amp;IF(INDEX(機器台帳!$Y$2:$Y$400,MATCH(1,INDEX((機器台帳!$A$2:$A$400="E24-S8-3")*((機器台帳!$B$2:$B$400="前面")+(機器台帳!$B$2:$B$400="両面")&gt;0)*(機器台帳!$F$2:$F$400&lt;&gt;"")*(機器台帳!$C$2:$C$400&lt;=36)*(機器台帳!$C$2:$C$400+機器台帳!$D$2:$D$400-1&gt;=36),0),0))=0,"|未記入",""))</f>
        <v/>
      </c>
      <c r="L15" s="12">
        <f>IF(SUMPRODUCT((機器台帳!$A$2:$A$400="E24-S8-3")*((機器台帳!$B$2:$B$400="背面")+(機器台帳!$B$2:$B$400="両面")&gt;0)*(機器台帳!$F$2:$F$400&lt;&gt;"")*(機器台帳!$C$2:$C$400&lt;=36)*(機器台帳!$C$2:$C$400+機器台帳!$D$2:$D$400-1&gt;=36))=0,"",INDEX(機器台帳!$F$2:$F$400,MATCH(1,INDEX((機器台帳!$A$2:$A$400="E24-S8-3")*((機器台帳!$B$2:$B$400="背面")+(機器台帳!$B$2:$B$400="両面")&gt;0)*(機器台帳!$F$2:$F$400&lt;&gt;"")*(機器台帳!$C$2:$C$400&lt;=36)*(機器台帳!$C$2:$C$400+機器台帳!$D$2:$D$400-1&gt;=36),0),0))&amp;IF(INDEX(機器台帳!$G$2:$G$400,MATCH(1,INDEX((機器台帳!$A$2:$A$400="E24-S8-3")*((機器台帳!$B$2:$B$400="背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-3")*((機器台帳!$B$2:$B$400="背面")+(機器台帳!$B$2:$B$400="両面")&gt;0)*(機器台帳!$F$2:$F$400&lt;&gt;"")*(機器台帳!$C$2:$C$400&lt;=36)*(機器台帳!$C$2:$C$400+機器台帳!$D$2:$D$400-1&gt;=36),0),0)))&amp;IF(SUMPRODUCT((機器台帳!$A$2:$A$400="E24-S8-3")*((機器台帳!$B$2:$B$400="背面")+(機器台帳!$B$2:$B$400="両面")&gt;0)*(機器台帳!$F$2:$F$400&lt;&gt;"")*(機器台帳!$C$2:$C$400&lt;=36)*(機器台帳!$C$2:$C$400+機器台帳!$D$2:$D$400-1&gt;=36))&gt;1," 他"&amp;(SUMPRODUCT((機器台帳!$A$2:$A$400="E24-S8-3")*((機器台帳!$B$2:$B$400="背面")+(機器台帳!$B$2:$B$400="両面")&gt;0)*(機器台帳!$F$2:$F$400&lt;&gt;"")*(機器台帳!$C$2:$C$400&lt;=36)*(機器台帳!$C$2:$C$400+機器台帳!$D$2:$D$400-1&gt;=36))-1)&amp;"台",""))</f>
        <v/>
      </c>
      <c r="M15">
        <f>IF(SUMPRODUCT((機器台帳!$A$2:$A$400="E24-S8-3")*((機器台帳!$B$2:$B$400="背面")+(機器台帳!$B$2:$B$400="両面")&gt;0)*(機器台帳!$F$2:$F$400&lt;&gt;"")*(機器台帳!$C$2:$C$400&lt;=36)*(機器台帳!$C$2:$C$400+機器台帳!$D$2:$D$400-1&gt;=36))=0,"",INDEX(機器台帳!$I$2:$I$400,MATCH(1,INDEX((機器台帳!$A$2:$A$400="E24-S8-3")*((機器台帳!$B$2:$B$400="背面")+(機器台帳!$B$2:$B$400="両面")&gt;0)*(機器台帳!$F$2:$F$400&lt;&gt;"")*(機器台帳!$C$2:$C$400&lt;=36)*(機器台帳!$C$2:$C$400+機器台帳!$D$2:$D$400-1&gt;=36),0),0))&amp;IF(INDEX(機器台帳!$Y$2:$Y$400,MATCH(1,INDEX((機器台帳!$A$2:$A$400="E24-S8-3")*((機器台帳!$B$2:$B$400="背面")+(機器台帳!$B$2:$B$400="両面")&gt;0)*(機器台帳!$F$2:$F$400&lt;&gt;"")*(機器台帳!$C$2:$C$400&lt;=36)*(機器台帳!$C$2:$C$400+機器台帳!$D$2:$D$400-1&gt;=36),0),0))=0,"|未記入",""))</f>
        <v/>
      </c>
      <c r="N15" s="12">
        <f>IF(SUMPRODUCT((機器台帳!$A$2:$A$400="E24-S8-4")*((機器台帳!$B$2:$B$400="前面")+(機器台帳!$B$2:$B$400="両面")&gt;0)*(機器台帳!$F$2:$F$400&lt;&gt;"")*(機器台帳!$C$2:$C$400&lt;=36)*(機器台帳!$C$2:$C$400+機器台帳!$D$2:$D$400-1&gt;=36))=0,"",INDEX(機器台帳!$F$2:$F$400,MATCH(1,INDEX((機器台帳!$A$2:$A$400="E24-S8-4")*((機器台帳!$B$2:$B$400="前面")+(機器台帳!$B$2:$B$400="両面")&gt;0)*(機器台帳!$F$2:$F$400&lt;&gt;"")*(機器台帳!$C$2:$C$400&lt;=36)*(機器台帳!$C$2:$C$400+機器台帳!$D$2:$D$400-1&gt;=36),0),0))&amp;IF(INDEX(機器台帳!$G$2:$G$400,MATCH(1,INDEX((機器台帳!$A$2:$A$400="E24-S8-4")*((機器台帳!$B$2:$B$400="前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-4")*((機器台帳!$B$2:$B$400="前面")+(機器台帳!$B$2:$B$400="両面")&gt;0)*(機器台帳!$F$2:$F$400&lt;&gt;"")*(機器台帳!$C$2:$C$400&lt;=36)*(機器台帳!$C$2:$C$400+機器台帳!$D$2:$D$400-1&gt;=36),0),0)))&amp;IF(SUMPRODUCT((機器台帳!$A$2:$A$400="E24-S8-4")*((機器台帳!$B$2:$B$400="前面")+(機器台帳!$B$2:$B$400="両面")&gt;0)*(機器台帳!$F$2:$F$400&lt;&gt;"")*(機器台帳!$C$2:$C$400&lt;=36)*(機器台帳!$C$2:$C$400+機器台帳!$D$2:$D$400-1&gt;=36))&gt;1," 他"&amp;(SUMPRODUCT((機器台帳!$A$2:$A$400="E24-S8-4")*((機器台帳!$B$2:$B$400="前面")+(機器台帳!$B$2:$B$400="両面")&gt;0)*(機器台帳!$F$2:$F$400&lt;&gt;"")*(機器台帳!$C$2:$C$400&lt;=36)*(機器台帳!$C$2:$C$400+機器台帳!$D$2:$D$400-1&gt;=36))-1)&amp;"台",""))</f>
        <v/>
      </c>
      <c r="O15">
        <f>IF(SUMPRODUCT((機器台帳!$A$2:$A$400="E24-S8-4")*((機器台帳!$B$2:$B$400="前面")+(機器台帳!$B$2:$B$400="両面")&gt;0)*(機器台帳!$F$2:$F$400&lt;&gt;"")*(機器台帳!$C$2:$C$400&lt;=36)*(機器台帳!$C$2:$C$400+機器台帳!$D$2:$D$400-1&gt;=36))=0,"",INDEX(機器台帳!$I$2:$I$400,MATCH(1,INDEX((機器台帳!$A$2:$A$400="E24-S8-4")*((機器台帳!$B$2:$B$400="前面")+(機器台帳!$B$2:$B$400="両面")&gt;0)*(機器台帳!$F$2:$F$400&lt;&gt;"")*(機器台帳!$C$2:$C$400&lt;=36)*(機器台帳!$C$2:$C$400+機器台帳!$D$2:$D$400-1&gt;=36),0),0))&amp;IF(INDEX(機器台帳!$Y$2:$Y$400,MATCH(1,INDEX((機器台帳!$A$2:$A$400="E24-S8-4")*((機器台帳!$B$2:$B$400="前面")+(機器台帳!$B$2:$B$400="両面")&gt;0)*(機器台帳!$F$2:$F$400&lt;&gt;"")*(機器台帳!$C$2:$C$400&lt;=36)*(機器台帳!$C$2:$C$400+機器台帳!$D$2:$D$400-1&gt;=36),0),0))=0,"|未記入",""))</f>
        <v/>
      </c>
      <c r="P15" s="12">
        <f>IF(SUMPRODUCT((機器台帳!$A$2:$A$400="E24-S8-4")*((機器台帳!$B$2:$B$400="背面")+(機器台帳!$B$2:$B$400="両面")&gt;0)*(機器台帳!$F$2:$F$400&lt;&gt;"")*(機器台帳!$C$2:$C$400&lt;=36)*(機器台帳!$C$2:$C$400+機器台帳!$D$2:$D$400-1&gt;=36))=0,"",INDEX(機器台帳!$F$2:$F$400,MATCH(1,INDEX((機器台帳!$A$2:$A$400="E24-S8-4")*((機器台帳!$B$2:$B$400="背面")+(機器台帳!$B$2:$B$400="両面")&gt;0)*(機器台帳!$F$2:$F$400&lt;&gt;"")*(機器台帳!$C$2:$C$400&lt;=36)*(機器台帳!$C$2:$C$400+機器台帳!$D$2:$D$400-1&gt;=36),0),0))&amp;IF(INDEX(機器台帳!$G$2:$G$400,MATCH(1,INDEX((機器台帳!$A$2:$A$400="E24-S8-4")*((機器台帳!$B$2:$B$400="背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-4")*((機器台帳!$B$2:$B$400="背面")+(機器台帳!$B$2:$B$400="両面")&gt;0)*(機器台帳!$F$2:$F$400&lt;&gt;"")*(機器台帳!$C$2:$C$400&lt;=36)*(機器台帳!$C$2:$C$400+機器台帳!$D$2:$D$400-1&gt;=36),0),0)))&amp;IF(SUMPRODUCT((機器台帳!$A$2:$A$400="E24-S8-4")*((機器台帳!$B$2:$B$400="背面")+(機器台帳!$B$2:$B$400="両面")&gt;0)*(機器台帳!$F$2:$F$400&lt;&gt;"")*(機器台帳!$C$2:$C$400&lt;=36)*(機器台帳!$C$2:$C$400+機器台帳!$D$2:$D$400-1&gt;=36))&gt;1," 他"&amp;(SUMPRODUCT((機器台帳!$A$2:$A$400="E24-S8-4")*((機器台帳!$B$2:$B$400="背面")+(機器台帳!$B$2:$B$400="両面")&gt;0)*(機器台帳!$F$2:$F$400&lt;&gt;"")*(機器台帳!$C$2:$C$400&lt;=36)*(機器台帳!$C$2:$C$400+機器台帳!$D$2:$D$400-1&gt;=36))-1)&amp;"台",""))</f>
        <v/>
      </c>
      <c r="Q15">
        <f>IF(SUMPRODUCT((機器台帳!$A$2:$A$400="E24-S8-4")*((機器台帳!$B$2:$B$400="背面")+(機器台帳!$B$2:$B$400="両面")&gt;0)*(機器台帳!$F$2:$F$400&lt;&gt;"")*(機器台帳!$C$2:$C$400&lt;=36)*(機器台帳!$C$2:$C$400+機器台帳!$D$2:$D$400-1&gt;=36))=0,"",INDEX(機器台帳!$I$2:$I$400,MATCH(1,INDEX((機器台帳!$A$2:$A$400="E24-S8-4")*((機器台帳!$B$2:$B$400="背面")+(機器台帳!$B$2:$B$400="両面")&gt;0)*(機器台帳!$F$2:$F$400&lt;&gt;"")*(機器台帳!$C$2:$C$400&lt;=36)*(機器台帳!$C$2:$C$400+機器台帳!$D$2:$D$400-1&gt;=36),0),0))&amp;IF(INDEX(機器台帳!$Y$2:$Y$400,MATCH(1,INDEX((機器台帳!$A$2:$A$400="E24-S8-4")*((機器台帳!$B$2:$B$400="背面")+(機器台帳!$B$2:$B$400="両面")&gt;0)*(機器台帳!$F$2:$F$400&lt;&gt;"")*(機器台帳!$C$2:$C$400&lt;=36)*(機器台帳!$C$2:$C$400+機器台帳!$D$2:$D$400-1&gt;=36),0),0))=0,"|未記入",""))</f>
        <v/>
      </c>
      <c r="R15" s="12">
        <f>IF(SUMPRODUCT((機器台帳!$A$2:$A$400="E24-S8-5")*((機器台帳!$B$2:$B$400="前面")+(機器台帳!$B$2:$B$400="両面")&gt;0)*(機器台帳!$F$2:$F$400&lt;&gt;"")*(機器台帳!$C$2:$C$400&lt;=36)*(機器台帳!$C$2:$C$400+機器台帳!$D$2:$D$400-1&gt;=36))=0,"",INDEX(機器台帳!$F$2:$F$400,MATCH(1,INDEX((機器台帳!$A$2:$A$400="E24-S8-5")*((機器台帳!$B$2:$B$400="前面")+(機器台帳!$B$2:$B$400="両面")&gt;0)*(機器台帳!$F$2:$F$400&lt;&gt;"")*(機器台帳!$C$2:$C$400&lt;=36)*(機器台帳!$C$2:$C$400+機器台帳!$D$2:$D$400-1&gt;=36),0),0))&amp;IF(INDEX(機器台帳!$G$2:$G$400,MATCH(1,INDEX((機器台帳!$A$2:$A$400="E24-S8-5")*((機器台帳!$B$2:$B$400="前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-5")*((機器台帳!$B$2:$B$400="前面")+(機器台帳!$B$2:$B$400="両面")&gt;0)*(機器台帳!$F$2:$F$400&lt;&gt;"")*(機器台帳!$C$2:$C$400&lt;=36)*(機器台帳!$C$2:$C$400+機器台帳!$D$2:$D$400-1&gt;=36),0),0)))&amp;IF(SUMPRODUCT((機器台帳!$A$2:$A$400="E24-S8-5")*((機器台帳!$B$2:$B$400="前面")+(機器台帳!$B$2:$B$400="両面")&gt;0)*(機器台帳!$F$2:$F$400&lt;&gt;"")*(機器台帳!$C$2:$C$400&lt;=36)*(機器台帳!$C$2:$C$400+機器台帳!$D$2:$D$400-1&gt;=36))&gt;1," 他"&amp;(SUMPRODUCT((機器台帳!$A$2:$A$400="E24-S8-5")*((機器台帳!$B$2:$B$400="前面")+(機器台帳!$B$2:$B$400="両面")&gt;0)*(機器台帳!$F$2:$F$400&lt;&gt;"")*(機器台帳!$C$2:$C$400&lt;=36)*(機器台帳!$C$2:$C$400+機器台帳!$D$2:$D$400-1&gt;=36))-1)&amp;"台",""))</f>
        <v/>
      </c>
      <c r="S15">
        <f>IF(SUMPRODUCT((機器台帳!$A$2:$A$400="E24-S8-5")*((機器台帳!$B$2:$B$400="前面")+(機器台帳!$B$2:$B$400="両面")&gt;0)*(機器台帳!$F$2:$F$400&lt;&gt;"")*(機器台帳!$C$2:$C$400&lt;=36)*(機器台帳!$C$2:$C$400+機器台帳!$D$2:$D$400-1&gt;=36))=0,"",INDEX(機器台帳!$I$2:$I$400,MATCH(1,INDEX((機器台帳!$A$2:$A$400="E24-S8-5")*((機器台帳!$B$2:$B$400="前面")+(機器台帳!$B$2:$B$400="両面")&gt;0)*(機器台帳!$F$2:$F$400&lt;&gt;"")*(機器台帳!$C$2:$C$400&lt;=36)*(機器台帳!$C$2:$C$400+機器台帳!$D$2:$D$400-1&gt;=36),0),0))&amp;IF(INDEX(機器台帳!$Y$2:$Y$400,MATCH(1,INDEX((機器台帳!$A$2:$A$400="E24-S8-5")*((機器台帳!$B$2:$B$400="前面")+(機器台帳!$B$2:$B$400="両面")&gt;0)*(機器台帳!$F$2:$F$400&lt;&gt;"")*(機器台帳!$C$2:$C$400&lt;=36)*(機器台帳!$C$2:$C$400+機器台帳!$D$2:$D$400-1&gt;=36),0),0))=0,"|未記入",""))</f>
        <v/>
      </c>
      <c r="T15" s="12">
        <f>IF(SUMPRODUCT((機器台帳!$A$2:$A$400="E24-S8-5")*((機器台帳!$B$2:$B$400="背面")+(機器台帳!$B$2:$B$400="両面")&gt;0)*(機器台帳!$F$2:$F$400&lt;&gt;"")*(機器台帳!$C$2:$C$400&lt;=36)*(機器台帳!$C$2:$C$400+機器台帳!$D$2:$D$400-1&gt;=36))=0,"",INDEX(機器台帳!$F$2:$F$400,MATCH(1,INDEX((機器台帳!$A$2:$A$400="E24-S8-5")*((機器台帳!$B$2:$B$400="背面")+(機器台帳!$B$2:$B$400="両面")&gt;0)*(機器台帳!$F$2:$F$400&lt;&gt;"")*(機器台帳!$C$2:$C$400&lt;=36)*(機器台帳!$C$2:$C$400+機器台帳!$D$2:$D$400-1&gt;=36),0),0))&amp;IF(INDEX(機器台帳!$G$2:$G$400,MATCH(1,INDEX((機器台帳!$A$2:$A$400="E24-S8-5")*((機器台帳!$B$2:$B$400="背面")+(機器台帳!$B$2:$B$400="両面")&gt;0)*(機器台帳!$F$2:$F$400&lt;&gt;"")*(機器台帳!$C$2:$C$400&lt;=36)*(機器台帳!$C$2:$C$400+機器台帳!$D$2:$D$400-1&gt;=36),0),0))=""," "," "&amp;INDEX(機器台帳!$G$2:$G$400,MATCH(1,INDEX((機器台帳!$A$2:$A$400="E24-S8-5")*((機器台帳!$B$2:$B$400="背面")+(機器台帳!$B$2:$B$400="両面")&gt;0)*(機器台帳!$F$2:$F$400&lt;&gt;"")*(機器台帳!$C$2:$C$400&lt;=36)*(機器台帳!$C$2:$C$400+機器台帳!$D$2:$D$400-1&gt;=36),0),0)))&amp;IF(SUMPRODUCT((機器台帳!$A$2:$A$400="E24-S8-5")*((機器台帳!$B$2:$B$400="背面")+(機器台帳!$B$2:$B$400="両面")&gt;0)*(機器台帳!$F$2:$F$400&lt;&gt;"")*(機器台帳!$C$2:$C$400&lt;=36)*(機器台帳!$C$2:$C$400+機器台帳!$D$2:$D$400-1&gt;=36))&gt;1," 他"&amp;(SUMPRODUCT((機器台帳!$A$2:$A$400="E24-S8-5")*((機器台帳!$B$2:$B$400="背面")+(機器台帳!$B$2:$B$400="両面")&gt;0)*(機器台帳!$F$2:$F$400&lt;&gt;"")*(機器台帳!$C$2:$C$400&lt;=36)*(機器台帳!$C$2:$C$400+機器台帳!$D$2:$D$400-1&gt;=36))-1)&amp;"台",""))</f>
        <v/>
      </c>
      <c r="U15">
        <f>IF(SUMPRODUCT((機器台帳!$A$2:$A$400="E24-S8-5")*((機器台帳!$B$2:$B$400="背面")+(機器台帳!$B$2:$B$400="両面")&gt;0)*(機器台帳!$F$2:$F$400&lt;&gt;"")*(機器台帳!$C$2:$C$400&lt;=36)*(機器台帳!$C$2:$C$400+機器台帳!$D$2:$D$400-1&gt;=36))=0,"",INDEX(機器台帳!$I$2:$I$400,MATCH(1,INDEX((機器台帳!$A$2:$A$400="E24-S8-5")*((機器台帳!$B$2:$B$400="背面")+(機器台帳!$B$2:$B$400="両面")&gt;0)*(機器台帳!$F$2:$F$400&lt;&gt;"")*(機器台帳!$C$2:$C$400&lt;=36)*(機器台帳!$C$2:$C$400+機器台帳!$D$2:$D$400-1&gt;=36),0),0))&amp;IF(INDEX(機器台帳!$Y$2:$Y$400,MATCH(1,INDEX((機器台帳!$A$2:$A$400="E24-S8-5")*((機器台帳!$B$2:$B$400="背面")+(機器台帳!$B$2:$B$400="両面")&gt;0)*(機器台帳!$F$2:$F$400&lt;&gt;"")*(機器台帳!$C$2:$C$400&lt;=36)*(機器台帳!$C$2:$C$400+機器台帳!$D$2:$D$400-1&gt;=36),0),0))=0,"|未記入",""))</f>
        <v/>
      </c>
      <c r="V15" s="12">
        <f>IF(SUMPRODUCT((機器台帳!$A$2:$A$400="E24-S6-1")*((機器台帳!$B$2:$B$400="前面")+(機器台帳!$B$2:$B$400="両面")&gt;0)*(機器台帳!$F$2:$F$400&lt;&gt;"")*(機器台帳!$C$2:$C$400&lt;=36)*(機器台帳!$C$2:$C$400+機器台帳!$D$2:$D$400-1&gt;=36))=0,"",INDEX(機器台帳!$F$2:$F$400,MATCH(1,INDEX((機器台帳!$A$2:$A$400="E24-S6-1")*((機器台帳!$B$2:$B$400="前面")+(機器台帳!$B$2:$B$400="両面")&gt;0)*(機器台帳!$F$2:$F$400&lt;&gt;"")*(機器台帳!$C$2:$C$400&lt;=36)*(機器台帳!$C$2:$C$400+機器台帳!$D$2:$D$400-1&gt;=36),0),0))&amp;IF(INDEX(機器台帳!$G$2:$G$400,MATCH(1,INDEX((機器台帳!$A$2:$A$400="E24-S6-1")*((機器台帳!$B$2:$B$400="前面")+(機器台帳!$B$2:$B$400="両面")&gt;0)*(機器台帳!$F$2:$F$400&lt;&gt;"")*(機器台帳!$C$2:$C$400&lt;=36)*(機器台帳!$C$2:$C$400+機器台帳!$D$2:$D$400-1&gt;=36),0),0))=""," "," "&amp;INDEX(機器台帳!$G$2:$G$400,MATCH(1,INDEX((機器台帳!$A$2:$A$400="E24-S6-1")*((機器台帳!$B$2:$B$400="前面")+(機器台帳!$B$2:$B$400="両面")&gt;0)*(機器台帳!$F$2:$F$400&lt;&gt;"")*(機器台帳!$C$2:$C$400&lt;=36)*(機器台帳!$C$2:$C$400+機器台帳!$D$2:$D$400-1&gt;=36),0),0)))&amp;IF(SUMPRODUCT((機器台帳!$A$2:$A$400="E24-S6-1")*((機器台帳!$B$2:$B$400="前面")+(機器台帳!$B$2:$B$400="両面")&gt;0)*(機器台帳!$F$2:$F$400&lt;&gt;"")*(機器台帳!$C$2:$C$400&lt;=36)*(機器台帳!$C$2:$C$400+機器台帳!$D$2:$D$400-1&gt;=36))&gt;1," 他"&amp;(SUMPRODUCT((機器台帳!$A$2:$A$400="E24-S6-1")*((機器台帳!$B$2:$B$400="前面")+(機器台帳!$B$2:$B$400="両面")&gt;0)*(機器台帳!$F$2:$F$400&lt;&gt;"")*(機器台帳!$C$2:$C$400&lt;=36)*(機器台帳!$C$2:$C$400+機器台帳!$D$2:$D$400-1&gt;=36))-1)&amp;"台",""))</f>
        <v/>
      </c>
      <c r="W15">
        <f>IF(SUMPRODUCT((機器台帳!$A$2:$A$400="E24-S6-1")*((機器台帳!$B$2:$B$400="前面")+(機器台帳!$B$2:$B$400="両面")&gt;0)*(機器台帳!$F$2:$F$400&lt;&gt;"")*(機器台帳!$C$2:$C$400&lt;=36)*(機器台帳!$C$2:$C$400+機器台帳!$D$2:$D$400-1&gt;=36))=0,"",INDEX(機器台帳!$I$2:$I$400,MATCH(1,INDEX((機器台帳!$A$2:$A$400="E24-S6-1")*((機器台帳!$B$2:$B$400="前面")+(機器台帳!$B$2:$B$400="両面")&gt;0)*(機器台帳!$F$2:$F$400&lt;&gt;"")*(機器台帳!$C$2:$C$400&lt;=36)*(機器台帳!$C$2:$C$400+機器台帳!$D$2:$D$400-1&gt;=36),0),0))&amp;IF(INDEX(機器台帳!$Y$2:$Y$400,MATCH(1,INDEX((機器台帳!$A$2:$A$400="E24-S6-1")*((機器台帳!$B$2:$B$400="前面")+(機器台帳!$B$2:$B$400="両面")&gt;0)*(機器台帳!$F$2:$F$400&lt;&gt;"")*(機器台帳!$C$2:$C$400&lt;=36)*(機器台帳!$C$2:$C$400+機器台帳!$D$2:$D$400-1&gt;=36),0),0))=0,"|未記入",""))</f>
        <v/>
      </c>
      <c r="X15" s="12">
        <f>IF(SUMPRODUCT((機器台帳!$A$2:$A$400="E24-S6-1")*((機器台帳!$B$2:$B$400="背面")+(機器台帳!$B$2:$B$400="両面")&gt;0)*(機器台帳!$F$2:$F$400&lt;&gt;"")*(機器台帳!$C$2:$C$400&lt;=36)*(機器台帳!$C$2:$C$400+機器台帳!$D$2:$D$400-1&gt;=36))=0,"",INDEX(機器台帳!$F$2:$F$400,MATCH(1,INDEX((機器台帳!$A$2:$A$400="E24-S6-1")*((機器台帳!$B$2:$B$400="背面")+(機器台帳!$B$2:$B$400="両面")&gt;0)*(機器台帳!$F$2:$F$400&lt;&gt;"")*(機器台帳!$C$2:$C$400&lt;=36)*(機器台帳!$C$2:$C$400+機器台帳!$D$2:$D$400-1&gt;=36),0),0))&amp;IF(INDEX(機器台帳!$G$2:$G$400,MATCH(1,INDEX((機器台帳!$A$2:$A$400="E24-S6-1")*((機器台帳!$B$2:$B$400="背面")+(機器台帳!$B$2:$B$400="両面")&gt;0)*(機器台帳!$F$2:$F$400&lt;&gt;"")*(機器台帳!$C$2:$C$400&lt;=36)*(機器台帳!$C$2:$C$400+機器台帳!$D$2:$D$400-1&gt;=36),0),0))=""," "," "&amp;INDEX(機器台帳!$G$2:$G$400,MATCH(1,INDEX((機器台帳!$A$2:$A$400="E24-S6-1")*((機器台帳!$B$2:$B$400="背面")+(機器台帳!$B$2:$B$400="両面")&gt;0)*(機器台帳!$F$2:$F$400&lt;&gt;"")*(機器台帳!$C$2:$C$400&lt;=36)*(機器台帳!$C$2:$C$400+機器台帳!$D$2:$D$400-1&gt;=36),0),0)))&amp;IF(SUMPRODUCT((機器台帳!$A$2:$A$400="E24-S6-1")*((機器台帳!$B$2:$B$400="背面")+(機器台帳!$B$2:$B$400="両面")&gt;0)*(機器台帳!$F$2:$F$400&lt;&gt;"")*(機器台帳!$C$2:$C$400&lt;=36)*(機器台帳!$C$2:$C$400+機器台帳!$D$2:$D$400-1&gt;=36))&gt;1," 他"&amp;(SUMPRODUCT((機器台帳!$A$2:$A$400="E24-S6-1")*((機器台帳!$B$2:$B$400="背面")+(機器台帳!$B$2:$B$400="両面")&gt;0)*(機器台帳!$F$2:$F$400&lt;&gt;"")*(機器台帳!$C$2:$C$400&lt;=36)*(機器台帳!$C$2:$C$400+機器台帳!$D$2:$D$400-1&gt;=36))-1)&amp;"台",""))</f>
        <v/>
      </c>
      <c r="Y15">
        <f>IF(SUMPRODUCT((機器台帳!$A$2:$A$400="E24-S6-1")*((機器台帳!$B$2:$B$400="背面")+(機器台帳!$B$2:$B$400="両面")&gt;0)*(機器台帳!$F$2:$F$400&lt;&gt;"")*(機器台帳!$C$2:$C$400&lt;=36)*(機器台帳!$C$2:$C$400+機器台帳!$D$2:$D$400-1&gt;=36))=0,"",INDEX(機器台帳!$I$2:$I$400,MATCH(1,INDEX((機器台帳!$A$2:$A$400="E24-S6-1")*((機器台帳!$B$2:$B$400="背面")+(機器台帳!$B$2:$B$400="両面")&gt;0)*(機器台帳!$F$2:$F$400&lt;&gt;"")*(機器台帳!$C$2:$C$400&lt;=36)*(機器台帳!$C$2:$C$400+機器台帳!$D$2:$D$400-1&gt;=36),0),0))&amp;IF(INDEX(機器台帳!$Y$2:$Y$400,MATCH(1,INDEX((機器台帳!$A$2:$A$400="E24-S6-1")*((機器台帳!$B$2:$B$400="背面")+(機器台帳!$B$2:$B$400="両面")&gt;0)*(機器台帳!$F$2:$F$400&lt;&gt;"")*(機器台帳!$C$2:$C$400&lt;=36)*(機器台帳!$C$2:$C$400+機器台帳!$D$2:$D$400-1&gt;=36),0),0))=0,"|未記入",""))</f>
        <v/>
      </c>
    </row>
    <row r="16">
      <c r="A16" s="11" t="n">
        <v>35</v>
      </c>
      <c r="B16" s="12">
        <f>IF(SUMPRODUCT((機器台帳!$A$2:$A$400="E24-S8-1")*((機器台帳!$B$2:$B$400="前面")+(機器台帳!$B$2:$B$400="両面")&gt;0)*(機器台帳!$F$2:$F$400&lt;&gt;"")*(機器台帳!$C$2:$C$400&lt;=35)*(機器台帳!$C$2:$C$400+機器台帳!$D$2:$D$400-1&gt;=35))=0,"",INDEX(機器台帳!$F$2:$F$400,MATCH(1,INDEX((機器台帳!$A$2:$A$400="E24-S8-1")*((機器台帳!$B$2:$B$400="前面")+(機器台帳!$B$2:$B$400="両面")&gt;0)*(機器台帳!$F$2:$F$400&lt;&gt;"")*(機器台帳!$C$2:$C$400&lt;=35)*(機器台帳!$C$2:$C$400+機器台帳!$D$2:$D$400-1&gt;=35),0),0))&amp;IF(INDEX(機器台帳!$G$2:$G$400,MATCH(1,INDEX((機器台帳!$A$2:$A$400="E24-S8-1")*((機器台帳!$B$2:$B$400="前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-1")*((機器台帳!$B$2:$B$400="前面")+(機器台帳!$B$2:$B$400="両面")&gt;0)*(機器台帳!$F$2:$F$400&lt;&gt;"")*(機器台帳!$C$2:$C$400&lt;=35)*(機器台帳!$C$2:$C$400+機器台帳!$D$2:$D$400-1&gt;=35),0),0)))&amp;IF(SUMPRODUCT((機器台帳!$A$2:$A$400="E24-S8-1")*((機器台帳!$B$2:$B$400="前面")+(機器台帳!$B$2:$B$400="両面")&gt;0)*(機器台帳!$F$2:$F$400&lt;&gt;"")*(機器台帳!$C$2:$C$400&lt;=35)*(機器台帳!$C$2:$C$400+機器台帳!$D$2:$D$400-1&gt;=35))&gt;1," 他"&amp;(SUMPRODUCT((機器台帳!$A$2:$A$400="E24-S8-1")*((機器台帳!$B$2:$B$400="前面")+(機器台帳!$B$2:$B$400="両面")&gt;0)*(機器台帳!$F$2:$F$400&lt;&gt;"")*(機器台帳!$C$2:$C$400&lt;=35)*(機器台帳!$C$2:$C$400+機器台帳!$D$2:$D$400-1&gt;=35))-1)&amp;"台",""))</f>
        <v/>
      </c>
      <c r="C16">
        <f>IF(SUMPRODUCT((機器台帳!$A$2:$A$400="E24-S8-1")*((機器台帳!$B$2:$B$400="前面")+(機器台帳!$B$2:$B$400="両面")&gt;0)*(機器台帳!$F$2:$F$400&lt;&gt;"")*(機器台帳!$C$2:$C$400&lt;=35)*(機器台帳!$C$2:$C$400+機器台帳!$D$2:$D$400-1&gt;=35))=0,"",INDEX(機器台帳!$I$2:$I$400,MATCH(1,INDEX((機器台帳!$A$2:$A$400="E24-S8-1")*((機器台帳!$B$2:$B$400="前面")+(機器台帳!$B$2:$B$400="両面")&gt;0)*(機器台帳!$F$2:$F$400&lt;&gt;"")*(機器台帳!$C$2:$C$400&lt;=35)*(機器台帳!$C$2:$C$400+機器台帳!$D$2:$D$400-1&gt;=35),0),0))&amp;IF(INDEX(機器台帳!$Y$2:$Y$400,MATCH(1,INDEX((機器台帳!$A$2:$A$400="E24-S8-1")*((機器台帳!$B$2:$B$400="前面")+(機器台帳!$B$2:$B$400="両面")&gt;0)*(機器台帳!$F$2:$F$400&lt;&gt;"")*(機器台帳!$C$2:$C$400&lt;=35)*(機器台帳!$C$2:$C$400+機器台帳!$D$2:$D$400-1&gt;=35),0),0))=0,"|未記入",""))</f>
        <v/>
      </c>
      <c r="D16" s="12">
        <f>IF(SUMPRODUCT((機器台帳!$A$2:$A$400="E24-S8-1")*((機器台帳!$B$2:$B$400="背面")+(機器台帳!$B$2:$B$400="両面")&gt;0)*(機器台帳!$F$2:$F$400&lt;&gt;"")*(機器台帳!$C$2:$C$400&lt;=35)*(機器台帳!$C$2:$C$400+機器台帳!$D$2:$D$400-1&gt;=35))=0,"",INDEX(機器台帳!$F$2:$F$400,MATCH(1,INDEX((機器台帳!$A$2:$A$400="E24-S8-1")*((機器台帳!$B$2:$B$400="背面")+(機器台帳!$B$2:$B$400="両面")&gt;0)*(機器台帳!$F$2:$F$400&lt;&gt;"")*(機器台帳!$C$2:$C$400&lt;=35)*(機器台帳!$C$2:$C$400+機器台帳!$D$2:$D$400-1&gt;=35),0),0))&amp;IF(INDEX(機器台帳!$G$2:$G$400,MATCH(1,INDEX((機器台帳!$A$2:$A$400="E24-S8-1")*((機器台帳!$B$2:$B$400="背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-1")*((機器台帳!$B$2:$B$400="背面")+(機器台帳!$B$2:$B$400="両面")&gt;0)*(機器台帳!$F$2:$F$400&lt;&gt;"")*(機器台帳!$C$2:$C$400&lt;=35)*(機器台帳!$C$2:$C$400+機器台帳!$D$2:$D$400-1&gt;=35),0),0)))&amp;IF(SUMPRODUCT((機器台帳!$A$2:$A$400="E24-S8-1")*((機器台帳!$B$2:$B$400="背面")+(機器台帳!$B$2:$B$400="両面")&gt;0)*(機器台帳!$F$2:$F$400&lt;&gt;"")*(機器台帳!$C$2:$C$400&lt;=35)*(機器台帳!$C$2:$C$400+機器台帳!$D$2:$D$400-1&gt;=35))&gt;1," 他"&amp;(SUMPRODUCT((機器台帳!$A$2:$A$400="E24-S8-1")*((機器台帳!$B$2:$B$400="背面")+(機器台帳!$B$2:$B$400="両面")&gt;0)*(機器台帳!$F$2:$F$400&lt;&gt;"")*(機器台帳!$C$2:$C$400&lt;=35)*(機器台帳!$C$2:$C$400+機器台帳!$D$2:$D$400-1&gt;=35))-1)&amp;"台",""))</f>
        <v/>
      </c>
      <c r="E16">
        <f>IF(SUMPRODUCT((機器台帳!$A$2:$A$400="E24-S8-1")*((機器台帳!$B$2:$B$400="背面")+(機器台帳!$B$2:$B$400="両面")&gt;0)*(機器台帳!$F$2:$F$400&lt;&gt;"")*(機器台帳!$C$2:$C$400&lt;=35)*(機器台帳!$C$2:$C$400+機器台帳!$D$2:$D$400-1&gt;=35))=0,"",INDEX(機器台帳!$I$2:$I$400,MATCH(1,INDEX((機器台帳!$A$2:$A$400="E24-S8-1")*((機器台帳!$B$2:$B$400="背面")+(機器台帳!$B$2:$B$400="両面")&gt;0)*(機器台帳!$F$2:$F$400&lt;&gt;"")*(機器台帳!$C$2:$C$400&lt;=35)*(機器台帳!$C$2:$C$400+機器台帳!$D$2:$D$400-1&gt;=35),0),0))&amp;IF(INDEX(機器台帳!$Y$2:$Y$400,MATCH(1,INDEX((機器台帳!$A$2:$A$400="E24-S8-1")*((機器台帳!$B$2:$B$400="背面")+(機器台帳!$B$2:$B$400="両面")&gt;0)*(機器台帳!$F$2:$F$400&lt;&gt;"")*(機器台帳!$C$2:$C$400&lt;=35)*(機器台帳!$C$2:$C$400+機器台帳!$D$2:$D$400-1&gt;=35),0),0))=0,"|未記入",""))</f>
        <v/>
      </c>
      <c r="F16" s="12">
        <f>IF(SUMPRODUCT((機器台帳!$A$2:$A$400="E24-S8-2")*((機器台帳!$B$2:$B$400="前面")+(機器台帳!$B$2:$B$400="両面")&gt;0)*(機器台帳!$F$2:$F$400&lt;&gt;"")*(機器台帳!$C$2:$C$400&lt;=35)*(機器台帳!$C$2:$C$400+機器台帳!$D$2:$D$400-1&gt;=35))=0,"",INDEX(機器台帳!$F$2:$F$400,MATCH(1,INDEX((機器台帳!$A$2:$A$400="E24-S8-2")*((機器台帳!$B$2:$B$400="前面")+(機器台帳!$B$2:$B$400="両面")&gt;0)*(機器台帳!$F$2:$F$400&lt;&gt;"")*(機器台帳!$C$2:$C$400&lt;=35)*(機器台帳!$C$2:$C$400+機器台帳!$D$2:$D$400-1&gt;=35),0),0))&amp;IF(INDEX(機器台帳!$G$2:$G$400,MATCH(1,INDEX((機器台帳!$A$2:$A$400="E24-S8-2")*((機器台帳!$B$2:$B$400="前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-2")*((機器台帳!$B$2:$B$400="前面")+(機器台帳!$B$2:$B$400="両面")&gt;0)*(機器台帳!$F$2:$F$400&lt;&gt;"")*(機器台帳!$C$2:$C$400&lt;=35)*(機器台帳!$C$2:$C$400+機器台帳!$D$2:$D$400-1&gt;=35),0),0)))&amp;IF(SUMPRODUCT((機器台帳!$A$2:$A$400="E24-S8-2")*((機器台帳!$B$2:$B$400="前面")+(機器台帳!$B$2:$B$400="両面")&gt;0)*(機器台帳!$F$2:$F$400&lt;&gt;"")*(機器台帳!$C$2:$C$400&lt;=35)*(機器台帳!$C$2:$C$400+機器台帳!$D$2:$D$400-1&gt;=35))&gt;1," 他"&amp;(SUMPRODUCT((機器台帳!$A$2:$A$400="E24-S8-2")*((機器台帳!$B$2:$B$400="前面")+(機器台帳!$B$2:$B$400="両面")&gt;0)*(機器台帳!$F$2:$F$400&lt;&gt;"")*(機器台帳!$C$2:$C$400&lt;=35)*(機器台帳!$C$2:$C$400+機器台帳!$D$2:$D$400-1&gt;=35))-1)&amp;"台",""))</f>
        <v/>
      </c>
      <c r="G16">
        <f>IF(SUMPRODUCT((機器台帳!$A$2:$A$400="E24-S8-2")*((機器台帳!$B$2:$B$400="前面")+(機器台帳!$B$2:$B$400="両面")&gt;0)*(機器台帳!$F$2:$F$400&lt;&gt;"")*(機器台帳!$C$2:$C$400&lt;=35)*(機器台帳!$C$2:$C$400+機器台帳!$D$2:$D$400-1&gt;=35))=0,"",INDEX(機器台帳!$I$2:$I$400,MATCH(1,INDEX((機器台帳!$A$2:$A$400="E24-S8-2")*((機器台帳!$B$2:$B$400="前面")+(機器台帳!$B$2:$B$400="両面")&gt;0)*(機器台帳!$F$2:$F$400&lt;&gt;"")*(機器台帳!$C$2:$C$400&lt;=35)*(機器台帳!$C$2:$C$400+機器台帳!$D$2:$D$400-1&gt;=35),0),0))&amp;IF(INDEX(機器台帳!$Y$2:$Y$400,MATCH(1,INDEX((機器台帳!$A$2:$A$400="E24-S8-2")*((機器台帳!$B$2:$B$400="前面")+(機器台帳!$B$2:$B$400="両面")&gt;0)*(機器台帳!$F$2:$F$400&lt;&gt;"")*(機器台帳!$C$2:$C$400&lt;=35)*(機器台帳!$C$2:$C$400+機器台帳!$D$2:$D$400-1&gt;=35),0),0))=0,"|未記入",""))</f>
        <v/>
      </c>
      <c r="H16" s="12">
        <f>IF(SUMPRODUCT((機器台帳!$A$2:$A$400="E24-S8-2")*((機器台帳!$B$2:$B$400="背面")+(機器台帳!$B$2:$B$400="両面")&gt;0)*(機器台帳!$F$2:$F$400&lt;&gt;"")*(機器台帳!$C$2:$C$400&lt;=35)*(機器台帳!$C$2:$C$400+機器台帳!$D$2:$D$400-1&gt;=35))=0,"",INDEX(機器台帳!$F$2:$F$400,MATCH(1,INDEX((機器台帳!$A$2:$A$400="E24-S8-2")*((機器台帳!$B$2:$B$400="背面")+(機器台帳!$B$2:$B$400="両面")&gt;0)*(機器台帳!$F$2:$F$400&lt;&gt;"")*(機器台帳!$C$2:$C$400&lt;=35)*(機器台帳!$C$2:$C$400+機器台帳!$D$2:$D$400-1&gt;=35),0),0))&amp;IF(INDEX(機器台帳!$G$2:$G$400,MATCH(1,INDEX((機器台帳!$A$2:$A$400="E24-S8-2")*((機器台帳!$B$2:$B$400="背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-2")*((機器台帳!$B$2:$B$400="背面")+(機器台帳!$B$2:$B$400="両面")&gt;0)*(機器台帳!$F$2:$F$400&lt;&gt;"")*(機器台帳!$C$2:$C$400&lt;=35)*(機器台帳!$C$2:$C$400+機器台帳!$D$2:$D$400-1&gt;=35),0),0)))&amp;IF(SUMPRODUCT((機器台帳!$A$2:$A$400="E24-S8-2")*((機器台帳!$B$2:$B$400="背面")+(機器台帳!$B$2:$B$400="両面")&gt;0)*(機器台帳!$F$2:$F$400&lt;&gt;"")*(機器台帳!$C$2:$C$400&lt;=35)*(機器台帳!$C$2:$C$400+機器台帳!$D$2:$D$400-1&gt;=35))&gt;1," 他"&amp;(SUMPRODUCT((機器台帳!$A$2:$A$400="E24-S8-2")*((機器台帳!$B$2:$B$400="背面")+(機器台帳!$B$2:$B$400="両面")&gt;0)*(機器台帳!$F$2:$F$400&lt;&gt;"")*(機器台帳!$C$2:$C$400&lt;=35)*(機器台帳!$C$2:$C$400+機器台帳!$D$2:$D$400-1&gt;=35))-1)&amp;"台",""))</f>
        <v/>
      </c>
      <c r="I16">
        <f>IF(SUMPRODUCT((機器台帳!$A$2:$A$400="E24-S8-2")*((機器台帳!$B$2:$B$400="背面")+(機器台帳!$B$2:$B$400="両面")&gt;0)*(機器台帳!$F$2:$F$400&lt;&gt;"")*(機器台帳!$C$2:$C$400&lt;=35)*(機器台帳!$C$2:$C$400+機器台帳!$D$2:$D$400-1&gt;=35))=0,"",INDEX(機器台帳!$I$2:$I$400,MATCH(1,INDEX((機器台帳!$A$2:$A$400="E24-S8-2")*((機器台帳!$B$2:$B$400="背面")+(機器台帳!$B$2:$B$400="両面")&gt;0)*(機器台帳!$F$2:$F$400&lt;&gt;"")*(機器台帳!$C$2:$C$400&lt;=35)*(機器台帳!$C$2:$C$400+機器台帳!$D$2:$D$400-1&gt;=35),0),0))&amp;IF(INDEX(機器台帳!$Y$2:$Y$400,MATCH(1,INDEX((機器台帳!$A$2:$A$400="E24-S8-2")*((機器台帳!$B$2:$B$400="背面")+(機器台帳!$B$2:$B$400="両面")&gt;0)*(機器台帳!$F$2:$F$400&lt;&gt;"")*(機器台帳!$C$2:$C$400&lt;=35)*(機器台帳!$C$2:$C$400+機器台帳!$D$2:$D$400-1&gt;=35),0),0))=0,"|未記入",""))</f>
        <v/>
      </c>
      <c r="J16" s="12">
        <f>IF(SUMPRODUCT((機器台帳!$A$2:$A$400="E24-S8-3")*((機器台帳!$B$2:$B$400="前面")+(機器台帳!$B$2:$B$400="両面")&gt;0)*(機器台帳!$F$2:$F$400&lt;&gt;"")*(機器台帳!$C$2:$C$400&lt;=35)*(機器台帳!$C$2:$C$400+機器台帳!$D$2:$D$400-1&gt;=35))=0,"",INDEX(機器台帳!$F$2:$F$400,MATCH(1,INDEX((機器台帳!$A$2:$A$400="E24-S8-3")*((機器台帳!$B$2:$B$400="前面")+(機器台帳!$B$2:$B$400="両面")&gt;0)*(機器台帳!$F$2:$F$400&lt;&gt;"")*(機器台帳!$C$2:$C$400&lt;=35)*(機器台帳!$C$2:$C$400+機器台帳!$D$2:$D$400-1&gt;=35),0),0))&amp;IF(INDEX(機器台帳!$G$2:$G$400,MATCH(1,INDEX((機器台帳!$A$2:$A$400="E24-S8-3")*((機器台帳!$B$2:$B$400="前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-3")*((機器台帳!$B$2:$B$400="前面")+(機器台帳!$B$2:$B$400="両面")&gt;0)*(機器台帳!$F$2:$F$400&lt;&gt;"")*(機器台帳!$C$2:$C$400&lt;=35)*(機器台帳!$C$2:$C$400+機器台帳!$D$2:$D$400-1&gt;=35),0),0)))&amp;IF(SUMPRODUCT((機器台帳!$A$2:$A$400="E24-S8-3")*((機器台帳!$B$2:$B$400="前面")+(機器台帳!$B$2:$B$400="両面")&gt;0)*(機器台帳!$F$2:$F$400&lt;&gt;"")*(機器台帳!$C$2:$C$400&lt;=35)*(機器台帳!$C$2:$C$400+機器台帳!$D$2:$D$400-1&gt;=35))&gt;1," 他"&amp;(SUMPRODUCT((機器台帳!$A$2:$A$400="E24-S8-3")*((機器台帳!$B$2:$B$400="前面")+(機器台帳!$B$2:$B$400="両面")&gt;0)*(機器台帳!$F$2:$F$400&lt;&gt;"")*(機器台帳!$C$2:$C$400&lt;=35)*(機器台帳!$C$2:$C$400+機器台帳!$D$2:$D$400-1&gt;=35))-1)&amp;"台",""))</f>
        <v/>
      </c>
      <c r="K16">
        <f>IF(SUMPRODUCT((機器台帳!$A$2:$A$400="E24-S8-3")*((機器台帳!$B$2:$B$400="前面")+(機器台帳!$B$2:$B$400="両面")&gt;0)*(機器台帳!$F$2:$F$400&lt;&gt;"")*(機器台帳!$C$2:$C$400&lt;=35)*(機器台帳!$C$2:$C$400+機器台帳!$D$2:$D$400-1&gt;=35))=0,"",INDEX(機器台帳!$I$2:$I$400,MATCH(1,INDEX((機器台帳!$A$2:$A$400="E24-S8-3")*((機器台帳!$B$2:$B$400="前面")+(機器台帳!$B$2:$B$400="両面")&gt;0)*(機器台帳!$F$2:$F$400&lt;&gt;"")*(機器台帳!$C$2:$C$400&lt;=35)*(機器台帳!$C$2:$C$400+機器台帳!$D$2:$D$400-1&gt;=35),0),0))&amp;IF(INDEX(機器台帳!$Y$2:$Y$400,MATCH(1,INDEX((機器台帳!$A$2:$A$400="E24-S8-3")*((機器台帳!$B$2:$B$400="前面")+(機器台帳!$B$2:$B$400="両面")&gt;0)*(機器台帳!$F$2:$F$400&lt;&gt;"")*(機器台帳!$C$2:$C$400&lt;=35)*(機器台帳!$C$2:$C$400+機器台帳!$D$2:$D$400-1&gt;=35),0),0))=0,"|未記入",""))</f>
        <v/>
      </c>
      <c r="L16" s="12">
        <f>IF(SUMPRODUCT((機器台帳!$A$2:$A$400="E24-S8-3")*((機器台帳!$B$2:$B$400="背面")+(機器台帳!$B$2:$B$400="両面")&gt;0)*(機器台帳!$F$2:$F$400&lt;&gt;"")*(機器台帳!$C$2:$C$400&lt;=35)*(機器台帳!$C$2:$C$400+機器台帳!$D$2:$D$400-1&gt;=35))=0,"",INDEX(機器台帳!$F$2:$F$400,MATCH(1,INDEX((機器台帳!$A$2:$A$400="E24-S8-3")*((機器台帳!$B$2:$B$400="背面")+(機器台帳!$B$2:$B$400="両面")&gt;0)*(機器台帳!$F$2:$F$400&lt;&gt;"")*(機器台帳!$C$2:$C$400&lt;=35)*(機器台帳!$C$2:$C$400+機器台帳!$D$2:$D$400-1&gt;=35),0),0))&amp;IF(INDEX(機器台帳!$G$2:$G$400,MATCH(1,INDEX((機器台帳!$A$2:$A$400="E24-S8-3")*((機器台帳!$B$2:$B$400="背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-3")*((機器台帳!$B$2:$B$400="背面")+(機器台帳!$B$2:$B$400="両面")&gt;0)*(機器台帳!$F$2:$F$400&lt;&gt;"")*(機器台帳!$C$2:$C$400&lt;=35)*(機器台帳!$C$2:$C$400+機器台帳!$D$2:$D$400-1&gt;=35),0),0)))&amp;IF(SUMPRODUCT((機器台帳!$A$2:$A$400="E24-S8-3")*((機器台帳!$B$2:$B$400="背面")+(機器台帳!$B$2:$B$400="両面")&gt;0)*(機器台帳!$F$2:$F$400&lt;&gt;"")*(機器台帳!$C$2:$C$400&lt;=35)*(機器台帳!$C$2:$C$400+機器台帳!$D$2:$D$400-1&gt;=35))&gt;1," 他"&amp;(SUMPRODUCT((機器台帳!$A$2:$A$400="E24-S8-3")*((機器台帳!$B$2:$B$400="背面")+(機器台帳!$B$2:$B$400="両面")&gt;0)*(機器台帳!$F$2:$F$400&lt;&gt;"")*(機器台帳!$C$2:$C$400&lt;=35)*(機器台帳!$C$2:$C$400+機器台帳!$D$2:$D$400-1&gt;=35))-1)&amp;"台",""))</f>
        <v/>
      </c>
      <c r="M16">
        <f>IF(SUMPRODUCT((機器台帳!$A$2:$A$400="E24-S8-3")*((機器台帳!$B$2:$B$400="背面")+(機器台帳!$B$2:$B$400="両面")&gt;0)*(機器台帳!$F$2:$F$400&lt;&gt;"")*(機器台帳!$C$2:$C$400&lt;=35)*(機器台帳!$C$2:$C$400+機器台帳!$D$2:$D$400-1&gt;=35))=0,"",INDEX(機器台帳!$I$2:$I$400,MATCH(1,INDEX((機器台帳!$A$2:$A$400="E24-S8-3")*((機器台帳!$B$2:$B$400="背面")+(機器台帳!$B$2:$B$400="両面")&gt;0)*(機器台帳!$F$2:$F$400&lt;&gt;"")*(機器台帳!$C$2:$C$400&lt;=35)*(機器台帳!$C$2:$C$400+機器台帳!$D$2:$D$400-1&gt;=35),0),0))&amp;IF(INDEX(機器台帳!$Y$2:$Y$400,MATCH(1,INDEX((機器台帳!$A$2:$A$400="E24-S8-3")*((機器台帳!$B$2:$B$400="背面")+(機器台帳!$B$2:$B$400="両面")&gt;0)*(機器台帳!$F$2:$F$400&lt;&gt;"")*(機器台帳!$C$2:$C$400&lt;=35)*(機器台帳!$C$2:$C$400+機器台帳!$D$2:$D$400-1&gt;=35),0),0))=0,"|未記入",""))</f>
        <v/>
      </c>
      <c r="N16" s="12">
        <f>IF(SUMPRODUCT((機器台帳!$A$2:$A$400="E24-S8-4")*((機器台帳!$B$2:$B$400="前面")+(機器台帳!$B$2:$B$400="両面")&gt;0)*(機器台帳!$F$2:$F$400&lt;&gt;"")*(機器台帳!$C$2:$C$400&lt;=35)*(機器台帳!$C$2:$C$400+機器台帳!$D$2:$D$400-1&gt;=35))=0,"",INDEX(機器台帳!$F$2:$F$400,MATCH(1,INDEX((機器台帳!$A$2:$A$400="E24-S8-4")*((機器台帳!$B$2:$B$400="前面")+(機器台帳!$B$2:$B$400="両面")&gt;0)*(機器台帳!$F$2:$F$400&lt;&gt;"")*(機器台帳!$C$2:$C$400&lt;=35)*(機器台帳!$C$2:$C$400+機器台帳!$D$2:$D$400-1&gt;=35),0),0))&amp;IF(INDEX(機器台帳!$G$2:$G$400,MATCH(1,INDEX((機器台帳!$A$2:$A$400="E24-S8-4")*((機器台帳!$B$2:$B$400="前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-4")*((機器台帳!$B$2:$B$400="前面")+(機器台帳!$B$2:$B$400="両面")&gt;0)*(機器台帳!$F$2:$F$400&lt;&gt;"")*(機器台帳!$C$2:$C$400&lt;=35)*(機器台帳!$C$2:$C$400+機器台帳!$D$2:$D$400-1&gt;=35),0),0)))&amp;IF(SUMPRODUCT((機器台帳!$A$2:$A$400="E24-S8-4")*((機器台帳!$B$2:$B$400="前面")+(機器台帳!$B$2:$B$400="両面")&gt;0)*(機器台帳!$F$2:$F$400&lt;&gt;"")*(機器台帳!$C$2:$C$400&lt;=35)*(機器台帳!$C$2:$C$400+機器台帳!$D$2:$D$400-1&gt;=35))&gt;1," 他"&amp;(SUMPRODUCT((機器台帳!$A$2:$A$400="E24-S8-4")*((機器台帳!$B$2:$B$400="前面")+(機器台帳!$B$2:$B$400="両面")&gt;0)*(機器台帳!$F$2:$F$400&lt;&gt;"")*(機器台帳!$C$2:$C$400&lt;=35)*(機器台帳!$C$2:$C$400+機器台帳!$D$2:$D$400-1&gt;=35))-1)&amp;"台",""))</f>
        <v/>
      </c>
      <c r="O16">
        <f>IF(SUMPRODUCT((機器台帳!$A$2:$A$400="E24-S8-4")*((機器台帳!$B$2:$B$400="前面")+(機器台帳!$B$2:$B$400="両面")&gt;0)*(機器台帳!$F$2:$F$400&lt;&gt;"")*(機器台帳!$C$2:$C$400&lt;=35)*(機器台帳!$C$2:$C$400+機器台帳!$D$2:$D$400-1&gt;=35))=0,"",INDEX(機器台帳!$I$2:$I$400,MATCH(1,INDEX((機器台帳!$A$2:$A$400="E24-S8-4")*((機器台帳!$B$2:$B$400="前面")+(機器台帳!$B$2:$B$400="両面")&gt;0)*(機器台帳!$F$2:$F$400&lt;&gt;"")*(機器台帳!$C$2:$C$400&lt;=35)*(機器台帳!$C$2:$C$400+機器台帳!$D$2:$D$400-1&gt;=35),0),0))&amp;IF(INDEX(機器台帳!$Y$2:$Y$400,MATCH(1,INDEX((機器台帳!$A$2:$A$400="E24-S8-4")*((機器台帳!$B$2:$B$400="前面")+(機器台帳!$B$2:$B$400="両面")&gt;0)*(機器台帳!$F$2:$F$400&lt;&gt;"")*(機器台帳!$C$2:$C$400&lt;=35)*(機器台帳!$C$2:$C$400+機器台帳!$D$2:$D$400-1&gt;=35),0),0))=0,"|未記入",""))</f>
        <v/>
      </c>
      <c r="P16" s="12">
        <f>IF(SUMPRODUCT((機器台帳!$A$2:$A$400="E24-S8-4")*((機器台帳!$B$2:$B$400="背面")+(機器台帳!$B$2:$B$400="両面")&gt;0)*(機器台帳!$F$2:$F$400&lt;&gt;"")*(機器台帳!$C$2:$C$400&lt;=35)*(機器台帳!$C$2:$C$400+機器台帳!$D$2:$D$400-1&gt;=35))=0,"",INDEX(機器台帳!$F$2:$F$400,MATCH(1,INDEX((機器台帳!$A$2:$A$400="E24-S8-4")*((機器台帳!$B$2:$B$400="背面")+(機器台帳!$B$2:$B$400="両面")&gt;0)*(機器台帳!$F$2:$F$400&lt;&gt;"")*(機器台帳!$C$2:$C$400&lt;=35)*(機器台帳!$C$2:$C$400+機器台帳!$D$2:$D$400-1&gt;=35),0),0))&amp;IF(INDEX(機器台帳!$G$2:$G$400,MATCH(1,INDEX((機器台帳!$A$2:$A$400="E24-S8-4")*((機器台帳!$B$2:$B$400="背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-4")*((機器台帳!$B$2:$B$400="背面")+(機器台帳!$B$2:$B$400="両面")&gt;0)*(機器台帳!$F$2:$F$400&lt;&gt;"")*(機器台帳!$C$2:$C$400&lt;=35)*(機器台帳!$C$2:$C$400+機器台帳!$D$2:$D$400-1&gt;=35),0),0)))&amp;IF(SUMPRODUCT((機器台帳!$A$2:$A$400="E24-S8-4")*((機器台帳!$B$2:$B$400="背面")+(機器台帳!$B$2:$B$400="両面")&gt;0)*(機器台帳!$F$2:$F$400&lt;&gt;"")*(機器台帳!$C$2:$C$400&lt;=35)*(機器台帳!$C$2:$C$400+機器台帳!$D$2:$D$400-1&gt;=35))&gt;1," 他"&amp;(SUMPRODUCT((機器台帳!$A$2:$A$400="E24-S8-4")*((機器台帳!$B$2:$B$400="背面")+(機器台帳!$B$2:$B$400="両面")&gt;0)*(機器台帳!$F$2:$F$400&lt;&gt;"")*(機器台帳!$C$2:$C$400&lt;=35)*(機器台帳!$C$2:$C$400+機器台帳!$D$2:$D$400-1&gt;=35))-1)&amp;"台",""))</f>
        <v/>
      </c>
      <c r="Q16">
        <f>IF(SUMPRODUCT((機器台帳!$A$2:$A$400="E24-S8-4")*((機器台帳!$B$2:$B$400="背面")+(機器台帳!$B$2:$B$400="両面")&gt;0)*(機器台帳!$F$2:$F$400&lt;&gt;"")*(機器台帳!$C$2:$C$400&lt;=35)*(機器台帳!$C$2:$C$400+機器台帳!$D$2:$D$400-1&gt;=35))=0,"",INDEX(機器台帳!$I$2:$I$400,MATCH(1,INDEX((機器台帳!$A$2:$A$400="E24-S8-4")*((機器台帳!$B$2:$B$400="背面")+(機器台帳!$B$2:$B$400="両面")&gt;0)*(機器台帳!$F$2:$F$400&lt;&gt;"")*(機器台帳!$C$2:$C$400&lt;=35)*(機器台帳!$C$2:$C$400+機器台帳!$D$2:$D$400-1&gt;=35),0),0))&amp;IF(INDEX(機器台帳!$Y$2:$Y$400,MATCH(1,INDEX((機器台帳!$A$2:$A$400="E24-S8-4")*((機器台帳!$B$2:$B$400="背面")+(機器台帳!$B$2:$B$400="両面")&gt;0)*(機器台帳!$F$2:$F$400&lt;&gt;"")*(機器台帳!$C$2:$C$400&lt;=35)*(機器台帳!$C$2:$C$400+機器台帳!$D$2:$D$400-1&gt;=35),0),0))=0,"|未記入",""))</f>
        <v/>
      </c>
      <c r="R16" s="12">
        <f>IF(SUMPRODUCT((機器台帳!$A$2:$A$400="E24-S8-5")*((機器台帳!$B$2:$B$400="前面")+(機器台帳!$B$2:$B$400="両面")&gt;0)*(機器台帳!$F$2:$F$400&lt;&gt;"")*(機器台帳!$C$2:$C$400&lt;=35)*(機器台帳!$C$2:$C$400+機器台帳!$D$2:$D$400-1&gt;=35))=0,"",INDEX(機器台帳!$F$2:$F$400,MATCH(1,INDEX((機器台帳!$A$2:$A$400="E24-S8-5")*((機器台帳!$B$2:$B$400="前面")+(機器台帳!$B$2:$B$400="両面")&gt;0)*(機器台帳!$F$2:$F$400&lt;&gt;"")*(機器台帳!$C$2:$C$400&lt;=35)*(機器台帳!$C$2:$C$400+機器台帳!$D$2:$D$400-1&gt;=35),0),0))&amp;IF(INDEX(機器台帳!$G$2:$G$400,MATCH(1,INDEX((機器台帳!$A$2:$A$400="E24-S8-5")*((機器台帳!$B$2:$B$400="前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-5")*((機器台帳!$B$2:$B$400="前面")+(機器台帳!$B$2:$B$400="両面")&gt;0)*(機器台帳!$F$2:$F$400&lt;&gt;"")*(機器台帳!$C$2:$C$400&lt;=35)*(機器台帳!$C$2:$C$400+機器台帳!$D$2:$D$400-1&gt;=35),0),0)))&amp;IF(SUMPRODUCT((機器台帳!$A$2:$A$400="E24-S8-5")*((機器台帳!$B$2:$B$400="前面")+(機器台帳!$B$2:$B$400="両面")&gt;0)*(機器台帳!$F$2:$F$400&lt;&gt;"")*(機器台帳!$C$2:$C$400&lt;=35)*(機器台帳!$C$2:$C$400+機器台帳!$D$2:$D$400-1&gt;=35))&gt;1," 他"&amp;(SUMPRODUCT((機器台帳!$A$2:$A$400="E24-S8-5")*((機器台帳!$B$2:$B$400="前面")+(機器台帳!$B$2:$B$400="両面")&gt;0)*(機器台帳!$F$2:$F$400&lt;&gt;"")*(機器台帳!$C$2:$C$400&lt;=35)*(機器台帳!$C$2:$C$400+機器台帳!$D$2:$D$400-1&gt;=35))-1)&amp;"台",""))</f>
        <v/>
      </c>
      <c r="S16">
        <f>IF(SUMPRODUCT((機器台帳!$A$2:$A$400="E24-S8-5")*((機器台帳!$B$2:$B$400="前面")+(機器台帳!$B$2:$B$400="両面")&gt;0)*(機器台帳!$F$2:$F$400&lt;&gt;"")*(機器台帳!$C$2:$C$400&lt;=35)*(機器台帳!$C$2:$C$400+機器台帳!$D$2:$D$400-1&gt;=35))=0,"",INDEX(機器台帳!$I$2:$I$400,MATCH(1,INDEX((機器台帳!$A$2:$A$400="E24-S8-5")*((機器台帳!$B$2:$B$400="前面")+(機器台帳!$B$2:$B$400="両面")&gt;0)*(機器台帳!$F$2:$F$400&lt;&gt;"")*(機器台帳!$C$2:$C$400&lt;=35)*(機器台帳!$C$2:$C$400+機器台帳!$D$2:$D$400-1&gt;=35),0),0))&amp;IF(INDEX(機器台帳!$Y$2:$Y$400,MATCH(1,INDEX((機器台帳!$A$2:$A$400="E24-S8-5")*((機器台帳!$B$2:$B$400="前面")+(機器台帳!$B$2:$B$400="両面")&gt;0)*(機器台帳!$F$2:$F$400&lt;&gt;"")*(機器台帳!$C$2:$C$400&lt;=35)*(機器台帳!$C$2:$C$400+機器台帳!$D$2:$D$400-1&gt;=35),0),0))=0,"|未記入",""))</f>
        <v/>
      </c>
      <c r="T16" s="12">
        <f>IF(SUMPRODUCT((機器台帳!$A$2:$A$400="E24-S8-5")*((機器台帳!$B$2:$B$400="背面")+(機器台帳!$B$2:$B$400="両面")&gt;0)*(機器台帳!$F$2:$F$400&lt;&gt;"")*(機器台帳!$C$2:$C$400&lt;=35)*(機器台帳!$C$2:$C$400+機器台帳!$D$2:$D$400-1&gt;=35))=0,"",INDEX(機器台帳!$F$2:$F$400,MATCH(1,INDEX((機器台帳!$A$2:$A$400="E24-S8-5")*((機器台帳!$B$2:$B$400="背面")+(機器台帳!$B$2:$B$400="両面")&gt;0)*(機器台帳!$F$2:$F$400&lt;&gt;"")*(機器台帳!$C$2:$C$400&lt;=35)*(機器台帳!$C$2:$C$400+機器台帳!$D$2:$D$400-1&gt;=35),0),0))&amp;IF(INDEX(機器台帳!$G$2:$G$400,MATCH(1,INDEX((機器台帳!$A$2:$A$400="E24-S8-5")*((機器台帳!$B$2:$B$400="背面")+(機器台帳!$B$2:$B$400="両面")&gt;0)*(機器台帳!$F$2:$F$400&lt;&gt;"")*(機器台帳!$C$2:$C$400&lt;=35)*(機器台帳!$C$2:$C$400+機器台帳!$D$2:$D$400-1&gt;=35),0),0))=""," "," "&amp;INDEX(機器台帳!$G$2:$G$400,MATCH(1,INDEX((機器台帳!$A$2:$A$400="E24-S8-5")*((機器台帳!$B$2:$B$400="背面")+(機器台帳!$B$2:$B$400="両面")&gt;0)*(機器台帳!$F$2:$F$400&lt;&gt;"")*(機器台帳!$C$2:$C$400&lt;=35)*(機器台帳!$C$2:$C$400+機器台帳!$D$2:$D$400-1&gt;=35),0),0)))&amp;IF(SUMPRODUCT((機器台帳!$A$2:$A$400="E24-S8-5")*((機器台帳!$B$2:$B$400="背面")+(機器台帳!$B$2:$B$400="両面")&gt;0)*(機器台帳!$F$2:$F$400&lt;&gt;"")*(機器台帳!$C$2:$C$400&lt;=35)*(機器台帳!$C$2:$C$400+機器台帳!$D$2:$D$400-1&gt;=35))&gt;1," 他"&amp;(SUMPRODUCT((機器台帳!$A$2:$A$400="E24-S8-5")*((機器台帳!$B$2:$B$400="背面")+(機器台帳!$B$2:$B$400="両面")&gt;0)*(機器台帳!$F$2:$F$400&lt;&gt;"")*(機器台帳!$C$2:$C$400&lt;=35)*(機器台帳!$C$2:$C$400+機器台帳!$D$2:$D$400-1&gt;=35))-1)&amp;"台",""))</f>
        <v/>
      </c>
      <c r="U16">
        <f>IF(SUMPRODUCT((機器台帳!$A$2:$A$400="E24-S8-5")*((機器台帳!$B$2:$B$400="背面")+(機器台帳!$B$2:$B$400="両面")&gt;0)*(機器台帳!$F$2:$F$400&lt;&gt;"")*(機器台帳!$C$2:$C$400&lt;=35)*(機器台帳!$C$2:$C$400+機器台帳!$D$2:$D$400-1&gt;=35))=0,"",INDEX(機器台帳!$I$2:$I$400,MATCH(1,INDEX((機器台帳!$A$2:$A$400="E24-S8-5")*((機器台帳!$B$2:$B$400="背面")+(機器台帳!$B$2:$B$400="両面")&gt;0)*(機器台帳!$F$2:$F$400&lt;&gt;"")*(機器台帳!$C$2:$C$400&lt;=35)*(機器台帳!$C$2:$C$400+機器台帳!$D$2:$D$400-1&gt;=35),0),0))&amp;IF(INDEX(機器台帳!$Y$2:$Y$400,MATCH(1,INDEX((機器台帳!$A$2:$A$400="E24-S8-5")*((機器台帳!$B$2:$B$400="背面")+(機器台帳!$B$2:$B$400="両面")&gt;0)*(機器台帳!$F$2:$F$400&lt;&gt;"")*(機器台帳!$C$2:$C$400&lt;=35)*(機器台帳!$C$2:$C$400+機器台帳!$D$2:$D$400-1&gt;=35),0),0))=0,"|未記入",""))</f>
        <v/>
      </c>
      <c r="V16" s="12">
        <f>IF(SUMPRODUCT((機器台帳!$A$2:$A$400="E24-S6-1")*((機器台帳!$B$2:$B$400="前面")+(機器台帳!$B$2:$B$400="両面")&gt;0)*(機器台帳!$F$2:$F$400&lt;&gt;"")*(機器台帳!$C$2:$C$400&lt;=35)*(機器台帳!$C$2:$C$400+機器台帳!$D$2:$D$400-1&gt;=35))=0,"",INDEX(機器台帳!$F$2:$F$400,MATCH(1,INDEX((機器台帳!$A$2:$A$400="E24-S6-1")*((機器台帳!$B$2:$B$400="前面")+(機器台帳!$B$2:$B$400="両面")&gt;0)*(機器台帳!$F$2:$F$400&lt;&gt;"")*(機器台帳!$C$2:$C$400&lt;=35)*(機器台帳!$C$2:$C$400+機器台帳!$D$2:$D$400-1&gt;=35),0),0))&amp;IF(INDEX(機器台帳!$G$2:$G$400,MATCH(1,INDEX((機器台帳!$A$2:$A$400="E24-S6-1")*((機器台帳!$B$2:$B$400="前面")+(機器台帳!$B$2:$B$400="両面")&gt;0)*(機器台帳!$F$2:$F$400&lt;&gt;"")*(機器台帳!$C$2:$C$400&lt;=35)*(機器台帳!$C$2:$C$400+機器台帳!$D$2:$D$400-1&gt;=35),0),0))=""," "," "&amp;INDEX(機器台帳!$G$2:$G$400,MATCH(1,INDEX((機器台帳!$A$2:$A$400="E24-S6-1")*((機器台帳!$B$2:$B$400="前面")+(機器台帳!$B$2:$B$400="両面")&gt;0)*(機器台帳!$F$2:$F$400&lt;&gt;"")*(機器台帳!$C$2:$C$400&lt;=35)*(機器台帳!$C$2:$C$400+機器台帳!$D$2:$D$400-1&gt;=35),0),0)))&amp;IF(SUMPRODUCT((機器台帳!$A$2:$A$400="E24-S6-1")*((機器台帳!$B$2:$B$400="前面")+(機器台帳!$B$2:$B$400="両面")&gt;0)*(機器台帳!$F$2:$F$400&lt;&gt;"")*(機器台帳!$C$2:$C$400&lt;=35)*(機器台帳!$C$2:$C$400+機器台帳!$D$2:$D$400-1&gt;=35))&gt;1," 他"&amp;(SUMPRODUCT((機器台帳!$A$2:$A$400="E24-S6-1")*((機器台帳!$B$2:$B$400="前面")+(機器台帳!$B$2:$B$400="両面")&gt;0)*(機器台帳!$F$2:$F$400&lt;&gt;"")*(機器台帳!$C$2:$C$400&lt;=35)*(機器台帳!$C$2:$C$400+機器台帳!$D$2:$D$400-1&gt;=35))-1)&amp;"台",""))</f>
        <v/>
      </c>
      <c r="W16">
        <f>IF(SUMPRODUCT((機器台帳!$A$2:$A$400="E24-S6-1")*((機器台帳!$B$2:$B$400="前面")+(機器台帳!$B$2:$B$400="両面")&gt;0)*(機器台帳!$F$2:$F$400&lt;&gt;"")*(機器台帳!$C$2:$C$400&lt;=35)*(機器台帳!$C$2:$C$400+機器台帳!$D$2:$D$400-1&gt;=35))=0,"",INDEX(機器台帳!$I$2:$I$400,MATCH(1,INDEX((機器台帳!$A$2:$A$400="E24-S6-1")*((機器台帳!$B$2:$B$400="前面")+(機器台帳!$B$2:$B$400="両面")&gt;0)*(機器台帳!$F$2:$F$400&lt;&gt;"")*(機器台帳!$C$2:$C$400&lt;=35)*(機器台帳!$C$2:$C$400+機器台帳!$D$2:$D$400-1&gt;=35),0),0))&amp;IF(INDEX(機器台帳!$Y$2:$Y$400,MATCH(1,INDEX((機器台帳!$A$2:$A$400="E24-S6-1")*((機器台帳!$B$2:$B$400="前面")+(機器台帳!$B$2:$B$400="両面")&gt;0)*(機器台帳!$F$2:$F$400&lt;&gt;"")*(機器台帳!$C$2:$C$400&lt;=35)*(機器台帳!$C$2:$C$400+機器台帳!$D$2:$D$400-1&gt;=35),0),0))=0,"|未記入",""))</f>
        <v/>
      </c>
      <c r="X16" s="12">
        <f>IF(SUMPRODUCT((機器台帳!$A$2:$A$400="E24-S6-1")*((機器台帳!$B$2:$B$400="背面")+(機器台帳!$B$2:$B$400="両面")&gt;0)*(機器台帳!$F$2:$F$400&lt;&gt;"")*(機器台帳!$C$2:$C$400&lt;=35)*(機器台帳!$C$2:$C$400+機器台帳!$D$2:$D$400-1&gt;=35))=0,"",INDEX(機器台帳!$F$2:$F$400,MATCH(1,INDEX((機器台帳!$A$2:$A$400="E24-S6-1")*((機器台帳!$B$2:$B$400="背面")+(機器台帳!$B$2:$B$400="両面")&gt;0)*(機器台帳!$F$2:$F$400&lt;&gt;"")*(機器台帳!$C$2:$C$400&lt;=35)*(機器台帳!$C$2:$C$400+機器台帳!$D$2:$D$400-1&gt;=35),0),0))&amp;IF(INDEX(機器台帳!$G$2:$G$400,MATCH(1,INDEX((機器台帳!$A$2:$A$400="E24-S6-1")*((機器台帳!$B$2:$B$400="背面")+(機器台帳!$B$2:$B$400="両面")&gt;0)*(機器台帳!$F$2:$F$400&lt;&gt;"")*(機器台帳!$C$2:$C$400&lt;=35)*(機器台帳!$C$2:$C$400+機器台帳!$D$2:$D$400-1&gt;=35),0),0))=""," "," "&amp;INDEX(機器台帳!$G$2:$G$400,MATCH(1,INDEX((機器台帳!$A$2:$A$400="E24-S6-1")*((機器台帳!$B$2:$B$400="背面")+(機器台帳!$B$2:$B$400="両面")&gt;0)*(機器台帳!$F$2:$F$400&lt;&gt;"")*(機器台帳!$C$2:$C$400&lt;=35)*(機器台帳!$C$2:$C$400+機器台帳!$D$2:$D$400-1&gt;=35),0),0)))&amp;IF(SUMPRODUCT((機器台帳!$A$2:$A$400="E24-S6-1")*((機器台帳!$B$2:$B$400="背面")+(機器台帳!$B$2:$B$400="両面")&gt;0)*(機器台帳!$F$2:$F$400&lt;&gt;"")*(機器台帳!$C$2:$C$400&lt;=35)*(機器台帳!$C$2:$C$400+機器台帳!$D$2:$D$400-1&gt;=35))&gt;1," 他"&amp;(SUMPRODUCT((機器台帳!$A$2:$A$400="E24-S6-1")*((機器台帳!$B$2:$B$400="背面")+(機器台帳!$B$2:$B$400="両面")&gt;0)*(機器台帳!$F$2:$F$400&lt;&gt;"")*(機器台帳!$C$2:$C$400&lt;=35)*(機器台帳!$C$2:$C$400+機器台帳!$D$2:$D$400-1&gt;=35))-1)&amp;"台",""))</f>
        <v/>
      </c>
      <c r="Y16">
        <f>IF(SUMPRODUCT((機器台帳!$A$2:$A$400="E24-S6-1")*((機器台帳!$B$2:$B$400="背面")+(機器台帳!$B$2:$B$400="両面")&gt;0)*(機器台帳!$F$2:$F$400&lt;&gt;"")*(機器台帳!$C$2:$C$400&lt;=35)*(機器台帳!$C$2:$C$400+機器台帳!$D$2:$D$400-1&gt;=35))=0,"",INDEX(機器台帳!$I$2:$I$400,MATCH(1,INDEX((機器台帳!$A$2:$A$400="E24-S6-1")*((機器台帳!$B$2:$B$400="背面")+(機器台帳!$B$2:$B$400="両面")&gt;0)*(機器台帳!$F$2:$F$400&lt;&gt;"")*(機器台帳!$C$2:$C$400&lt;=35)*(機器台帳!$C$2:$C$400+機器台帳!$D$2:$D$400-1&gt;=35),0),0))&amp;IF(INDEX(機器台帳!$Y$2:$Y$400,MATCH(1,INDEX((機器台帳!$A$2:$A$400="E24-S6-1")*((機器台帳!$B$2:$B$400="背面")+(機器台帳!$B$2:$B$400="両面")&gt;0)*(機器台帳!$F$2:$F$400&lt;&gt;"")*(機器台帳!$C$2:$C$400&lt;=35)*(機器台帳!$C$2:$C$400+機器台帳!$D$2:$D$400-1&gt;=35),0),0))=0,"|未記入",""))</f>
        <v/>
      </c>
    </row>
    <row r="17">
      <c r="A17" s="11" t="n">
        <v>34</v>
      </c>
      <c r="B17" s="12">
        <f>IF(SUMPRODUCT((機器台帳!$A$2:$A$400="E24-S8-1")*((機器台帳!$B$2:$B$400="前面")+(機器台帳!$B$2:$B$400="両面")&gt;0)*(機器台帳!$F$2:$F$400&lt;&gt;"")*(機器台帳!$C$2:$C$400&lt;=34)*(機器台帳!$C$2:$C$400+機器台帳!$D$2:$D$400-1&gt;=34))=0,"",INDEX(機器台帳!$F$2:$F$400,MATCH(1,INDEX((機器台帳!$A$2:$A$400="E24-S8-1")*((機器台帳!$B$2:$B$400="前面")+(機器台帳!$B$2:$B$400="両面")&gt;0)*(機器台帳!$F$2:$F$400&lt;&gt;"")*(機器台帳!$C$2:$C$400&lt;=34)*(機器台帳!$C$2:$C$400+機器台帳!$D$2:$D$400-1&gt;=34),0),0))&amp;IF(INDEX(機器台帳!$G$2:$G$400,MATCH(1,INDEX((機器台帳!$A$2:$A$400="E24-S8-1")*((機器台帳!$B$2:$B$400="前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-1")*((機器台帳!$B$2:$B$400="前面")+(機器台帳!$B$2:$B$400="両面")&gt;0)*(機器台帳!$F$2:$F$400&lt;&gt;"")*(機器台帳!$C$2:$C$400&lt;=34)*(機器台帳!$C$2:$C$400+機器台帳!$D$2:$D$400-1&gt;=34),0),0)))&amp;IF(SUMPRODUCT((機器台帳!$A$2:$A$400="E24-S8-1")*((機器台帳!$B$2:$B$400="前面")+(機器台帳!$B$2:$B$400="両面")&gt;0)*(機器台帳!$F$2:$F$400&lt;&gt;"")*(機器台帳!$C$2:$C$400&lt;=34)*(機器台帳!$C$2:$C$400+機器台帳!$D$2:$D$400-1&gt;=34))&gt;1," 他"&amp;(SUMPRODUCT((機器台帳!$A$2:$A$400="E24-S8-1")*((機器台帳!$B$2:$B$400="前面")+(機器台帳!$B$2:$B$400="両面")&gt;0)*(機器台帳!$F$2:$F$400&lt;&gt;"")*(機器台帳!$C$2:$C$400&lt;=34)*(機器台帳!$C$2:$C$400+機器台帳!$D$2:$D$400-1&gt;=34))-1)&amp;"台",""))</f>
        <v/>
      </c>
      <c r="C17">
        <f>IF(SUMPRODUCT((機器台帳!$A$2:$A$400="E24-S8-1")*((機器台帳!$B$2:$B$400="前面")+(機器台帳!$B$2:$B$400="両面")&gt;0)*(機器台帳!$F$2:$F$400&lt;&gt;"")*(機器台帳!$C$2:$C$400&lt;=34)*(機器台帳!$C$2:$C$400+機器台帳!$D$2:$D$400-1&gt;=34))=0,"",INDEX(機器台帳!$I$2:$I$400,MATCH(1,INDEX((機器台帳!$A$2:$A$400="E24-S8-1")*((機器台帳!$B$2:$B$400="前面")+(機器台帳!$B$2:$B$400="両面")&gt;0)*(機器台帳!$F$2:$F$400&lt;&gt;"")*(機器台帳!$C$2:$C$400&lt;=34)*(機器台帳!$C$2:$C$400+機器台帳!$D$2:$D$400-1&gt;=34),0),0))&amp;IF(INDEX(機器台帳!$Y$2:$Y$400,MATCH(1,INDEX((機器台帳!$A$2:$A$400="E24-S8-1")*((機器台帳!$B$2:$B$400="前面")+(機器台帳!$B$2:$B$400="両面")&gt;0)*(機器台帳!$F$2:$F$400&lt;&gt;"")*(機器台帳!$C$2:$C$400&lt;=34)*(機器台帳!$C$2:$C$400+機器台帳!$D$2:$D$400-1&gt;=34),0),0))=0,"|未記入",""))</f>
        <v/>
      </c>
      <c r="D17" s="12">
        <f>IF(SUMPRODUCT((機器台帳!$A$2:$A$400="E24-S8-1")*((機器台帳!$B$2:$B$400="背面")+(機器台帳!$B$2:$B$400="両面")&gt;0)*(機器台帳!$F$2:$F$400&lt;&gt;"")*(機器台帳!$C$2:$C$400&lt;=34)*(機器台帳!$C$2:$C$400+機器台帳!$D$2:$D$400-1&gt;=34))=0,"",INDEX(機器台帳!$F$2:$F$400,MATCH(1,INDEX((機器台帳!$A$2:$A$400="E24-S8-1")*((機器台帳!$B$2:$B$400="背面")+(機器台帳!$B$2:$B$400="両面")&gt;0)*(機器台帳!$F$2:$F$400&lt;&gt;"")*(機器台帳!$C$2:$C$400&lt;=34)*(機器台帳!$C$2:$C$400+機器台帳!$D$2:$D$400-1&gt;=34),0),0))&amp;IF(INDEX(機器台帳!$G$2:$G$400,MATCH(1,INDEX((機器台帳!$A$2:$A$400="E24-S8-1")*((機器台帳!$B$2:$B$400="背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-1")*((機器台帳!$B$2:$B$400="背面")+(機器台帳!$B$2:$B$400="両面")&gt;0)*(機器台帳!$F$2:$F$400&lt;&gt;"")*(機器台帳!$C$2:$C$400&lt;=34)*(機器台帳!$C$2:$C$400+機器台帳!$D$2:$D$400-1&gt;=34),0),0)))&amp;IF(SUMPRODUCT((機器台帳!$A$2:$A$400="E24-S8-1")*((機器台帳!$B$2:$B$400="背面")+(機器台帳!$B$2:$B$400="両面")&gt;0)*(機器台帳!$F$2:$F$400&lt;&gt;"")*(機器台帳!$C$2:$C$400&lt;=34)*(機器台帳!$C$2:$C$400+機器台帳!$D$2:$D$400-1&gt;=34))&gt;1," 他"&amp;(SUMPRODUCT((機器台帳!$A$2:$A$400="E24-S8-1")*((機器台帳!$B$2:$B$400="背面")+(機器台帳!$B$2:$B$400="両面")&gt;0)*(機器台帳!$F$2:$F$400&lt;&gt;"")*(機器台帳!$C$2:$C$400&lt;=34)*(機器台帳!$C$2:$C$400+機器台帳!$D$2:$D$400-1&gt;=34))-1)&amp;"台",""))</f>
        <v/>
      </c>
      <c r="E17">
        <f>IF(SUMPRODUCT((機器台帳!$A$2:$A$400="E24-S8-1")*((機器台帳!$B$2:$B$400="背面")+(機器台帳!$B$2:$B$400="両面")&gt;0)*(機器台帳!$F$2:$F$400&lt;&gt;"")*(機器台帳!$C$2:$C$400&lt;=34)*(機器台帳!$C$2:$C$400+機器台帳!$D$2:$D$400-1&gt;=34))=0,"",INDEX(機器台帳!$I$2:$I$400,MATCH(1,INDEX((機器台帳!$A$2:$A$400="E24-S8-1")*((機器台帳!$B$2:$B$400="背面")+(機器台帳!$B$2:$B$400="両面")&gt;0)*(機器台帳!$F$2:$F$400&lt;&gt;"")*(機器台帳!$C$2:$C$400&lt;=34)*(機器台帳!$C$2:$C$400+機器台帳!$D$2:$D$400-1&gt;=34),0),0))&amp;IF(INDEX(機器台帳!$Y$2:$Y$400,MATCH(1,INDEX((機器台帳!$A$2:$A$400="E24-S8-1")*((機器台帳!$B$2:$B$400="背面")+(機器台帳!$B$2:$B$400="両面")&gt;0)*(機器台帳!$F$2:$F$400&lt;&gt;"")*(機器台帳!$C$2:$C$400&lt;=34)*(機器台帳!$C$2:$C$400+機器台帳!$D$2:$D$400-1&gt;=34),0),0))=0,"|未記入",""))</f>
        <v/>
      </c>
      <c r="F17" s="12">
        <f>IF(SUMPRODUCT((機器台帳!$A$2:$A$400="E24-S8-2")*((機器台帳!$B$2:$B$400="前面")+(機器台帳!$B$2:$B$400="両面")&gt;0)*(機器台帳!$F$2:$F$400&lt;&gt;"")*(機器台帳!$C$2:$C$400&lt;=34)*(機器台帳!$C$2:$C$400+機器台帳!$D$2:$D$400-1&gt;=34))=0,"",INDEX(機器台帳!$F$2:$F$400,MATCH(1,INDEX((機器台帳!$A$2:$A$400="E24-S8-2")*((機器台帳!$B$2:$B$400="前面")+(機器台帳!$B$2:$B$400="両面")&gt;0)*(機器台帳!$F$2:$F$400&lt;&gt;"")*(機器台帳!$C$2:$C$400&lt;=34)*(機器台帳!$C$2:$C$400+機器台帳!$D$2:$D$400-1&gt;=34),0),0))&amp;IF(INDEX(機器台帳!$G$2:$G$400,MATCH(1,INDEX((機器台帳!$A$2:$A$400="E24-S8-2")*((機器台帳!$B$2:$B$400="前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-2")*((機器台帳!$B$2:$B$400="前面")+(機器台帳!$B$2:$B$400="両面")&gt;0)*(機器台帳!$F$2:$F$400&lt;&gt;"")*(機器台帳!$C$2:$C$400&lt;=34)*(機器台帳!$C$2:$C$400+機器台帳!$D$2:$D$400-1&gt;=34),0),0)))&amp;IF(SUMPRODUCT((機器台帳!$A$2:$A$400="E24-S8-2")*((機器台帳!$B$2:$B$400="前面")+(機器台帳!$B$2:$B$400="両面")&gt;0)*(機器台帳!$F$2:$F$400&lt;&gt;"")*(機器台帳!$C$2:$C$400&lt;=34)*(機器台帳!$C$2:$C$400+機器台帳!$D$2:$D$400-1&gt;=34))&gt;1," 他"&amp;(SUMPRODUCT((機器台帳!$A$2:$A$400="E24-S8-2")*((機器台帳!$B$2:$B$400="前面")+(機器台帳!$B$2:$B$400="両面")&gt;0)*(機器台帳!$F$2:$F$400&lt;&gt;"")*(機器台帳!$C$2:$C$400&lt;=34)*(機器台帳!$C$2:$C$400+機器台帳!$D$2:$D$400-1&gt;=34))-1)&amp;"台",""))</f>
        <v/>
      </c>
      <c r="G17">
        <f>IF(SUMPRODUCT((機器台帳!$A$2:$A$400="E24-S8-2")*((機器台帳!$B$2:$B$400="前面")+(機器台帳!$B$2:$B$400="両面")&gt;0)*(機器台帳!$F$2:$F$400&lt;&gt;"")*(機器台帳!$C$2:$C$400&lt;=34)*(機器台帳!$C$2:$C$400+機器台帳!$D$2:$D$400-1&gt;=34))=0,"",INDEX(機器台帳!$I$2:$I$400,MATCH(1,INDEX((機器台帳!$A$2:$A$400="E24-S8-2")*((機器台帳!$B$2:$B$400="前面")+(機器台帳!$B$2:$B$400="両面")&gt;0)*(機器台帳!$F$2:$F$400&lt;&gt;"")*(機器台帳!$C$2:$C$400&lt;=34)*(機器台帳!$C$2:$C$400+機器台帳!$D$2:$D$400-1&gt;=34),0),0))&amp;IF(INDEX(機器台帳!$Y$2:$Y$400,MATCH(1,INDEX((機器台帳!$A$2:$A$400="E24-S8-2")*((機器台帳!$B$2:$B$400="前面")+(機器台帳!$B$2:$B$400="両面")&gt;0)*(機器台帳!$F$2:$F$400&lt;&gt;"")*(機器台帳!$C$2:$C$400&lt;=34)*(機器台帳!$C$2:$C$400+機器台帳!$D$2:$D$400-1&gt;=34),0),0))=0,"|未記入",""))</f>
        <v/>
      </c>
      <c r="H17" s="12">
        <f>IF(SUMPRODUCT((機器台帳!$A$2:$A$400="E24-S8-2")*((機器台帳!$B$2:$B$400="背面")+(機器台帳!$B$2:$B$400="両面")&gt;0)*(機器台帳!$F$2:$F$400&lt;&gt;"")*(機器台帳!$C$2:$C$400&lt;=34)*(機器台帳!$C$2:$C$400+機器台帳!$D$2:$D$400-1&gt;=34))=0,"",INDEX(機器台帳!$F$2:$F$400,MATCH(1,INDEX((機器台帳!$A$2:$A$400="E24-S8-2")*((機器台帳!$B$2:$B$400="背面")+(機器台帳!$B$2:$B$400="両面")&gt;0)*(機器台帳!$F$2:$F$400&lt;&gt;"")*(機器台帳!$C$2:$C$400&lt;=34)*(機器台帳!$C$2:$C$400+機器台帳!$D$2:$D$400-1&gt;=34),0),0))&amp;IF(INDEX(機器台帳!$G$2:$G$400,MATCH(1,INDEX((機器台帳!$A$2:$A$400="E24-S8-2")*((機器台帳!$B$2:$B$400="背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-2")*((機器台帳!$B$2:$B$400="背面")+(機器台帳!$B$2:$B$400="両面")&gt;0)*(機器台帳!$F$2:$F$400&lt;&gt;"")*(機器台帳!$C$2:$C$400&lt;=34)*(機器台帳!$C$2:$C$400+機器台帳!$D$2:$D$400-1&gt;=34),0),0)))&amp;IF(SUMPRODUCT((機器台帳!$A$2:$A$400="E24-S8-2")*((機器台帳!$B$2:$B$400="背面")+(機器台帳!$B$2:$B$400="両面")&gt;0)*(機器台帳!$F$2:$F$400&lt;&gt;"")*(機器台帳!$C$2:$C$400&lt;=34)*(機器台帳!$C$2:$C$400+機器台帳!$D$2:$D$400-1&gt;=34))&gt;1," 他"&amp;(SUMPRODUCT((機器台帳!$A$2:$A$400="E24-S8-2")*((機器台帳!$B$2:$B$400="背面")+(機器台帳!$B$2:$B$400="両面")&gt;0)*(機器台帳!$F$2:$F$400&lt;&gt;"")*(機器台帳!$C$2:$C$400&lt;=34)*(機器台帳!$C$2:$C$400+機器台帳!$D$2:$D$400-1&gt;=34))-1)&amp;"台",""))</f>
        <v/>
      </c>
      <c r="I17">
        <f>IF(SUMPRODUCT((機器台帳!$A$2:$A$400="E24-S8-2")*((機器台帳!$B$2:$B$400="背面")+(機器台帳!$B$2:$B$400="両面")&gt;0)*(機器台帳!$F$2:$F$400&lt;&gt;"")*(機器台帳!$C$2:$C$400&lt;=34)*(機器台帳!$C$2:$C$400+機器台帳!$D$2:$D$400-1&gt;=34))=0,"",INDEX(機器台帳!$I$2:$I$400,MATCH(1,INDEX((機器台帳!$A$2:$A$400="E24-S8-2")*((機器台帳!$B$2:$B$400="背面")+(機器台帳!$B$2:$B$400="両面")&gt;0)*(機器台帳!$F$2:$F$400&lt;&gt;"")*(機器台帳!$C$2:$C$400&lt;=34)*(機器台帳!$C$2:$C$400+機器台帳!$D$2:$D$400-1&gt;=34),0),0))&amp;IF(INDEX(機器台帳!$Y$2:$Y$400,MATCH(1,INDEX((機器台帳!$A$2:$A$400="E24-S8-2")*((機器台帳!$B$2:$B$400="背面")+(機器台帳!$B$2:$B$400="両面")&gt;0)*(機器台帳!$F$2:$F$400&lt;&gt;"")*(機器台帳!$C$2:$C$400&lt;=34)*(機器台帳!$C$2:$C$400+機器台帳!$D$2:$D$400-1&gt;=34),0),0))=0,"|未記入",""))</f>
        <v/>
      </c>
      <c r="J17" s="12">
        <f>IF(SUMPRODUCT((機器台帳!$A$2:$A$400="E24-S8-3")*((機器台帳!$B$2:$B$400="前面")+(機器台帳!$B$2:$B$400="両面")&gt;0)*(機器台帳!$F$2:$F$400&lt;&gt;"")*(機器台帳!$C$2:$C$400&lt;=34)*(機器台帳!$C$2:$C$400+機器台帳!$D$2:$D$400-1&gt;=34))=0,"",INDEX(機器台帳!$F$2:$F$400,MATCH(1,INDEX((機器台帳!$A$2:$A$400="E24-S8-3")*((機器台帳!$B$2:$B$400="前面")+(機器台帳!$B$2:$B$400="両面")&gt;0)*(機器台帳!$F$2:$F$400&lt;&gt;"")*(機器台帳!$C$2:$C$400&lt;=34)*(機器台帳!$C$2:$C$400+機器台帳!$D$2:$D$400-1&gt;=34),0),0))&amp;IF(INDEX(機器台帳!$G$2:$G$400,MATCH(1,INDEX((機器台帳!$A$2:$A$400="E24-S8-3")*((機器台帳!$B$2:$B$400="前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-3")*((機器台帳!$B$2:$B$400="前面")+(機器台帳!$B$2:$B$400="両面")&gt;0)*(機器台帳!$F$2:$F$400&lt;&gt;"")*(機器台帳!$C$2:$C$400&lt;=34)*(機器台帳!$C$2:$C$400+機器台帳!$D$2:$D$400-1&gt;=34),0),0)))&amp;IF(SUMPRODUCT((機器台帳!$A$2:$A$400="E24-S8-3")*((機器台帳!$B$2:$B$400="前面")+(機器台帳!$B$2:$B$400="両面")&gt;0)*(機器台帳!$F$2:$F$400&lt;&gt;"")*(機器台帳!$C$2:$C$400&lt;=34)*(機器台帳!$C$2:$C$400+機器台帳!$D$2:$D$400-1&gt;=34))&gt;1," 他"&amp;(SUMPRODUCT((機器台帳!$A$2:$A$400="E24-S8-3")*((機器台帳!$B$2:$B$400="前面")+(機器台帳!$B$2:$B$400="両面")&gt;0)*(機器台帳!$F$2:$F$400&lt;&gt;"")*(機器台帳!$C$2:$C$400&lt;=34)*(機器台帳!$C$2:$C$400+機器台帳!$D$2:$D$400-1&gt;=34))-1)&amp;"台",""))</f>
        <v/>
      </c>
      <c r="K17">
        <f>IF(SUMPRODUCT((機器台帳!$A$2:$A$400="E24-S8-3")*((機器台帳!$B$2:$B$400="前面")+(機器台帳!$B$2:$B$400="両面")&gt;0)*(機器台帳!$F$2:$F$400&lt;&gt;"")*(機器台帳!$C$2:$C$400&lt;=34)*(機器台帳!$C$2:$C$400+機器台帳!$D$2:$D$400-1&gt;=34))=0,"",INDEX(機器台帳!$I$2:$I$400,MATCH(1,INDEX((機器台帳!$A$2:$A$400="E24-S8-3")*((機器台帳!$B$2:$B$400="前面")+(機器台帳!$B$2:$B$400="両面")&gt;0)*(機器台帳!$F$2:$F$400&lt;&gt;"")*(機器台帳!$C$2:$C$400&lt;=34)*(機器台帳!$C$2:$C$400+機器台帳!$D$2:$D$400-1&gt;=34),0),0))&amp;IF(INDEX(機器台帳!$Y$2:$Y$400,MATCH(1,INDEX((機器台帳!$A$2:$A$400="E24-S8-3")*((機器台帳!$B$2:$B$400="前面")+(機器台帳!$B$2:$B$400="両面")&gt;0)*(機器台帳!$F$2:$F$400&lt;&gt;"")*(機器台帳!$C$2:$C$400&lt;=34)*(機器台帳!$C$2:$C$400+機器台帳!$D$2:$D$400-1&gt;=34),0),0))=0,"|未記入",""))</f>
        <v/>
      </c>
      <c r="L17" s="12">
        <f>IF(SUMPRODUCT((機器台帳!$A$2:$A$400="E24-S8-3")*((機器台帳!$B$2:$B$400="背面")+(機器台帳!$B$2:$B$400="両面")&gt;0)*(機器台帳!$F$2:$F$400&lt;&gt;"")*(機器台帳!$C$2:$C$400&lt;=34)*(機器台帳!$C$2:$C$400+機器台帳!$D$2:$D$400-1&gt;=34))=0,"",INDEX(機器台帳!$F$2:$F$400,MATCH(1,INDEX((機器台帳!$A$2:$A$400="E24-S8-3")*((機器台帳!$B$2:$B$400="背面")+(機器台帳!$B$2:$B$400="両面")&gt;0)*(機器台帳!$F$2:$F$400&lt;&gt;"")*(機器台帳!$C$2:$C$400&lt;=34)*(機器台帳!$C$2:$C$400+機器台帳!$D$2:$D$400-1&gt;=34),0),0))&amp;IF(INDEX(機器台帳!$G$2:$G$400,MATCH(1,INDEX((機器台帳!$A$2:$A$400="E24-S8-3")*((機器台帳!$B$2:$B$400="背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-3")*((機器台帳!$B$2:$B$400="背面")+(機器台帳!$B$2:$B$400="両面")&gt;0)*(機器台帳!$F$2:$F$400&lt;&gt;"")*(機器台帳!$C$2:$C$400&lt;=34)*(機器台帳!$C$2:$C$400+機器台帳!$D$2:$D$400-1&gt;=34),0),0)))&amp;IF(SUMPRODUCT((機器台帳!$A$2:$A$400="E24-S8-3")*((機器台帳!$B$2:$B$400="背面")+(機器台帳!$B$2:$B$400="両面")&gt;0)*(機器台帳!$F$2:$F$400&lt;&gt;"")*(機器台帳!$C$2:$C$400&lt;=34)*(機器台帳!$C$2:$C$400+機器台帳!$D$2:$D$400-1&gt;=34))&gt;1," 他"&amp;(SUMPRODUCT((機器台帳!$A$2:$A$400="E24-S8-3")*((機器台帳!$B$2:$B$400="背面")+(機器台帳!$B$2:$B$400="両面")&gt;0)*(機器台帳!$F$2:$F$400&lt;&gt;"")*(機器台帳!$C$2:$C$400&lt;=34)*(機器台帳!$C$2:$C$400+機器台帳!$D$2:$D$400-1&gt;=34))-1)&amp;"台",""))</f>
        <v/>
      </c>
      <c r="M17">
        <f>IF(SUMPRODUCT((機器台帳!$A$2:$A$400="E24-S8-3")*((機器台帳!$B$2:$B$400="背面")+(機器台帳!$B$2:$B$400="両面")&gt;0)*(機器台帳!$F$2:$F$400&lt;&gt;"")*(機器台帳!$C$2:$C$400&lt;=34)*(機器台帳!$C$2:$C$400+機器台帳!$D$2:$D$400-1&gt;=34))=0,"",INDEX(機器台帳!$I$2:$I$400,MATCH(1,INDEX((機器台帳!$A$2:$A$400="E24-S8-3")*((機器台帳!$B$2:$B$400="背面")+(機器台帳!$B$2:$B$400="両面")&gt;0)*(機器台帳!$F$2:$F$400&lt;&gt;"")*(機器台帳!$C$2:$C$400&lt;=34)*(機器台帳!$C$2:$C$400+機器台帳!$D$2:$D$400-1&gt;=34),0),0))&amp;IF(INDEX(機器台帳!$Y$2:$Y$400,MATCH(1,INDEX((機器台帳!$A$2:$A$400="E24-S8-3")*((機器台帳!$B$2:$B$400="背面")+(機器台帳!$B$2:$B$400="両面")&gt;0)*(機器台帳!$F$2:$F$400&lt;&gt;"")*(機器台帳!$C$2:$C$400&lt;=34)*(機器台帳!$C$2:$C$400+機器台帳!$D$2:$D$400-1&gt;=34),0),0))=0,"|未記入",""))</f>
        <v/>
      </c>
      <c r="N17" s="12">
        <f>IF(SUMPRODUCT((機器台帳!$A$2:$A$400="E24-S8-4")*((機器台帳!$B$2:$B$400="前面")+(機器台帳!$B$2:$B$400="両面")&gt;0)*(機器台帳!$F$2:$F$400&lt;&gt;"")*(機器台帳!$C$2:$C$400&lt;=34)*(機器台帳!$C$2:$C$400+機器台帳!$D$2:$D$400-1&gt;=34))=0,"",INDEX(機器台帳!$F$2:$F$400,MATCH(1,INDEX((機器台帳!$A$2:$A$400="E24-S8-4")*((機器台帳!$B$2:$B$400="前面")+(機器台帳!$B$2:$B$400="両面")&gt;0)*(機器台帳!$F$2:$F$400&lt;&gt;"")*(機器台帳!$C$2:$C$400&lt;=34)*(機器台帳!$C$2:$C$400+機器台帳!$D$2:$D$400-1&gt;=34),0),0))&amp;IF(INDEX(機器台帳!$G$2:$G$400,MATCH(1,INDEX((機器台帳!$A$2:$A$400="E24-S8-4")*((機器台帳!$B$2:$B$400="前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-4")*((機器台帳!$B$2:$B$400="前面")+(機器台帳!$B$2:$B$400="両面")&gt;0)*(機器台帳!$F$2:$F$400&lt;&gt;"")*(機器台帳!$C$2:$C$400&lt;=34)*(機器台帳!$C$2:$C$400+機器台帳!$D$2:$D$400-1&gt;=34),0),0)))&amp;IF(SUMPRODUCT((機器台帳!$A$2:$A$400="E24-S8-4")*((機器台帳!$B$2:$B$400="前面")+(機器台帳!$B$2:$B$400="両面")&gt;0)*(機器台帳!$F$2:$F$400&lt;&gt;"")*(機器台帳!$C$2:$C$400&lt;=34)*(機器台帳!$C$2:$C$400+機器台帳!$D$2:$D$400-1&gt;=34))&gt;1," 他"&amp;(SUMPRODUCT((機器台帳!$A$2:$A$400="E24-S8-4")*((機器台帳!$B$2:$B$400="前面")+(機器台帳!$B$2:$B$400="両面")&gt;0)*(機器台帳!$F$2:$F$400&lt;&gt;"")*(機器台帳!$C$2:$C$400&lt;=34)*(機器台帳!$C$2:$C$400+機器台帳!$D$2:$D$400-1&gt;=34))-1)&amp;"台",""))</f>
        <v/>
      </c>
      <c r="O17">
        <f>IF(SUMPRODUCT((機器台帳!$A$2:$A$400="E24-S8-4")*((機器台帳!$B$2:$B$400="前面")+(機器台帳!$B$2:$B$400="両面")&gt;0)*(機器台帳!$F$2:$F$400&lt;&gt;"")*(機器台帳!$C$2:$C$400&lt;=34)*(機器台帳!$C$2:$C$400+機器台帳!$D$2:$D$400-1&gt;=34))=0,"",INDEX(機器台帳!$I$2:$I$400,MATCH(1,INDEX((機器台帳!$A$2:$A$400="E24-S8-4")*((機器台帳!$B$2:$B$400="前面")+(機器台帳!$B$2:$B$400="両面")&gt;0)*(機器台帳!$F$2:$F$400&lt;&gt;"")*(機器台帳!$C$2:$C$400&lt;=34)*(機器台帳!$C$2:$C$400+機器台帳!$D$2:$D$400-1&gt;=34),0),0))&amp;IF(INDEX(機器台帳!$Y$2:$Y$400,MATCH(1,INDEX((機器台帳!$A$2:$A$400="E24-S8-4")*((機器台帳!$B$2:$B$400="前面")+(機器台帳!$B$2:$B$400="両面")&gt;0)*(機器台帳!$F$2:$F$400&lt;&gt;"")*(機器台帳!$C$2:$C$400&lt;=34)*(機器台帳!$C$2:$C$400+機器台帳!$D$2:$D$400-1&gt;=34),0),0))=0,"|未記入",""))</f>
        <v/>
      </c>
      <c r="P17" s="12">
        <f>IF(SUMPRODUCT((機器台帳!$A$2:$A$400="E24-S8-4")*((機器台帳!$B$2:$B$400="背面")+(機器台帳!$B$2:$B$400="両面")&gt;0)*(機器台帳!$F$2:$F$400&lt;&gt;"")*(機器台帳!$C$2:$C$400&lt;=34)*(機器台帳!$C$2:$C$400+機器台帳!$D$2:$D$400-1&gt;=34))=0,"",INDEX(機器台帳!$F$2:$F$400,MATCH(1,INDEX((機器台帳!$A$2:$A$400="E24-S8-4")*((機器台帳!$B$2:$B$400="背面")+(機器台帳!$B$2:$B$400="両面")&gt;0)*(機器台帳!$F$2:$F$400&lt;&gt;"")*(機器台帳!$C$2:$C$400&lt;=34)*(機器台帳!$C$2:$C$400+機器台帳!$D$2:$D$400-1&gt;=34),0),0))&amp;IF(INDEX(機器台帳!$G$2:$G$400,MATCH(1,INDEX((機器台帳!$A$2:$A$400="E24-S8-4")*((機器台帳!$B$2:$B$400="背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-4")*((機器台帳!$B$2:$B$400="背面")+(機器台帳!$B$2:$B$400="両面")&gt;0)*(機器台帳!$F$2:$F$400&lt;&gt;"")*(機器台帳!$C$2:$C$400&lt;=34)*(機器台帳!$C$2:$C$400+機器台帳!$D$2:$D$400-1&gt;=34),0),0)))&amp;IF(SUMPRODUCT((機器台帳!$A$2:$A$400="E24-S8-4")*((機器台帳!$B$2:$B$400="背面")+(機器台帳!$B$2:$B$400="両面")&gt;0)*(機器台帳!$F$2:$F$400&lt;&gt;"")*(機器台帳!$C$2:$C$400&lt;=34)*(機器台帳!$C$2:$C$400+機器台帳!$D$2:$D$400-1&gt;=34))&gt;1," 他"&amp;(SUMPRODUCT((機器台帳!$A$2:$A$400="E24-S8-4")*((機器台帳!$B$2:$B$400="背面")+(機器台帳!$B$2:$B$400="両面")&gt;0)*(機器台帳!$F$2:$F$400&lt;&gt;"")*(機器台帳!$C$2:$C$400&lt;=34)*(機器台帳!$C$2:$C$400+機器台帳!$D$2:$D$400-1&gt;=34))-1)&amp;"台",""))</f>
        <v/>
      </c>
      <c r="Q17">
        <f>IF(SUMPRODUCT((機器台帳!$A$2:$A$400="E24-S8-4")*((機器台帳!$B$2:$B$400="背面")+(機器台帳!$B$2:$B$400="両面")&gt;0)*(機器台帳!$F$2:$F$400&lt;&gt;"")*(機器台帳!$C$2:$C$400&lt;=34)*(機器台帳!$C$2:$C$400+機器台帳!$D$2:$D$400-1&gt;=34))=0,"",INDEX(機器台帳!$I$2:$I$400,MATCH(1,INDEX((機器台帳!$A$2:$A$400="E24-S8-4")*((機器台帳!$B$2:$B$400="背面")+(機器台帳!$B$2:$B$400="両面")&gt;0)*(機器台帳!$F$2:$F$400&lt;&gt;"")*(機器台帳!$C$2:$C$400&lt;=34)*(機器台帳!$C$2:$C$400+機器台帳!$D$2:$D$400-1&gt;=34),0),0))&amp;IF(INDEX(機器台帳!$Y$2:$Y$400,MATCH(1,INDEX((機器台帳!$A$2:$A$400="E24-S8-4")*((機器台帳!$B$2:$B$400="背面")+(機器台帳!$B$2:$B$400="両面")&gt;0)*(機器台帳!$F$2:$F$400&lt;&gt;"")*(機器台帳!$C$2:$C$400&lt;=34)*(機器台帳!$C$2:$C$400+機器台帳!$D$2:$D$400-1&gt;=34),0),0))=0,"|未記入",""))</f>
        <v/>
      </c>
      <c r="R17" s="12">
        <f>IF(SUMPRODUCT((機器台帳!$A$2:$A$400="E24-S8-5")*((機器台帳!$B$2:$B$400="前面")+(機器台帳!$B$2:$B$400="両面")&gt;0)*(機器台帳!$F$2:$F$400&lt;&gt;"")*(機器台帳!$C$2:$C$400&lt;=34)*(機器台帳!$C$2:$C$400+機器台帳!$D$2:$D$400-1&gt;=34))=0,"",INDEX(機器台帳!$F$2:$F$400,MATCH(1,INDEX((機器台帳!$A$2:$A$400="E24-S8-5")*((機器台帳!$B$2:$B$400="前面")+(機器台帳!$B$2:$B$400="両面")&gt;0)*(機器台帳!$F$2:$F$400&lt;&gt;"")*(機器台帳!$C$2:$C$400&lt;=34)*(機器台帳!$C$2:$C$400+機器台帳!$D$2:$D$400-1&gt;=34),0),0))&amp;IF(INDEX(機器台帳!$G$2:$G$400,MATCH(1,INDEX((機器台帳!$A$2:$A$400="E24-S8-5")*((機器台帳!$B$2:$B$400="前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-5")*((機器台帳!$B$2:$B$400="前面")+(機器台帳!$B$2:$B$400="両面")&gt;0)*(機器台帳!$F$2:$F$400&lt;&gt;"")*(機器台帳!$C$2:$C$400&lt;=34)*(機器台帳!$C$2:$C$400+機器台帳!$D$2:$D$400-1&gt;=34),0),0)))&amp;IF(SUMPRODUCT((機器台帳!$A$2:$A$400="E24-S8-5")*((機器台帳!$B$2:$B$400="前面")+(機器台帳!$B$2:$B$400="両面")&gt;0)*(機器台帳!$F$2:$F$400&lt;&gt;"")*(機器台帳!$C$2:$C$400&lt;=34)*(機器台帳!$C$2:$C$400+機器台帳!$D$2:$D$400-1&gt;=34))&gt;1," 他"&amp;(SUMPRODUCT((機器台帳!$A$2:$A$400="E24-S8-5")*((機器台帳!$B$2:$B$400="前面")+(機器台帳!$B$2:$B$400="両面")&gt;0)*(機器台帳!$F$2:$F$400&lt;&gt;"")*(機器台帳!$C$2:$C$400&lt;=34)*(機器台帳!$C$2:$C$400+機器台帳!$D$2:$D$400-1&gt;=34))-1)&amp;"台",""))</f>
        <v/>
      </c>
      <c r="S17">
        <f>IF(SUMPRODUCT((機器台帳!$A$2:$A$400="E24-S8-5")*((機器台帳!$B$2:$B$400="前面")+(機器台帳!$B$2:$B$400="両面")&gt;0)*(機器台帳!$F$2:$F$400&lt;&gt;"")*(機器台帳!$C$2:$C$400&lt;=34)*(機器台帳!$C$2:$C$400+機器台帳!$D$2:$D$400-1&gt;=34))=0,"",INDEX(機器台帳!$I$2:$I$400,MATCH(1,INDEX((機器台帳!$A$2:$A$400="E24-S8-5")*((機器台帳!$B$2:$B$400="前面")+(機器台帳!$B$2:$B$400="両面")&gt;0)*(機器台帳!$F$2:$F$400&lt;&gt;"")*(機器台帳!$C$2:$C$400&lt;=34)*(機器台帳!$C$2:$C$400+機器台帳!$D$2:$D$400-1&gt;=34),0),0))&amp;IF(INDEX(機器台帳!$Y$2:$Y$400,MATCH(1,INDEX((機器台帳!$A$2:$A$400="E24-S8-5")*((機器台帳!$B$2:$B$400="前面")+(機器台帳!$B$2:$B$400="両面")&gt;0)*(機器台帳!$F$2:$F$400&lt;&gt;"")*(機器台帳!$C$2:$C$400&lt;=34)*(機器台帳!$C$2:$C$400+機器台帳!$D$2:$D$400-1&gt;=34),0),0))=0,"|未記入",""))</f>
        <v/>
      </c>
      <c r="T17" s="12">
        <f>IF(SUMPRODUCT((機器台帳!$A$2:$A$400="E24-S8-5")*((機器台帳!$B$2:$B$400="背面")+(機器台帳!$B$2:$B$400="両面")&gt;0)*(機器台帳!$F$2:$F$400&lt;&gt;"")*(機器台帳!$C$2:$C$400&lt;=34)*(機器台帳!$C$2:$C$400+機器台帳!$D$2:$D$400-1&gt;=34))=0,"",INDEX(機器台帳!$F$2:$F$400,MATCH(1,INDEX((機器台帳!$A$2:$A$400="E24-S8-5")*((機器台帳!$B$2:$B$400="背面")+(機器台帳!$B$2:$B$400="両面")&gt;0)*(機器台帳!$F$2:$F$400&lt;&gt;"")*(機器台帳!$C$2:$C$400&lt;=34)*(機器台帳!$C$2:$C$400+機器台帳!$D$2:$D$400-1&gt;=34),0),0))&amp;IF(INDEX(機器台帳!$G$2:$G$400,MATCH(1,INDEX((機器台帳!$A$2:$A$400="E24-S8-5")*((機器台帳!$B$2:$B$400="背面")+(機器台帳!$B$2:$B$400="両面")&gt;0)*(機器台帳!$F$2:$F$400&lt;&gt;"")*(機器台帳!$C$2:$C$400&lt;=34)*(機器台帳!$C$2:$C$400+機器台帳!$D$2:$D$400-1&gt;=34),0),0))=""," "," "&amp;INDEX(機器台帳!$G$2:$G$400,MATCH(1,INDEX((機器台帳!$A$2:$A$400="E24-S8-5")*((機器台帳!$B$2:$B$400="背面")+(機器台帳!$B$2:$B$400="両面")&gt;0)*(機器台帳!$F$2:$F$400&lt;&gt;"")*(機器台帳!$C$2:$C$400&lt;=34)*(機器台帳!$C$2:$C$400+機器台帳!$D$2:$D$400-1&gt;=34),0),0)))&amp;IF(SUMPRODUCT((機器台帳!$A$2:$A$400="E24-S8-5")*((機器台帳!$B$2:$B$400="背面")+(機器台帳!$B$2:$B$400="両面")&gt;0)*(機器台帳!$F$2:$F$400&lt;&gt;"")*(機器台帳!$C$2:$C$400&lt;=34)*(機器台帳!$C$2:$C$400+機器台帳!$D$2:$D$400-1&gt;=34))&gt;1," 他"&amp;(SUMPRODUCT((機器台帳!$A$2:$A$400="E24-S8-5")*((機器台帳!$B$2:$B$400="背面")+(機器台帳!$B$2:$B$400="両面")&gt;0)*(機器台帳!$F$2:$F$400&lt;&gt;"")*(機器台帳!$C$2:$C$400&lt;=34)*(機器台帳!$C$2:$C$400+機器台帳!$D$2:$D$400-1&gt;=34))-1)&amp;"台",""))</f>
        <v/>
      </c>
      <c r="U17">
        <f>IF(SUMPRODUCT((機器台帳!$A$2:$A$400="E24-S8-5")*((機器台帳!$B$2:$B$400="背面")+(機器台帳!$B$2:$B$400="両面")&gt;0)*(機器台帳!$F$2:$F$400&lt;&gt;"")*(機器台帳!$C$2:$C$400&lt;=34)*(機器台帳!$C$2:$C$400+機器台帳!$D$2:$D$400-1&gt;=34))=0,"",INDEX(機器台帳!$I$2:$I$400,MATCH(1,INDEX((機器台帳!$A$2:$A$400="E24-S8-5")*((機器台帳!$B$2:$B$400="背面")+(機器台帳!$B$2:$B$400="両面")&gt;0)*(機器台帳!$F$2:$F$400&lt;&gt;"")*(機器台帳!$C$2:$C$400&lt;=34)*(機器台帳!$C$2:$C$400+機器台帳!$D$2:$D$400-1&gt;=34),0),0))&amp;IF(INDEX(機器台帳!$Y$2:$Y$400,MATCH(1,INDEX((機器台帳!$A$2:$A$400="E24-S8-5")*((機器台帳!$B$2:$B$400="背面")+(機器台帳!$B$2:$B$400="両面")&gt;0)*(機器台帳!$F$2:$F$400&lt;&gt;"")*(機器台帳!$C$2:$C$400&lt;=34)*(機器台帳!$C$2:$C$400+機器台帳!$D$2:$D$400-1&gt;=34),0),0))=0,"|未記入",""))</f>
        <v/>
      </c>
      <c r="V17" s="12">
        <f>IF(SUMPRODUCT((機器台帳!$A$2:$A$400="E24-S6-1")*((機器台帳!$B$2:$B$400="前面")+(機器台帳!$B$2:$B$400="両面")&gt;0)*(機器台帳!$F$2:$F$400&lt;&gt;"")*(機器台帳!$C$2:$C$400&lt;=34)*(機器台帳!$C$2:$C$400+機器台帳!$D$2:$D$400-1&gt;=34))=0,"",INDEX(機器台帳!$F$2:$F$400,MATCH(1,INDEX((機器台帳!$A$2:$A$400="E24-S6-1")*((機器台帳!$B$2:$B$400="前面")+(機器台帳!$B$2:$B$400="両面")&gt;0)*(機器台帳!$F$2:$F$400&lt;&gt;"")*(機器台帳!$C$2:$C$400&lt;=34)*(機器台帳!$C$2:$C$400+機器台帳!$D$2:$D$400-1&gt;=34),0),0))&amp;IF(INDEX(機器台帳!$G$2:$G$400,MATCH(1,INDEX((機器台帳!$A$2:$A$400="E24-S6-1")*((機器台帳!$B$2:$B$400="前面")+(機器台帳!$B$2:$B$400="両面")&gt;0)*(機器台帳!$F$2:$F$400&lt;&gt;"")*(機器台帳!$C$2:$C$400&lt;=34)*(機器台帳!$C$2:$C$400+機器台帳!$D$2:$D$400-1&gt;=34),0),0))=""," "," "&amp;INDEX(機器台帳!$G$2:$G$400,MATCH(1,INDEX((機器台帳!$A$2:$A$400="E24-S6-1")*((機器台帳!$B$2:$B$400="前面")+(機器台帳!$B$2:$B$400="両面")&gt;0)*(機器台帳!$F$2:$F$400&lt;&gt;"")*(機器台帳!$C$2:$C$400&lt;=34)*(機器台帳!$C$2:$C$400+機器台帳!$D$2:$D$400-1&gt;=34),0),0)))&amp;IF(SUMPRODUCT((機器台帳!$A$2:$A$400="E24-S6-1")*((機器台帳!$B$2:$B$400="前面")+(機器台帳!$B$2:$B$400="両面")&gt;0)*(機器台帳!$F$2:$F$400&lt;&gt;"")*(機器台帳!$C$2:$C$400&lt;=34)*(機器台帳!$C$2:$C$400+機器台帳!$D$2:$D$400-1&gt;=34))&gt;1," 他"&amp;(SUMPRODUCT((機器台帳!$A$2:$A$400="E24-S6-1")*((機器台帳!$B$2:$B$400="前面")+(機器台帳!$B$2:$B$400="両面")&gt;0)*(機器台帳!$F$2:$F$400&lt;&gt;"")*(機器台帳!$C$2:$C$400&lt;=34)*(機器台帳!$C$2:$C$400+機器台帳!$D$2:$D$400-1&gt;=34))-1)&amp;"台",""))</f>
        <v/>
      </c>
      <c r="W17">
        <f>IF(SUMPRODUCT((機器台帳!$A$2:$A$400="E24-S6-1")*((機器台帳!$B$2:$B$400="前面")+(機器台帳!$B$2:$B$400="両面")&gt;0)*(機器台帳!$F$2:$F$400&lt;&gt;"")*(機器台帳!$C$2:$C$400&lt;=34)*(機器台帳!$C$2:$C$400+機器台帳!$D$2:$D$400-1&gt;=34))=0,"",INDEX(機器台帳!$I$2:$I$400,MATCH(1,INDEX((機器台帳!$A$2:$A$400="E24-S6-1")*((機器台帳!$B$2:$B$400="前面")+(機器台帳!$B$2:$B$400="両面")&gt;0)*(機器台帳!$F$2:$F$400&lt;&gt;"")*(機器台帳!$C$2:$C$400&lt;=34)*(機器台帳!$C$2:$C$400+機器台帳!$D$2:$D$400-1&gt;=34),0),0))&amp;IF(INDEX(機器台帳!$Y$2:$Y$400,MATCH(1,INDEX((機器台帳!$A$2:$A$400="E24-S6-1")*((機器台帳!$B$2:$B$400="前面")+(機器台帳!$B$2:$B$400="両面")&gt;0)*(機器台帳!$F$2:$F$400&lt;&gt;"")*(機器台帳!$C$2:$C$400&lt;=34)*(機器台帳!$C$2:$C$400+機器台帳!$D$2:$D$400-1&gt;=34),0),0))=0,"|未記入",""))</f>
        <v/>
      </c>
      <c r="X17" s="12">
        <f>IF(SUMPRODUCT((機器台帳!$A$2:$A$400="E24-S6-1")*((機器台帳!$B$2:$B$400="背面")+(機器台帳!$B$2:$B$400="両面")&gt;0)*(機器台帳!$F$2:$F$400&lt;&gt;"")*(機器台帳!$C$2:$C$400&lt;=34)*(機器台帳!$C$2:$C$400+機器台帳!$D$2:$D$400-1&gt;=34))=0,"",INDEX(機器台帳!$F$2:$F$400,MATCH(1,INDEX((機器台帳!$A$2:$A$400="E24-S6-1")*((機器台帳!$B$2:$B$400="背面")+(機器台帳!$B$2:$B$400="両面")&gt;0)*(機器台帳!$F$2:$F$400&lt;&gt;"")*(機器台帳!$C$2:$C$400&lt;=34)*(機器台帳!$C$2:$C$400+機器台帳!$D$2:$D$400-1&gt;=34),0),0))&amp;IF(INDEX(機器台帳!$G$2:$G$400,MATCH(1,INDEX((機器台帳!$A$2:$A$400="E24-S6-1")*((機器台帳!$B$2:$B$400="背面")+(機器台帳!$B$2:$B$400="両面")&gt;0)*(機器台帳!$F$2:$F$400&lt;&gt;"")*(機器台帳!$C$2:$C$400&lt;=34)*(機器台帳!$C$2:$C$400+機器台帳!$D$2:$D$400-1&gt;=34),0),0))=""," "," "&amp;INDEX(機器台帳!$G$2:$G$400,MATCH(1,INDEX((機器台帳!$A$2:$A$400="E24-S6-1")*((機器台帳!$B$2:$B$400="背面")+(機器台帳!$B$2:$B$400="両面")&gt;0)*(機器台帳!$F$2:$F$400&lt;&gt;"")*(機器台帳!$C$2:$C$400&lt;=34)*(機器台帳!$C$2:$C$400+機器台帳!$D$2:$D$400-1&gt;=34),0),0)))&amp;IF(SUMPRODUCT((機器台帳!$A$2:$A$400="E24-S6-1")*((機器台帳!$B$2:$B$400="背面")+(機器台帳!$B$2:$B$400="両面")&gt;0)*(機器台帳!$F$2:$F$400&lt;&gt;"")*(機器台帳!$C$2:$C$400&lt;=34)*(機器台帳!$C$2:$C$400+機器台帳!$D$2:$D$400-1&gt;=34))&gt;1," 他"&amp;(SUMPRODUCT((機器台帳!$A$2:$A$400="E24-S6-1")*((機器台帳!$B$2:$B$400="背面")+(機器台帳!$B$2:$B$400="両面")&gt;0)*(機器台帳!$F$2:$F$400&lt;&gt;"")*(機器台帳!$C$2:$C$400&lt;=34)*(機器台帳!$C$2:$C$400+機器台帳!$D$2:$D$400-1&gt;=34))-1)&amp;"台",""))</f>
        <v/>
      </c>
      <c r="Y17">
        <f>IF(SUMPRODUCT((機器台帳!$A$2:$A$400="E24-S6-1")*((機器台帳!$B$2:$B$400="背面")+(機器台帳!$B$2:$B$400="両面")&gt;0)*(機器台帳!$F$2:$F$400&lt;&gt;"")*(機器台帳!$C$2:$C$400&lt;=34)*(機器台帳!$C$2:$C$400+機器台帳!$D$2:$D$400-1&gt;=34))=0,"",INDEX(機器台帳!$I$2:$I$400,MATCH(1,INDEX((機器台帳!$A$2:$A$400="E24-S6-1")*((機器台帳!$B$2:$B$400="背面")+(機器台帳!$B$2:$B$400="両面")&gt;0)*(機器台帳!$F$2:$F$400&lt;&gt;"")*(機器台帳!$C$2:$C$400&lt;=34)*(機器台帳!$C$2:$C$400+機器台帳!$D$2:$D$400-1&gt;=34),0),0))&amp;IF(INDEX(機器台帳!$Y$2:$Y$400,MATCH(1,INDEX((機器台帳!$A$2:$A$400="E24-S6-1")*((機器台帳!$B$2:$B$400="背面")+(機器台帳!$B$2:$B$400="両面")&gt;0)*(機器台帳!$F$2:$F$400&lt;&gt;"")*(機器台帳!$C$2:$C$400&lt;=34)*(機器台帳!$C$2:$C$400+機器台帳!$D$2:$D$400-1&gt;=34),0),0))=0,"|未記入",""))</f>
        <v/>
      </c>
    </row>
    <row r="18">
      <c r="A18" s="11" t="n">
        <v>33</v>
      </c>
      <c r="B18" s="12">
        <f>IF(SUMPRODUCT((機器台帳!$A$2:$A$400="E24-S8-1")*((機器台帳!$B$2:$B$400="前面")+(機器台帳!$B$2:$B$400="両面")&gt;0)*(機器台帳!$F$2:$F$400&lt;&gt;"")*(機器台帳!$C$2:$C$400&lt;=33)*(機器台帳!$C$2:$C$400+機器台帳!$D$2:$D$400-1&gt;=33))=0,"",INDEX(機器台帳!$F$2:$F$400,MATCH(1,INDEX((機器台帳!$A$2:$A$400="E24-S8-1")*((機器台帳!$B$2:$B$400="前面")+(機器台帳!$B$2:$B$400="両面")&gt;0)*(機器台帳!$F$2:$F$400&lt;&gt;"")*(機器台帳!$C$2:$C$400&lt;=33)*(機器台帳!$C$2:$C$400+機器台帳!$D$2:$D$400-1&gt;=33),0),0))&amp;IF(INDEX(機器台帳!$G$2:$G$400,MATCH(1,INDEX((機器台帳!$A$2:$A$400="E24-S8-1")*((機器台帳!$B$2:$B$400="前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-1")*((機器台帳!$B$2:$B$400="前面")+(機器台帳!$B$2:$B$400="両面")&gt;0)*(機器台帳!$F$2:$F$400&lt;&gt;"")*(機器台帳!$C$2:$C$400&lt;=33)*(機器台帳!$C$2:$C$400+機器台帳!$D$2:$D$400-1&gt;=33),0),0)))&amp;IF(SUMPRODUCT((機器台帳!$A$2:$A$400="E24-S8-1")*((機器台帳!$B$2:$B$400="前面")+(機器台帳!$B$2:$B$400="両面")&gt;0)*(機器台帳!$F$2:$F$400&lt;&gt;"")*(機器台帳!$C$2:$C$400&lt;=33)*(機器台帳!$C$2:$C$400+機器台帳!$D$2:$D$400-1&gt;=33))&gt;1," 他"&amp;(SUMPRODUCT((機器台帳!$A$2:$A$400="E24-S8-1")*((機器台帳!$B$2:$B$400="前面")+(機器台帳!$B$2:$B$400="両面")&gt;0)*(機器台帳!$F$2:$F$400&lt;&gt;"")*(機器台帳!$C$2:$C$400&lt;=33)*(機器台帳!$C$2:$C$400+機器台帳!$D$2:$D$400-1&gt;=33))-1)&amp;"台",""))</f>
        <v/>
      </c>
      <c r="C18">
        <f>IF(SUMPRODUCT((機器台帳!$A$2:$A$400="E24-S8-1")*((機器台帳!$B$2:$B$400="前面")+(機器台帳!$B$2:$B$400="両面")&gt;0)*(機器台帳!$F$2:$F$400&lt;&gt;"")*(機器台帳!$C$2:$C$400&lt;=33)*(機器台帳!$C$2:$C$400+機器台帳!$D$2:$D$400-1&gt;=33))=0,"",INDEX(機器台帳!$I$2:$I$400,MATCH(1,INDEX((機器台帳!$A$2:$A$400="E24-S8-1")*((機器台帳!$B$2:$B$400="前面")+(機器台帳!$B$2:$B$400="両面")&gt;0)*(機器台帳!$F$2:$F$400&lt;&gt;"")*(機器台帳!$C$2:$C$400&lt;=33)*(機器台帳!$C$2:$C$400+機器台帳!$D$2:$D$400-1&gt;=33),0),0))&amp;IF(INDEX(機器台帳!$Y$2:$Y$400,MATCH(1,INDEX((機器台帳!$A$2:$A$400="E24-S8-1")*((機器台帳!$B$2:$B$400="前面")+(機器台帳!$B$2:$B$400="両面")&gt;0)*(機器台帳!$F$2:$F$400&lt;&gt;"")*(機器台帳!$C$2:$C$400&lt;=33)*(機器台帳!$C$2:$C$400+機器台帳!$D$2:$D$400-1&gt;=33),0),0))=0,"|未記入",""))</f>
        <v/>
      </c>
      <c r="D18" s="12">
        <f>IF(SUMPRODUCT((機器台帳!$A$2:$A$400="E24-S8-1")*((機器台帳!$B$2:$B$400="背面")+(機器台帳!$B$2:$B$400="両面")&gt;0)*(機器台帳!$F$2:$F$400&lt;&gt;"")*(機器台帳!$C$2:$C$400&lt;=33)*(機器台帳!$C$2:$C$400+機器台帳!$D$2:$D$400-1&gt;=33))=0,"",INDEX(機器台帳!$F$2:$F$400,MATCH(1,INDEX((機器台帳!$A$2:$A$400="E24-S8-1")*((機器台帳!$B$2:$B$400="背面")+(機器台帳!$B$2:$B$400="両面")&gt;0)*(機器台帳!$F$2:$F$400&lt;&gt;"")*(機器台帳!$C$2:$C$400&lt;=33)*(機器台帳!$C$2:$C$400+機器台帳!$D$2:$D$400-1&gt;=33),0),0))&amp;IF(INDEX(機器台帳!$G$2:$G$400,MATCH(1,INDEX((機器台帳!$A$2:$A$400="E24-S8-1")*((機器台帳!$B$2:$B$400="背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-1")*((機器台帳!$B$2:$B$400="背面")+(機器台帳!$B$2:$B$400="両面")&gt;0)*(機器台帳!$F$2:$F$400&lt;&gt;"")*(機器台帳!$C$2:$C$400&lt;=33)*(機器台帳!$C$2:$C$400+機器台帳!$D$2:$D$400-1&gt;=33),0),0)))&amp;IF(SUMPRODUCT((機器台帳!$A$2:$A$400="E24-S8-1")*((機器台帳!$B$2:$B$400="背面")+(機器台帳!$B$2:$B$400="両面")&gt;0)*(機器台帳!$F$2:$F$400&lt;&gt;"")*(機器台帳!$C$2:$C$400&lt;=33)*(機器台帳!$C$2:$C$400+機器台帳!$D$2:$D$400-1&gt;=33))&gt;1," 他"&amp;(SUMPRODUCT((機器台帳!$A$2:$A$400="E24-S8-1")*((機器台帳!$B$2:$B$400="背面")+(機器台帳!$B$2:$B$400="両面")&gt;0)*(機器台帳!$F$2:$F$400&lt;&gt;"")*(機器台帳!$C$2:$C$400&lt;=33)*(機器台帳!$C$2:$C$400+機器台帳!$D$2:$D$400-1&gt;=33))-1)&amp;"台",""))</f>
        <v/>
      </c>
      <c r="E18">
        <f>IF(SUMPRODUCT((機器台帳!$A$2:$A$400="E24-S8-1")*((機器台帳!$B$2:$B$400="背面")+(機器台帳!$B$2:$B$400="両面")&gt;0)*(機器台帳!$F$2:$F$400&lt;&gt;"")*(機器台帳!$C$2:$C$400&lt;=33)*(機器台帳!$C$2:$C$400+機器台帳!$D$2:$D$400-1&gt;=33))=0,"",INDEX(機器台帳!$I$2:$I$400,MATCH(1,INDEX((機器台帳!$A$2:$A$400="E24-S8-1")*((機器台帳!$B$2:$B$400="背面")+(機器台帳!$B$2:$B$400="両面")&gt;0)*(機器台帳!$F$2:$F$400&lt;&gt;"")*(機器台帳!$C$2:$C$400&lt;=33)*(機器台帳!$C$2:$C$400+機器台帳!$D$2:$D$400-1&gt;=33),0),0))&amp;IF(INDEX(機器台帳!$Y$2:$Y$400,MATCH(1,INDEX((機器台帳!$A$2:$A$400="E24-S8-1")*((機器台帳!$B$2:$B$400="背面")+(機器台帳!$B$2:$B$400="両面")&gt;0)*(機器台帳!$F$2:$F$400&lt;&gt;"")*(機器台帳!$C$2:$C$400&lt;=33)*(機器台帳!$C$2:$C$400+機器台帳!$D$2:$D$400-1&gt;=33),0),0))=0,"|未記入",""))</f>
        <v/>
      </c>
      <c r="F18" s="12">
        <f>IF(SUMPRODUCT((機器台帳!$A$2:$A$400="E24-S8-2")*((機器台帳!$B$2:$B$400="前面")+(機器台帳!$B$2:$B$400="両面")&gt;0)*(機器台帳!$F$2:$F$400&lt;&gt;"")*(機器台帳!$C$2:$C$400&lt;=33)*(機器台帳!$C$2:$C$400+機器台帳!$D$2:$D$400-1&gt;=33))=0,"",INDEX(機器台帳!$F$2:$F$400,MATCH(1,INDEX((機器台帳!$A$2:$A$400="E24-S8-2")*((機器台帳!$B$2:$B$400="前面")+(機器台帳!$B$2:$B$400="両面")&gt;0)*(機器台帳!$F$2:$F$400&lt;&gt;"")*(機器台帳!$C$2:$C$400&lt;=33)*(機器台帳!$C$2:$C$400+機器台帳!$D$2:$D$400-1&gt;=33),0),0))&amp;IF(INDEX(機器台帳!$G$2:$G$400,MATCH(1,INDEX((機器台帳!$A$2:$A$400="E24-S8-2")*((機器台帳!$B$2:$B$400="前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-2")*((機器台帳!$B$2:$B$400="前面")+(機器台帳!$B$2:$B$400="両面")&gt;0)*(機器台帳!$F$2:$F$400&lt;&gt;"")*(機器台帳!$C$2:$C$400&lt;=33)*(機器台帳!$C$2:$C$400+機器台帳!$D$2:$D$400-1&gt;=33),0),0)))&amp;IF(SUMPRODUCT((機器台帳!$A$2:$A$400="E24-S8-2")*((機器台帳!$B$2:$B$400="前面")+(機器台帳!$B$2:$B$400="両面")&gt;0)*(機器台帳!$F$2:$F$400&lt;&gt;"")*(機器台帳!$C$2:$C$400&lt;=33)*(機器台帳!$C$2:$C$400+機器台帳!$D$2:$D$400-1&gt;=33))&gt;1," 他"&amp;(SUMPRODUCT((機器台帳!$A$2:$A$400="E24-S8-2")*((機器台帳!$B$2:$B$400="前面")+(機器台帳!$B$2:$B$400="両面")&gt;0)*(機器台帳!$F$2:$F$400&lt;&gt;"")*(機器台帳!$C$2:$C$400&lt;=33)*(機器台帳!$C$2:$C$400+機器台帳!$D$2:$D$400-1&gt;=33))-1)&amp;"台",""))</f>
        <v/>
      </c>
      <c r="G18">
        <f>IF(SUMPRODUCT((機器台帳!$A$2:$A$400="E24-S8-2")*((機器台帳!$B$2:$B$400="前面")+(機器台帳!$B$2:$B$400="両面")&gt;0)*(機器台帳!$F$2:$F$400&lt;&gt;"")*(機器台帳!$C$2:$C$400&lt;=33)*(機器台帳!$C$2:$C$400+機器台帳!$D$2:$D$400-1&gt;=33))=0,"",INDEX(機器台帳!$I$2:$I$400,MATCH(1,INDEX((機器台帳!$A$2:$A$400="E24-S8-2")*((機器台帳!$B$2:$B$400="前面")+(機器台帳!$B$2:$B$400="両面")&gt;0)*(機器台帳!$F$2:$F$400&lt;&gt;"")*(機器台帳!$C$2:$C$400&lt;=33)*(機器台帳!$C$2:$C$400+機器台帳!$D$2:$D$400-1&gt;=33),0),0))&amp;IF(INDEX(機器台帳!$Y$2:$Y$400,MATCH(1,INDEX((機器台帳!$A$2:$A$400="E24-S8-2")*((機器台帳!$B$2:$B$400="前面")+(機器台帳!$B$2:$B$400="両面")&gt;0)*(機器台帳!$F$2:$F$400&lt;&gt;"")*(機器台帳!$C$2:$C$400&lt;=33)*(機器台帳!$C$2:$C$400+機器台帳!$D$2:$D$400-1&gt;=33),0),0))=0,"|未記入",""))</f>
        <v/>
      </c>
      <c r="H18" s="12">
        <f>IF(SUMPRODUCT((機器台帳!$A$2:$A$400="E24-S8-2")*((機器台帳!$B$2:$B$400="背面")+(機器台帳!$B$2:$B$400="両面")&gt;0)*(機器台帳!$F$2:$F$400&lt;&gt;"")*(機器台帳!$C$2:$C$400&lt;=33)*(機器台帳!$C$2:$C$400+機器台帳!$D$2:$D$400-1&gt;=33))=0,"",INDEX(機器台帳!$F$2:$F$400,MATCH(1,INDEX((機器台帳!$A$2:$A$400="E24-S8-2")*((機器台帳!$B$2:$B$400="背面")+(機器台帳!$B$2:$B$400="両面")&gt;0)*(機器台帳!$F$2:$F$400&lt;&gt;"")*(機器台帳!$C$2:$C$400&lt;=33)*(機器台帳!$C$2:$C$400+機器台帳!$D$2:$D$400-1&gt;=33),0),0))&amp;IF(INDEX(機器台帳!$G$2:$G$400,MATCH(1,INDEX((機器台帳!$A$2:$A$400="E24-S8-2")*((機器台帳!$B$2:$B$400="背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-2")*((機器台帳!$B$2:$B$400="背面")+(機器台帳!$B$2:$B$400="両面")&gt;0)*(機器台帳!$F$2:$F$400&lt;&gt;"")*(機器台帳!$C$2:$C$400&lt;=33)*(機器台帳!$C$2:$C$400+機器台帳!$D$2:$D$400-1&gt;=33),0),0)))&amp;IF(SUMPRODUCT((機器台帳!$A$2:$A$400="E24-S8-2")*((機器台帳!$B$2:$B$400="背面")+(機器台帳!$B$2:$B$400="両面")&gt;0)*(機器台帳!$F$2:$F$400&lt;&gt;"")*(機器台帳!$C$2:$C$400&lt;=33)*(機器台帳!$C$2:$C$400+機器台帳!$D$2:$D$400-1&gt;=33))&gt;1," 他"&amp;(SUMPRODUCT((機器台帳!$A$2:$A$400="E24-S8-2")*((機器台帳!$B$2:$B$400="背面")+(機器台帳!$B$2:$B$400="両面")&gt;0)*(機器台帳!$F$2:$F$400&lt;&gt;"")*(機器台帳!$C$2:$C$400&lt;=33)*(機器台帳!$C$2:$C$400+機器台帳!$D$2:$D$400-1&gt;=33))-1)&amp;"台",""))</f>
        <v/>
      </c>
      <c r="I18">
        <f>IF(SUMPRODUCT((機器台帳!$A$2:$A$400="E24-S8-2")*((機器台帳!$B$2:$B$400="背面")+(機器台帳!$B$2:$B$400="両面")&gt;0)*(機器台帳!$F$2:$F$400&lt;&gt;"")*(機器台帳!$C$2:$C$400&lt;=33)*(機器台帳!$C$2:$C$400+機器台帳!$D$2:$D$400-1&gt;=33))=0,"",INDEX(機器台帳!$I$2:$I$400,MATCH(1,INDEX((機器台帳!$A$2:$A$400="E24-S8-2")*((機器台帳!$B$2:$B$400="背面")+(機器台帳!$B$2:$B$400="両面")&gt;0)*(機器台帳!$F$2:$F$400&lt;&gt;"")*(機器台帳!$C$2:$C$400&lt;=33)*(機器台帳!$C$2:$C$400+機器台帳!$D$2:$D$400-1&gt;=33),0),0))&amp;IF(INDEX(機器台帳!$Y$2:$Y$400,MATCH(1,INDEX((機器台帳!$A$2:$A$400="E24-S8-2")*((機器台帳!$B$2:$B$400="背面")+(機器台帳!$B$2:$B$400="両面")&gt;0)*(機器台帳!$F$2:$F$400&lt;&gt;"")*(機器台帳!$C$2:$C$400&lt;=33)*(機器台帳!$C$2:$C$400+機器台帳!$D$2:$D$400-1&gt;=33),0),0))=0,"|未記入",""))</f>
        <v/>
      </c>
      <c r="J18" s="12">
        <f>IF(SUMPRODUCT((機器台帳!$A$2:$A$400="E24-S8-3")*((機器台帳!$B$2:$B$400="前面")+(機器台帳!$B$2:$B$400="両面")&gt;0)*(機器台帳!$F$2:$F$400&lt;&gt;"")*(機器台帳!$C$2:$C$400&lt;=33)*(機器台帳!$C$2:$C$400+機器台帳!$D$2:$D$400-1&gt;=33))=0,"",INDEX(機器台帳!$F$2:$F$400,MATCH(1,INDEX((機器台帳!$A$2:$A$400="E24-S8-3")*((機器台帳!$B$2:$B$400="前面")+(機器台帳!$B$2:$B$400="両面")&gt;0)*(機器台帳!$F$2:$F$400&lt;&gt;"")*(機器台帳!$C$2:$C$400&lt;=33)*(機器台帳!$C$2:$C$400+機器台帳!$D$2:$D$400-1&gt;=33),0),0))&amp;IF(INDEX(機器台帳!$G$2:$G$400,MATCH(1,INDEX((機器台帳!$A$2:$A$400="E24-S8-3")*((機器台帳!$B$2:$B$400="前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-3")*((機器台帳!$B$2:$B$400="前面")+(機器台帳!$B$2:$B$400="両面")&gt;0)*(機器台帳!$F$2:$F$400&lt;&gt;"")*(機器台帳!$C$2:$C$400&lt;=33)*(機器台帳!$C$2:$C$400+機器台帳!$D$2:$D$400-1&gt;=33),0),0)))&amp;IF(SUMPRODUCT((機器台帳!$A$2:$A$400="E24-S8-3")*((機器台帳!$B$2:$B$400="前面")+(機器台帳!$B$2:$B$400="両面")&gt;0)*(機器台帳!$F$2:$F$400&lt;&gt;"")*(機器台帳!$C$2:$C$400&lt;=33)*(機器台帳!$C$2:$C$400+機器台帳!$D$2:$D$400-1&gt;=33))&gt;1," 他"&amp;(SUMPRODUCT((機器台帳!$A$2:$A$400="E24-S8-3")*((機器台帳!$B$2:$B$400="前面")+(機器台帳!$B$2:$B$400="両面")&gt;0)*(機器台帳!$F$2:$F$400&lt;&gt;"")*(機器台帳!$C$2:$C$400&lt;=33)*(機器台帳!$C$2:$C$400+機器台帳!$D$2:$D$400-1&gt;=33))-1)&amp;"台",""))</f>
        <v/>
      </c>
      <c r="K18">
        <f>IF(SUMPRODUCT((機器台帳!$A$2:$A$400="E24-S8-3")*((機器台帳!$B$2:$B$400="前面")+(機器台帳!$B$2:$B$400="両面")&gt;0)*(機器台帳!$F$2:$F$400&lt;&gt;"")*(機器台帳!$C$2:$C$400&lt;=33)*(機器台帳!$C$2:$C$400+機器台帳!$D$2:$D$400-1&gt;=33))=0,"",INDEX(機器台帳!$I$2:$I$400,MATCH(1,INDEX((機器台帳!$A$2:$A$400="E24-S8-3")*((機器台帳!$B$2:$B$400="前面")+(機器台帳!$B$2:$B$400="両面")&gt;0)*(機器台帳!$F$2:$F$400&lt;&gt;"")*(機器台帳!$C$2:$C$400&lt;=33)*(機器台帳!$C$2:$C$400+機器台帳!$D$2:$D$400-1&gt;=33),0),0))&amp;IF(INDEX(機器台帳!$Y$2:$Y$400,MATCH(1,INDEX((機器台帳!$A$2:$A$400="E24-S8-3")*((機器台帳!$B$2:$B$400="前面")+(機器台帳!$B$2:$B$400="両面")&gt;0)*(機器台帳!$F$2:$F$400&lt;&gt;"")*(機器台帳!$C$2:$C$400&lt;=33)*(機器台帳!$C$2:$C$400+機器台帳!$D$2:$D$400-1&gt;=33),0),0))=0,"|未記入",""))</f>
        <v/>
      </c>
      <c r="L18" s="12">
        <f>IF(SUMPRODUCT((機器台帳!$A$2:$A$400="E24-S8-3")*((機器台帳!$B$2:$B$400="背面")+(機器台帳!$B$2:$B$400="両面")&gt;0)*(機器台帳!$F$2:$F$400&lt;&gt;"")*(機器台帳!$C$2:$C$400&lt;=33)*(機器台帳!$C$2:$C$400+機器台帳!$D$2:$D$400-1&gt;=33))=0,"",INDEX(機器台帳!$F$2:$F$400,MATCH(1,INDEX((機器台帳!$A$2:$A$400="E24-S8-3")*((機器台帳!$B$2:$B$400="背面")+(機器台帳!$B$2:$B$400="両面")&gt;0)*(機器台帳!$F$2:$F$400&lt;&gt;"")*(機器台帳!$C$2:$C$400&lt;=33)*(機器台帳!$C$2:$C$400+機器台帳!$D$2:$D$400-1&gt;=33),0),0))&amp;IF(INDEX(機器台帳!$G$2:$G$400,MATCH(1,INDEX((機器台帳!$A$2:$A$400="E24-S8-3")*((機器台帳!$B$2:$B$400="背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-3")*((機器台帳!$B$2:$B$400="背面")+(機器台帳!$B$2:$B$400="両面")&gt;0)*(機器台帳!$F$2:$F$400&lt;&gt;"")*(機器台帳!$C$2:$C$400&lt;=33)*(機器台帳!$C$2:$C$400+機器台帳!$D$2:$D$400-1&gt;=33),0),0)))&amp;IF(SUMPRODUCT((機器台帳!$A$2:$A$400="E24-S8-3")*((機器台帳!$B$2:$B$400="背面")+(機器台帳!$B$2:$B$400="両面")&gt;0)*(機器台帳!$F$2:$F$400&lt;&gt;"")*(機器台帳!$C$2:$C$400&lt;=33)*(機器台帳!$C$2:$C$400+機器台帳!$D$2:$D$400-1&gt;=33))&gt;1," 他"&amp;(SUMPRODUCT((機器台帳!$A$2:$A$400="E24-S8-3")*((機器台帳!$B$2:$B$400="背面")+(機器台帳!$B$2:$B$400="両面")&gt;0)*(機器台帳!$F$2:$F$400&lt;&gt;"")*(機器台帳!$C$2:$C$400&lt;=33)*(機器台帳!$C$2:$C$400+機器台帳!$D$2:$D$400-1&gt;=33))-1)&amp;"台",""))</f>
        <v/>
      </c>
      <c r="M18">
        <f>IF(SUMPRODUCT((機器台帳!$A$2:$A$400="E24-S8-3")*((機器台帳!$B$2:$B$400="背面")+(機器台帳!$B$2:$B$400="両面")&gt;0)*(機器台帳!$F$2:$F$400&lt;&gt;"")*(機器台帳!$C$2:$C$400&lt;=33)*(機器台帳!$C$2:$C$400+機器台帳!$D$2:$D$400-1&gt;=33))=0,"",INDEX(機器台帳!$I$2:$I$400,MATCH(1,INDEX((機器台帳!$A$2:$A$400="E24-S8-3")*((機器台帳!$B$2:$B$400="背面")+(機器台帳!$B$2:$B$400="両面")&gt;0)*(機器台帳!$F$2:$F$400&lt;&gt;"")*(機器台帳!$C$2:$C$400&lt;=33)*(機器台帳!$C$2:$C$400+機器台帳!$D$2:$D$400-1&gt;=33),0),0))&amp;IF(INDEX(機器台帳!$Y$2:$Y$400,MATCH(1,INDEX((機器台帳!$A$2:$A$400="E24-S8-3")*((機器台帳!$B$2:$B$400="背面")+(機器台帳!$B$2:$B$400="両面")&gt;0)*(機器台帳!$F$2:$F$400&lt;&gt;"")*(機器台帳!$C$2:$C$400&lt;=33)*(機器台帳!$C$2:$C$400+機器台帳!$D$2:$D$400-1&gt;=33),0),0))=0,"|未記入",""))</f>
        <v/>
      </c>
      <c r="N18" s="12">
        <f>IF(SUMPRODUCT((機器台帳!$A$2:$A$400="E24-S8-4")*((機器台帳!$B$2:$B$400="前面")+(機器台帳!$B$2:$B$400="両面")&gt;0)*(機器台帳!$F$2:$F$400&lt;&gt;"")*(機器台帳!$C$2:$C$400&lt;=33)*(機器台帳!$C$2:$C$400+機器台帳!$D$2:$D$400-1&gt;=33))=0,"",INDEX(機器台帳!$F$2:$F$400,MATCH(1,INDEX((機器台帳!$A$2:$A$400="E24-S8-4")*((機器台帳!$B$2:$B$400="前面")+(機器台帳!$B$2:$B$400="両面")&gt;0)*(機器台帳!$F$2:$F$400&lt;&gt;"")*(機器台帳!$C$2:$C$400&lt;=33)*(機器台帳!$C$2:$C$400+機器台帳!$D$2:$D$400-1&gt;=33),0),0))&amp;IF(INDEX(機器台帳!$G$2:$G$400,MATCH(1,INDEX((機器台帳!$A$2:$A$400="E24-S8-4")*((機器台帳!$B$2:$B$400="前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-4")*((機器台帳!$B$2:$B$400="前面")+(機器台帳!$B$2:$B$400="両面")&gt;0)*(機器台帳!$F$2:$F$400&lt;&gt;"")*(機器台帳!$C$2:$C$400&lt;=33)*(機器台帳!$C$2:$C$400+機器台帳!$D$2:$D$400-1&gt;=33),0),0)))&amp;IF(SUMPRODUCT((機器台帳!$A$2:$A$400="E24-S8-4")*((機器台帳!$B$2:$B$400="前面")+(機器台帳!$B$2:$B$400="両面")&gt;0)*(機器台帳!$F$2:$F$400&lt;&gt;"")*(機器台帳!$C$2:$C$400&lt;=33)*(機器台帳!$C$2:$C$400+機器台帳!$D$2:$D$400-1&gt;=33))&gt;1," 他"&amp;(SUMPRODUCT((機器台帳!$A$2:$A$400="E24-S8-4")*((機器台帳!$B$2:$B$400="前面")+(機器台帳!$B$2:$B$400="両面")&gt;0)*(機器台帳!$F$2:$F$400&lt;&gt;"")*(機器台帳!$C$2:$C$400&lt;=33)*(機器台帳!$C$2:$C$400+機器台帳!$D$2:$D$400-1&gt;=33))-1)&amp;"台",""))</f>
        <v/>
      </c>
      <c r="O18">
        <f>IF(SUMPRODUCT((機器台帳!$A$2:$A$400="E24-S8-4")*((機器台帳!$B$2:$B$400="前面")+(機器台帳!$B$2:$B$400="両面")&gt;0)*(機器台帳!$F$2:$F$400&lt;&gt;"")*(機器台帳!$C$2:$C$400&lt;=33)*(機器台帳!$C$2:$C$400+機器台帳!$D$2:$D$400-1&gt;=33))=0,"",INDEX(機器台帳!$I$2:$I$400,MATCH(1,INDEX((機器台帳!$A$2:$A$400="E24-S8-4")*((機器台帳!$B$2:$B$400="前面")+(機器台帳!$B$2:$B$400="両面")&gt;0)*(機器台帳!$F$2:$F$400&lt;&gt;"")*(機器台帳!$C$2:$C$400&lt;=33)*(機器台帳!$C$2:$C$400+機器台帳!$D$2:$D$400-1&gt;=33),0),0))&amp;IF(INDEX(機器台帳!$Y$2:$Y$400,MATCH(1,INDEX((機器台帳!$A$2:$A$400="E24-S8-4")*((機器台帳!$B$2:$B$400="前面")+(機器台帳!$B$2:$B$400="両面")&gt;0)*(機器台帳!$F$2:$F$400&lt;&gt;"")*(機器台帳!$C$2:$C$400&lt;=33)*(機器台帳!$C$2:$C$400+機器台帳!$D$2:$D$400-1&gt;=33),0),0))=0,"|未記入",""))</f>
        <v/>
      </c>
      <c r="P18" s="12">
        <f>IF(SUMPRODUCT((機器台帳!$A$2:$A$400="E24-S8-4")*((機器台帳!$B$2:$B$400="背面")+(機器台帳!$B$2:$B$400="両面")&gt;0)*(機器台帳!$F$2:$F$400&lt;&gt;"")*(機器台帳!$C$2:$C$400&lt;=33)*(機器台帳!$C$2:$C$400+機器台帳!$D$2:$D$400-1&gt;=33))=0,"",INDEX(機器台帳!$F$2:$F$400,MATCH(1,INDEX((機器台帳!$A$2:$A$400="E24-S8-4")*((機器台帳!$B$2:$B$400="背面")+(機器台帳!$B$2:$B$400="両面")&gt;0)*(機器台帳!$F$2:$F$400&lt;&gt;"")*(機器台帳!$C$2:$C$400&lt;=33)*(機器台帳!$C$2:$C$400+機器台帳!$D$2:$D$400-1&gt;=33),0),0))&amp;IF(INDEX(機器台帳!$G$2:$G$400,MATCH(1,INDEX((機器台帳!$A$2:$A$400="E24-S8-4")*((機器台帳!$B$2:$B$400="背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-4")*((機器台帳!$B$2:$B$400="背面")+(機器台帳!$B$2:$B$400="両面")&gt;0)*(機器台帳!$F$2:$F$400&lt;&gt;"")*(機器台帳!$C$2:$C$400&lt;=33)*(機器台帳!$C$2:$C$400+機器台帳!$D$2:$D$400-1&gt;=33),0),0)))&amp;IF(SUMPRODUCT((機器台帳!$A$2:$A$400="E24-S8-4")*((機器台帳!$B$2:$B$400="背面")+(機器台帳!$B$2:$B$400="両面")&gt;0)*(機器台帳!$F$2:$F$400&lt;&gt;"")*(機器台帳!$C$2:$C$400&lt;=33)*(機器台帳!$C$2:$C$400+機器台帳!$D$2:$D$400-1&gt;=33))&gt;1," 他"&amp;(SUMPRODUCT((機器台帳!$A$2:$A$400="E24-S8-4")*((機器台帳!$B$2:$B$400="背面")+(機器台帳!$B$2:$B$400="両面")&gt;0)*(機器台帳!$F$2:$F$400&lt;&gt;"")*(機器台帳!$C$2:$C$400&lt;=33)*(機器台帳!$C$2:$C$400+機器台帳!$D$2:$D$400-1&gt;=33))-1)&amp;"台",""))</f>
        <v/>
      </c>
      <c r="Q18">
        <f>IF(SUMPRODUCT((機器台帳!$A$2:$A$400="E24-S8-4")*((機器台帳!$B$2:$B$400="背面")+(機器台帳!$B$2:$B$400="両面")&gt;0)*(機器台帳!$F$2:$F$400&lt;&gt;"")*(機器台帳!$C$2:$C$400&lt;=33)*(機器台帳!$C$2:$C$400+機器台帳!$D$2:$D$400-1&gt;=33))=0,"",INDEX(機器台帳!$I$2:$I$400,MATCH(1,INDEX((機器台帳!$A$2:$A$400="E24-S8-4")*((機器台帳!$B$2:$B$400="背面")+(機器台帳!$B$2:$B$400="両面")&gt;0)*(機器台帳!$F$2:$F$400&lt;&gt;"")*(機器台帳!$C$2:$C$400&lt;=33)*(機器台帳!$C$2:$C$400+機器台帳!$D$2:$D$400-1&gt;=33),0),0))&amp;IF(INDEX(機器台帳!$Y$2:$Y$400,MATCH(1,INDEX((機器台帳!$A$2:$A$400="E24-S8-4")*((機器台帳!$B$2:$B$400="背面")+(機器台帳!$B$2:$B$400="両面")&gt;0)*(機器台帳!$F$2:$F$400&lt;&gt;"")*(機器台帳!$C$2:$C$400&lt;=33)*(機器台帳!$C$2:$C$400+機器台帳!$D$2:$D$400-1&gt;=33),0),0))=0,"|未記入",""))</f>
        <v/>
      </c>
      <c r="R18" s="12">
        <f>IF(SUMPRODUCT((機器台帳!$A$2:$A$400="E24-S8-5")*((機器台帳!$B$2:$B$400="前面")+(機器台帳!$B$2:$B$400="両面")&gt;0)*(機器台帳!$F$2:$F$400&lt;&gt;"")*(機器台帳!$C$2:$C$400&lt;=33)*(機器台帳!$C$2:$C$400+機器台帳!$D$2:$D$400-1&gt;=33))=0,"",INDEX(機器台帳!$F$2:$F$400,MATCH(1,INDEX((機器台帳!$A$2:$A$400="E24-S8-5")*((機器台帳!$B$2:$B$400="前面")+(機器台帳!$B$2:$B$400="両面")&gt;0)*(機器台帳!$F$2:$F$400&lt;&gt;"")*(機器台帳!$C$2:$C$400&lt;=33)*(機器台帳!$C$2:$C$400+機器台帳!$D$2:$D$400-1&gt;=33),0),0))&amp;IF(INDEX(機器台帳!$G$2:$G$400,MATCH(1,INDEX((機器台帳!$A$2:$A$400="E24-S8-5")*((機器台帳!$B$2:$B$400="前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-5")*((機器台帳!$B$2:$B$400="前面")+(機器台帳!$B$2:$B$400="両面")&gt;0)*(機器台帳!$F$2:$F$400&lt;&gt;"")*(機器台帳!$C$2:$C$400&lt;=33)*(機器台帳!$C$2:$C$400+機器台帳!$D$2:$D$400-1&gt;=33),0),0)))&amp;IF(SUMPRODUCT((機器台帳!$A$2:$A$400="E24-S8-5")*((機器台帳!$B$2:$B$400="前面")+(機器台帳!$B$2:$B$400="両面")&gt;0)*(機器台帳!$F$2:$F$400&lt;&gt;"")*(機器台帳!$C$2:$C$400&lt;=33)*(機器台帳!$C$2:$C$400+機器台帳!$D$2:$D$400-1&gt;=33))&gt;1," 他"&amp;(SUMPRODUCT((機器台帳!$A$2:$A$400="E24-S8-5")*((機器台帳!$B$2:$B$400="前面")+(機器台帳!$B$2:$B$400="両面")&gt;0)*(機器台帳!$F$2:$F$400&lt;&gt;"")*(機器台帳!$C$2:$C$400&lt;=33)*(機器台帳!$C$2:$C$400+機器台帳!$D$2:$D$400-1&gt;=33))-1)&amp;"台",""))</f>
        <v/>
      </c>
      <c r="S18">
        <f>IF(SUMPRODUCT((機器台帳!$A$2:$A$400="E24-S8-5")*((機器台帳!$B$2:$B$400="前面")+(機器台帳!$B$2:$B$400="両面")&gt;0)*(機器台帳!$F$2:$F$400&lt;&gt;"")*(機器台帳!$C$2:$C$400&lt;=33)*(機器台帳!$C$2:$C$400+機器台帳!$D$2:$D$400-1&gt;=33))=0,"",INDEX(機器台帳!$I$2:$I$400,MATCH(1,INDEX((機器台帳!$A$2:$A$400="E24-S8-5")*((機器台帳!$B$2:$B$400="前面")+(機器台帳!$B$2:$B$400="両面")&gt;0)*(機器台帳!$F$2:$F$400&lt;&gt;"")*(機器台帳!$C$2:$C$400&lt;=33)*(機器台帳!$C$2:$C$400+機器台帳!$D$2:$D$400-1&gt;=33),0),0))&amp;IF(INDEX(機器台帳!$Y$2:$Y$400,MATCH(1,INDEX((機器台帳!$A$2:$A$400="E24-S8-5")*((機器台帳!$B$2:$B$400="前面")+(機器台帳!$B$2:$B$400="両面")&gt;0)*(機器台帳!$F$2:$F$400&lt;&gt;"")*(機器台帳!$C$2:$C$400&lt;=33)*(機器台帳!$C$2:$C$400+機器台帳!$D$2:$D$400-1&gt;=33),0),0))=0,"|未記入",""))</f>
        <v/>
      </c>
      <c r="T18" s="12">
        <f>IF(SUMPRODUCT((機器台帳!$A$2:$A$400="E24-S8-5")*((機器台帳!$B$2:$B$400="背面")+(機器台帳!$B$2:$B$400="両面")&gt;0)*(機器台帳!$F$2:$F$400&lt;&gt;"")*(機器台帳!$C$2:$C$400&lt;=33)*(機器台帳!$C$2:$C$400+機器台帳!$D$2:$D$400-1&gt;=33))=0,"",INDEX(機器台帳!$F$2:$F$400,MATCH(1,INDEX((機器台帳!$A$2:$A$400="E24-S8-5")*((機器台帳!$B$2:$B$400="背面")+(機器台帳!$B$2:$B$400="両面")&gt;0)*(機器台帳!$F$2:$F$400&lt;&gt;"")*(機器台帳!$C$2:$C$400&lt;=33)*(機器台帳!$C$2:$C$400+機器台帳!$D$2:$D$400-1&gt;=33),0),0))&amp;IF(INDEX(機器台帳!$G$2:$G$400,MATCH(1,INDEX((機器台帳!$A$2:$A$400="E24-S8-5")*((機器台帳!$B$2:$B$400="背面")+(機器台帳!$B$2:$B$400="両面")&gt;0)*(機器台帳!$F$2:$F$400&lt;&gt;"")*(機器台帳!$C$2:$C$400&lt;=33)*(機器台帳!$C$2:$C$400+機器台帳!$D$2:$D$400-1&gt;=33),0),0))=""," "," "&amp;INDEX(機器台帳!$G$2:$G$400,MATCH(1,INDEX((機器台帳!$A$2:$A$400="E24-S8-5")*((機器台帳!$B$2:$B$400="背面")+(機器台帳!$B$2:$B$400="両面")&gt;0)*(機器台帳!$F$2:$F$400&lt;&gt;"")*(機器台帳!$C$2:$C$400&lt;=33)*(機器台帳!$C$2:$C$400+機器台帳!$D$2:$D$400-1&gt;=33),0),0)))&amp;IF(SUMPRODUCT((機器台帳!$A$2:$A$400="E24-S8-5")*((機器台帳!$B$2:$B$400="背面")+(機器台帳!$B$2:$B$400="両面")&gt;0)*(機器台帳!$F$2:$F$400&lt;&gt;"")*(機器台帳!$C$2:$C$400&lt;=33)*(機器台帳!$C$2:$C$400+機器台帳!$D$2:$D$400-1&gt;=33))&gt;1," 他"&amp;(SUMPRODUCT((機器台帳!$A$2:$A$400="E24-S8-5")*((機器台帳!$B$2:$B$400="背面")+(機器台帳!$B$2:$B$400="両面")&gt;0)*(機器台帳!$F$2:$F$400&lt;&gt;"")*(機器台帳!$C$2:$C$400&lt;=33)*(機器台帳!$C$2:$C$400+機器台帳!$D$2:$D$400-1&gt;=33))-1)&amp;"台",""))</f>
        <v/>
      </c>
      <c r="U18">
        <f>IF(SUMPRODUCT((機器台帳!$A$2:$A$400="E24-S8-5")*((機器台帳!$B$2:$B$400="背面")+(機器台帳!$B$2:$B$400="両面")&gt;0)*(機器台帳!$F$2:$F$400&lt;&gt;"")*(機器台帳!$C$2:$C$400&lt;=33)*(機器台帳!$C$2:$C$400+機器台帳!$D$2:$D$400-1&gt;=33))=0,"",INDEX(機器台帳!$I$2:$I$400,MATCH(1,INDEX((機器台帳!$A$2:$A$400="E24-S8-5")*((機器台帳!$B$2:$B$400="背面")+(機器台帳!$B$2:$B$400="両面")&gt;0)*(機器台帳!$F$2:$F$400&lt;&gt;"")*(機器台帳!$C$2:$C$400&lt;=33)*(機器台帳!$C$2:$C$400+機器台帳!$D$2:$D$400-1&gt;=33),0),0))&amp;IF(INDEX(機器台帳!$Y$2:$Y$400,MATCH(1,INDEX((機器台帳!$A$2:$A$400="E24-S8-5")*((機器台帳!$B$2:$B$400="背面")+(機器台帳!$B$2:$B$400="両面")&gt;0)*(機器台帳!$F$2:$F$400&lt;&gt;"")*(機器台帳!$C$2:$C$400&lt;=33)*(機器台帳!$C$2:$C$400+機器台帳!$D$2:$D$400-1&gt;=33),0),0))=0,"|未記入",""))</f>
        <v/>
      </c>
      <c r="V18" s="12">
        <f>IF(SUMPRODUCT((機器台帳!$A$2:$A$400="E24-S6-1")*((機器台帳!$B$2:$B$400="前面")+(機器台帳!$B$2:$B$400="両面")&gt;0)*(機器台帳!$F$2:$F$400&lt;&gt;"")*(機器台帳!$C$2:$C$400&lt;=33)*(機器台帳!$C$2:$C$400+機器台帳!$D$2:$D$400-1&gt;=33))=0,"",INDEX(機器台帳!$F$2:$F$400,MATCH(1,INDEX((機器台帳!$A$2:$A$400="E24-S6-1")*((機器台帳!$B$2:$B$400="前面")+(機器台帳!$B$2:$B$400="両面")&gt;0)*(機器台帳!$F$2:$F$400&lt;&gt;"")*(機器台帳!$C$2:$C$400&lt;=33)*(機器台帳!$C$2:$C$400+機器台帳!$D$2:$D$400-1&gt;=33),0),0))&amp;IF(INDEX(機器台帳!$G$2:$G$400,MATCH(1,INDEX((機器台帳!$A$2:$A$400="E24-S6-1")*((機器台帳!$B$2:$B$400="前面")+(機器台帳!$B$2:$B$400="両面")&gt;0)*(機器台帳!$F$2:$F$400&lt;&gt;"")*(機器台帳!$C$2:$C$400&lt;=33)*(機器台帳!$C$2:$C$400+機器台帳!$D$2:$D$400-1&gt;=33),0),0))=""," "," "&amp;INDEX(機器台帳!$G$2:$G$400,MATCH(1,INDEX((機器台帳!$A$2:$A$400="E24-S6-1")*((機器台帳!$B$2:$B$400="前面")+(機器台帳!$B$2:$B$400="両面")&gt;0)*(機器台帳!$F$2:$F$400&lt;&gt;"")*(機器台帳!$C$2:$C$400&lt;=33)*(機器台帳!$C$2:$C$400+機器台帳!$D$2:$D$400-1&gt;=33),0),0)))&amp;IF(SUMPRODUCT((機器台帳!$A$2:$A$400="E24-S6-1")*((機器台帳!$B$2:$B$400="前面")+(機器台帳!$B$2:$B$400="両面")&gt;0)*(機器台帳!$F$2:$F$400&lt;&gt;"")*(機器台帳!$C$2:$C$400&lt;=33)*(機器台帳!$C$2:$C$400+機器台帳!$D$2:$D$400-1&gt;=33))&gt;1," 他"&amp;(SUMPRODUCT((機器台帳!$A$2:$A$400="E24-S6-1")*((機器台帳!$B$2:$B$400="前面")+(機器台帳!$B$2:$B$400="両面")&gt;0)*(機器台帳!$F$2:$F$400&lt;&gt;"")*(機器台帳!$C$2:$C$400&lt;=33)*(機器台帳!$C$2:$C$400+機器台帳!$D$2:$D$400-1&gt;=33))-1)&amp;"台",""))</f>
        <v/>
      </c>
      <c r="W18">
        <f>IF(SUMPRODUCT((機器台帳!$A$2:$A$400="E24-S6-1")*((機器台帳!$B$2:$B$400="前面")+(機器台帳!$B$2:$B$400="両面")&gt;0)*(機器台帳!$F$2:$F$400&lt;&gt;"")*(機器台帳!$C$2:$C$400&lt;=33)*(機器台帳!$C$2:$C$400+機器台帳!$D$2:$D$400-1&gt;=33))=0,"",INDEX(機器台帳!$I$2:$I$400,MATCH(1,INDEX((機器台帳!$A$2:$A$400="E24-S6-1")*((機器台帳!$B$2:$B$400="前面")+(機器台帳!$B$2:$B$400="両面")&gt;0)*(機器台帳!$F$2:$F$400&lt;&gt;"")*(機器台帳!$C$2:$C$400&lt;=33)*(機器台帳!$C$2:$C$400+機器台帳!$D$2:$D$400-1&gt;=33),0),0))&amp;IF(INDEX(機器台帳!$Y$2:$Y$400,MATCH(1,INDEX((機器台帳!$A$2:$A$400="E24-S6-1")*((機器台帳!$B$2:$B$400="前面")+(機器台帳!$B$2:$B$400="両面")&gt;0)*(機器台帳!$F$2:$F$400&lt;&gt;"")*(機器台帳!$C$2:$C$400&lt;=33)*(機器台帳!$C$2:$C$400+機器台帳!$D$2:$D$400-1&gt;=33),0),0))=0,"|未記入",""))</f>
        <v/>
      </c>
      <c r="X18" s="12">
        <f>IF(SUMPRODUCT((機器台帳!$A$2:$A$400="E24-S6-1")*((機器台帳!$B$2:$B$400="背面")+(機器台帳!$B$2:$B$400="両面")&gt;0)*(機器台帳!$F$2:$F$400&lt;&gt;"")*(機器台帳!$C$2:$C$400&lt;=33)*(機器台帳!$C$2:$C$400+機器台帳!$D$2:$D$400-1&gt;=33))=0,"",INDEX(機器台帳!$F$2:$F$400,MATCH(1,INDEX((機器台帳!$A$2:$A$400="E24-S6-1")*((機器台帳!$B$2:$B$400="背面")+(機器台帳!$B$2:$B$400="両面")&gt;0)*(機器台帳!$F$2:$F$400&lt;&gt;"")*(機器台帳!$C$2:$C$400&lt;=33)*(機器台帳!$C$2:$C$400+機器台帳!$D$2:$D$400-1&gt;=33),0),0))&amp;IF(INDEX(機器台帳!$G$2:$G$400,MATCH(1,INDEX((機器台帳!$A$2:$A$400="E24-S6-1")*((機器台帳!$B$2:$B$400="背面")+(機器台帳!$B$2:$B$400="両面")&gt;0)*(機器台帳!$F$2:$F$400&lt;&gt;"")*(機器台帳!$C$2:$C$400&lt;=33)*(機器台帳!$C$2:$C$400+機器台帳!$D$2:$D$400-1&gt;=33),0),0))=""," "," "&amp;INDEX(機器台帳!$G$2:$G$400,MATCH(1,INDEX((機器台帳!$A$2:$A$400="E24-S6-1")*((機器台帳!$B$2:$B$400="背面")+(機器台帳!$B$2:$B$400="両面")&gt;0)*(機器台帳!$F$2:$F$400&lt;&gt;"")*(機器台帳!$C$2:$C$400&lt;=33)*(機器台帳!$C$2:$C$400+機器台帳!$D$2:$D$400-1&gt;=33),0),0)))&amp;IF(SUMPRODUCT((機器台帳!$A$2:$A$400="E24-S6-1")*((機器台帳!$B$2:$B$400="背面")+(機器台帳!$B$2:$B$400="両面")&gt;0)*(機器台帳!$F$2:$F$400&lt;&gt;"")*(機器台帳!$C$2:$C$400&lt;=33)*(機器台帳!$C$2:$C$400+機器台帳!$D$2:$D$400-1&gt;=33))&gt;1," 他"&amp;(SUMPRODUCT((機器台帳!$A$2:$A$400="E24-S6-1")*((機器台帳!$B$2:$B$400="背面")+(機器台帳!$B$2:$B$400="両面")&gt;0)*(機器台帳!$F$2:$F$400&lt;&gt;"")*(機器台帳!$C$2:$C$400&lt;=33)*(機器台帳!$C$2:$C$400+機器台帳!$D$2:$D$400-1&gt;=33))-1)&amp;"台",""))</f>
        <v/>
      </c>
      <c r="Y18">
        <f>IF(SUMPRODUCT((機器台帳!$A$2:$A$400="E24-S6-1")*((機器台帳!$B$2:$B$400="背面")+(機器台帳!$B$2:$B$400="両面")&gt;0)*(機器台帳!$F$2:$F$400&lt;&gt;"")*(機器台帳!$C$2:$C$400&lt;=33)*(機器台帳!$C$2:$C$400+機器台帳!$D$2:$D$400-1&gt;=33))=0,"",INDEX(機器台帳!$I$2:$I$400,MATCH(1,INDEX((機器台帳!$A$2:$A$400="E24-S6-1")*((機器台帳!$B$2:$B$400="背面")+(機器台帳!$B$2:$B$400="両面")&gt;0)*(機器台帳!$F$2:$F$400&lt;&gt;"")*(機器台帳!$C$2:$C$400&lt;=33)*(機器台帳!$C$2:$C$400+機器台帳!$D$2:$D$400-1&gt;=33),0),0))&amp;IF(INDEX(機器台帳!$Y$2:$Y$400,MATCH(1,INDEX((機器台帳!$A$2:$A$400="E24-S6-1")*((機器台帳!$B$2:$B$400="背面")+(機器台帳!$B$2:$B$400="両面")&gt;0)*(機器台帳!$F$2:$F$400&lt;&gt;"")*(機器台帳!$C$2:$C$400&lt;=33)*(機器台帳!$C$2:$C$400+機器台帳!$D$2:$D$400-1&gt;=33),0),0))=0,"|未記入",""))</f>
        <v/>
      </c>
    </row>
    <row r="19">
      <c r="A19" s="11" t="n">
        <v>32</v>
      </c>
      <c r="B19" s="12">
        <f>IF(SUMPRODUCT((機器台帳!$A$2:$A$400="E24-S8-1")*((機器台帳!$B$2:$B$400="前面")+(機器台帳!$B$2:$B$400="両面")&gt;0)*(機器台帳!$F$2:$F$400&lt;&gt;"")*(機器台帳!$C$2:$C$400&lt;=32)*(機器台帳!$C$2:$C$400+機器台帳!$D$2:$D$400-1&gt;=32))=0,"",INDEX(機器台帳!$F$2:$F$400,MATCH(1,INDEX((機器台帳!$A$2:$A$400="E24-S8-1")*((機器台帳!$B$2:$B$400="前面")+(機器台帳!$B$2:$B$400="両面")&gt;0)*(機器台帳!$F$2:$F$400&lt;&gt;"")*(機器台帳!$C$2:$C$400&lt;=32)*(機器台帳!$C$2:$C$400+機器台帳!$D$2:$D$400-1&gt;=32),0),0))&amp;IF(INDEX(機器台帳!$G$2:$G$400,MATCH(1,INDEX((機器台帳!$A$2:$A$400="E24-S8-1")*((機器台帳!$B$2:$B$400="前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-1")*((機器台帳!$B$2:$B$400="前面")+(機器台帳!$B$2:$B$400="両面")&gt;0)*(機器台帳!$F$2:$F$400&lt;&gt;"")*(機器台帳!$C$2:$C$400&lt;=32)*(機器台帳!$C$2:$C$400+機器台帳!$D$2:$D$400-1&gt;=32),0),0)))&amp;IF(SUMPRODUCT((機器台帳!$A$2:$A$400="E24-S8-1")*((機器台帳!$B$2:$B$400="前面")+(機器台帳!$B$2:$B$400="両面")&gt;0)*(機器台帳!$F$2:$F$400&lt;&gt;"")*(機器台帳!$C$2:$C$400&lt;=32)*(機器台帳!$C$2:$C$400+機器台帳!$D$2:$D$400-1&gt;=32))&gt;1," 他"&amp;(SUMPRODUCT((機器台帳!$A$2:$A$400="E24-S8-1")*((機器台帳!$B$2:$B$400="前面")+(機器台帳!$B$2:$B$400="両面")&gt;0)*(機器台帳!$F$2:$F$400&lt;&gt;"")*(機器台帳!$C$2:$C$400&lt;=32)*(機器台帳!$C$2:$C$400+機器台帳!$D$2:$D$400-1&gt;=32))-1)&amp;"台",""))</f>
        <v/>
      </c>
      <c r="C19">
        <f>IF(SUMPRODUCT((機器台帳!$A$2:$A$400="E24-S8-1")*((機器台帳!$B$2:$B$400="前面")+(機器台帳!$B$2:$B$400="両面")&gt;0)*(機器台帳!$F$2:$F$400&lt;&gt;"")*(機器台帳!$C$2:$C$400&lt;=32)*(機器台帳!$C$2:$C$400+機器台帳!$D$2:$D$400-1&gt;=32))=0,"",INDEX(機器台帳!$I$2:$I$400,MATCH(1,INDEX((機器台帳!$A$2:$A$400="E24-S8-1")*((機器台帳!$B$2:$B$400="前面")+(機器台帳!$B$2:$B$400="両面")&gt;0)*(機器台帳!$F$2:$F$400&lt;&gt;"")*(機器台帳!$C$2:$C$400&lt;=32)*(機器台帳!$C$2:$C$400+機器台帳!$D$2:$D$400-1&gt;=32),0),0))&amp;IF(INDEX(機器台帳!$Y$2:$Y$400,MATCH(1,INDEX((機器台帳!$A$2:$A$400="E24-S8-1")*((機器台帳!$B$2:$B$400="前面")+(機器台帳!$B$2:$B$400="両面")&gt;0)*(機器台帳!$F$2:$F$400&lt;&gt;"")*(機器台帳!$C$2:$C$400&lt;=32)*(機器台帳!$C$2:$C$400+機器台帳!$D$2:$D$400-1&gt;=32),0),0))=0,"|未記入",""))</f>
        <v/>
      </c>
      <c r="D19" s="12">
        <f>IF(SUMPRODUCT((機器台帳!$A$2:$A$400="E24-S8-1")*((機器台帳!$B$2:$B$400="背面")+(機器台帳!$B$2:$B$400="両面")&gt;0)*(機器台帳!$F$2:$F$400&lt;&gt;"")*(機器台帳!$C$2:$C$400&lt;=32)*(機器台帳!$C$2:$C$400+機器台帳!$D$2:$D$400-1&gt;=32))=0,"",INDEX(機器台帳!$F$2:$F$400,MATCH(1,INDEX((機器台帳!$A$2:$A$400="E24-S8-1")*((機器台帳!$B$2:$B$400="背面")+(機器台帳!$B$2:$B$400="両面")&gt;0)*(機器台帳!$F$2:$F$400&lt;&gt;"")*(機器台帳!$C$2:$C$400&lt;=32)*(機器台帳!$C$2:$C$400+機器台帳!$D$2:$D$400-1&gt;=32),0),0))&amp;IF(INDEX(機器台帳!$G$2:$G$400,MATCH(1,INDEX((機器台帳!$A$2:$A$400="E24-S8-1")*((機器台帳!$B$2:$B$400="背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-1")*((機器台帳!$B$2:$B$400="背面")+(機器台帳!$B$2:$B$400="両面")&gt;0)*(機器台帳!$F$2:$F$400&lt;&gt;"")*(機器台帳!$C$2:$C$400&lt;=32)*(機器台帳!$C$2:$C$400+機器台帳!$D$2:$D$400-1&gt;=32),0),0)))&amp;IF(SUMPRODUCT((機器台帳!$A$2:$A$400="E24-S8-1")*((機器台帳!$B$2:$B$400="背面")+(機器台帳!$B$2:$B$400="両面")&gt;0)*(機器台帳!$F$2:$F$400&lt;&gt;"")*(機器台帳!$C$2:$C$400&lt;=32)*(機器台帳!$C$2:$C$400+機器台帳!$D$2:$D$400-1&gt;=32))&gt;1," 他"&amp;(SUMPRODUCT((機器台帳!$A$2:$A$400="E24-S8-1")*((機器台帳!$B$2:$B$400="背面")+(機器台帳!$B$2:$B$400="両面")&gt;0)*(機器台帳!$F$2:$F$400&lt;&gt;"")*(機器台帳!$C$2:$C$400&lt;=32)*(機器台帳!$C$2:$C$400+機器台帳!$D$2:$D$400-1&gt;=32))-1)&amp;"台",""))</f>
        <v/>
      </c>
      <c r="E19">
        <f>IF(SUMPRODUCT((機器台帳!$A$2:$A$400="E24-S8-1")*((機器台帳!$B$2:$B$400="背面")+(機器台帳!$B$2:$B$400="両面")&gt;0)*(機器台帳!$F$2:$F$400&lt;&gt;"")*(機器台帳!$C$2:$C$400&lt;=32)*(機器台帳!$C$2:$C$400+機器台帳!$D$2:$D$400-1&gt;=32))=0,"",INDEX(機器台帳!$I$2:$I$400,MATCH(1,INDEX((機器台帳!$A$2:$A$400="E24-S8-1")*((機器台帳!$B$2:$B$400="背面")+(機器台帳!$B$2:$B$400="両面")&gt;0)*(機器台帳!$F$2:$F$400&lt;&gt;"")*(機器台帳!$C$2:$C$400&lt;=32)*(機器台帳!$C$2:$C$400+機器台帳!$D$2:$D$400-1&gt;=32),0),0))&amp;IF(INDEX(機器台帳!$Y$2:$Y$400,MATCH(1,INDEX((機器台帳!$A$2:$A$400="E24-S8-1")*((機器台帳!$B$2:$B$400="背面")+(機器台帳!$B$2:$B$400="両面")&gt;0)*(機器台帳!$F$2:$F$400&lt;&gt;"")*(機器台帳!$C$2:$C$400&lt;=32)*(機器台帳!$C$2:$C$400+機器台帳!$D$2:$D$400-1&gt;=32),0),0))=0,"|未記入",""))</f>
        <v/>
      </c>
      <c r="F19" s="12">
        <f>IF(SUMPRODUCT((機器台帳!$A$2:$A$400="E24-S8-2")*((機器台帳!$B$2:$B$400="前面")+(機器台帳!$B$2:$B$400="両面")&gt;0)*(機器台帳!$F$2:$F$400&lt;&gt;"")*(機器台帳!$C$2:$C$400&lt;=32)*(機器台帳!$C$2:$C$400+機器台帳!$D$2:$D$400-1&gt;=32))=0,"",INDEX(機器台帳!$F$2:$F$400,MATCH(1,INDEX((機器台帳!$A$2:$A$400="E24-S8-2")*((機器台帳!$B$2:$B$400="前面")+(機器台帳!$B$2:$B$400="両面")&gt;0)*(機器台帳!$F$2:$F$400&lt;&gt;"")*(機器台帳!$C$2:$C$400&lt;=32)*(機器台帳!$C$2:$C$400+機器台帳!$D$2:$D$400-1&gt;=32),0),0))&amp;IF(INDEX(機器台帳!$G$2:$G$400,MATCH(1,INDEX((機器台帳!$A$2:$A$400="E24-S8-2")*((機器台帳!$B$2:$B$400="前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-2")*((機器台帳!$B$2:$B$400="前面")+(機器台帳!$B$2:$B$400="両面")&gt;0)*(機器台帳!$F$2:$F$400&lt;&gt;"")*(機器台帳!$C$2:$C$400&lt;=32)*(機器台帳!$C$2:$C$400+機器台帳!$D$2:$D$400-1&gt;=32),0),0)))&amp;IF(SUMPRODUCT((機器台帳!$A$2:$A$400="E24-S8-2")*((機器台帳!$B$2:$B$400="前面")+(機器台帳!$B$2:$B$400="両面")&gt;0)*(機器台帳!$F$2:$F$400&lt;&gt;"")*(機器台帳!$C$2:$C$400&lt;=32)*(機器台帳!$C$2:$C$400+機器台帳!$D$2:$D$400-1&gt;=32))&gt;1," 他"&amp;(SUMPRODUCT((機器台帳!$A$2:$A$400="E24-S8-2")*((機器台帳!$B$2:$B$400="前面")+(機器台帳!$B$2:$B$400="両面")&gt;0)*(機器台帳!$F$2:$F$400&lt;&gt;"")*(機器台帳!$C$2:$C$400&lt;=32)*(機器台帳!$C$2:$C$400+機器台帳!$D$2:$D$400-1&gt;=32))-1)&amp;"台",""))</f>
        <v/>
      </c>
      <c r="G19">
        <f>IF(SUMPRODUCT((機器台帳!$A$2:$A$400="E24-S8-2")*((機器台帳!$B$2:$B$400="前面")+(機器台帳!$B$2:$B$400="両面")&gt;0)*(機器台帳!$F$2:$F$400&lt;&gt;"")*(機器台帳!$C$2:$C$400&lt;=32)*(機器台帳!$C$2:$C$400+機器台帳!$D$2:$D$400-1&gt;=32))=0,"",INDEX(機器台帳!$I$2:$I$400,MATCH(1,INDEX((機器台帳!$A$2:$A$400="E24-S8-2")*((機器台帳!$B$2:$B$400="前面")+(機器台帳!$B$2:$B$400="両面")&gt;0)*(機器台帳!$F$2:$F$400&lt;&gt;"")*(機器台帳!$C$2:$C$400&lt;=32)*(機器台帳!$C$2:$C$400+機器台帳!$D$2:$D$400-1&gt;=32),0),0))&amp;IF(INDEX(機器台帳!$Y$2:$Y$400,MATCH(1,INDEX((機器台帳!$A$2:$A$400="E24-S8-2")*((機器台帳!$B$2:$B$400="前面")+(機器台帳!$B$2:$B$400="両面")&gt;0)*(機器台帳!$F$2:$F$400&lt;&gt;"")*(機器台帳!$C$2:$C$400&lt;=32)*(機器台帳!$C$2:$C$400+機器台帳!$D$2:$D$400-1&gt;=32),0),0))=0,"|未記入",""))</f>
        <v/>
      </c>
      <c r="H19" s="12">
        <f>IF(SUMPRODUCT((機器台帳!$A$2:$A$400="E24-S8-2")*((機器台帳!$B$2:$B$400="背面")+(機器台帳!$B$2:$B$400="両面")&gt;0)*(機器台帳!$F$2:$F$400&lt;&gt;"")*(機器台帳!$C$2:$C$400&lt;=32)*(機器台帳!$C$2:$C$400+機器台帳!$D$2:$D$400-1&gt;=32))=0,"",INDEX(機器台帳!$F$2:$F$400,MATCH(1,INDEX((機器台帳!$A$2:$A$400="E24-S8-2")*((機器台帳!$B$2:$B$400="背面")+(機器台帳!$B$2:$B$400="両面")&gt;0)*(機器台帳!$F$2:$F$400&lt;&gt;"")*(機器台帳!$C$2:$C$400&lt;=32)*(機器台帳!$C$2:$C$400+機器台帳!$D$2:$D$400-1&gt;=32),0),0))&amp;IF(INDEX(機器台帳!$G$2:$G$400,MATCH(1,INDEX((機器台帳!$A$2:$A$400="E24-S8-2")*((機器台帳!$B$2:$B$400="背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-2")*((機器台帳!$B$2:$B$400="背面")+(機器台帳!$B$2:$B$400="両面")&gt;0)*(機器台帳!$F$2:$F$400&lt;&gt;"")*(機器台帳!$C$2:$C$400&lt;=32)*(機器台帳!$C$2:$C$400+機器台帳!$D$2:$D$400-1&gt;=32),0),0)))&amp;IF(SUMPRODUCT((機器台帳!$A$2:$A$400="E24-S8-2")*((機器台帳!$B$2:$B$400="背面")+(機器台帳!$B$2:$B$400="両面")&gt;0)*(機器台帳!$F$2:$F$400&lt;&gt;"")*(機器台帳!$C$2:$C$400&lt;=32)*(機器台帳!$C$2:$C$400+機器台帳!$D$2:$D$400-1&gt;=32))&gt;1," 他"&amp;(SUMPRODUCT((機器台帳!$A$2:$A$400="E24-S8-2")*((機器台帳!$B$2:$B$400="背面")+(機器台帳!$B$2:$B$400="両面")&gt;0)*(機器台帳!$F$2:$F$400&lt;&gt;"")*(機器台帳!$C$2:$C$400&lt;=32)*(機器台帳!$C$2:$C$400+機器台帳!$D$2:$D$400-1&gt;=32))-1)&amp;"台",""))</f>
        <v/>
      </c>
      <c r="I19">
        <f>IF(SUMPRODUCT((機器台帳!$A$2:$A$400="E24-S8-2")*((機器台帳!$B$2:$B$400="背面")+(機器台帳!$B$2:$B$400="両面")&gt;0)*(機器台帳!$F$2:$F$400&lt;&gt;"")*(機器台帳!$C$2:$C$400&lt;=32)*(機器台帳!$C$2:$C$400+機器台帳!$D$2:$D$400-1&gt;=32))=0,"",INDEX(機器台帳!$I$2:$I$400,MATCH(1,INDEX((機器台帳!$A$2:$A$400="E24-S8-2")*((機器台帳!$B$2:$B$400="背面")+(機器台帳!$B$2:$B$400="両面")&gt;0)*(機器台帳!$F$2:$F$400&lt;&gt;"")*(機器台帳!$C$2:$C$400&lt;=32)*(機器台帳!$C$2:$C$400+機器台帳!$D$2:$D$400-1&gt;=32),0),0))&amp;IF(INDEX(機器台帳!$Y$2:$Y$400,MATCH(1,INDEX((機器台帳!$A$2:$A$400="E24-S8-2")*((機器台帳!$B$2:$B$400="背面")+(機器台帳!$B$2:$B$400="両面")&gt;0)*(機器台帳!$F$2:$F$400&lt;&gt;"")*(機器台帳!$C$2:$C$400&lt;=32)*(機器台帳!$C$2:$C$400+機器台帳!$D$2:$D$400-1&gt;=32),0),0))=0,"|未記入",""))</f>
        <v/>
      </c>
      <c r="J19" s="12">
        <f>IF(SUMPRODUCT((機器台帳!$A$2:$A$400="E24-S8-3")*((機器台帳!$B$2:$B$400="前面")+(機器台帳!$B$2:$B$400="両面")&gt;0)*(機器台帳!$F$2:$F$400&lt;&gt;"")*(機器台帳!$C$2:$C$400&lt;=32)*(機器台帳!$C$2:$C$400+機器台帳!$D$2:$D$400-1&gt;=32))=0,"",INDEX(機器台帳!$F$2:$F$400,MATCH(1,INDEX((機器台帳!$A$2:$A$400="E24-S8-3")*((機器台帳!$B$2:$B$400="前面")+(機器台帳!$B$2:$B$400="両面")&gt;0)*(機器台帳!$F$2:$F$400&lt;&gt;"")*(機器台帳!$C$2:$C$400&lt;=32)*(機器台帳!$C$2:$C$400+機器台帳!$D$2:$D$400-1&gt;=32),0),0))&amp;IF(INDEX(機器台帳!$G$2:$G$400,MATCH(1,INDEX((機器台帳!$A$2:$A$400="E24-S8-3")*((機器台帳!$B$2:$B$400="前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-3")*((機器台帳!$B$2:$B$400="前面")+(機器台帳!$B$2:$B$400="両面")&gt;0)*(機器台帳!$F$2:$F$400&lt;&gt;"")*(機器台帳!$C$2:$C$400&lt;=32)*(機器台帳!$C$2:$C$400+機器台帳!$D$2:$D$400-1&gt;=32),0),0)))&amp;IF(SUMPRODUCT((機器台帳!$A$2:$A$400="E24-S8-3")*((機器台帳!$B$2:$B$400="前面")+(機器台帳!$B$2:$B$400="両面")&gt;0)*(機器台帳!$F$2:$F$400&lt;&gt;"")*(機器台帳!$C$2:$C$400&lt;=32)*(機器台帳!$C$2:$C$400+機器台帳!$D$2:$D$400-1&gt;=32))&gt;1," 他"&amp;(SUMPRODUCT((機器台帳!$A$2:$A$400="E24-S8-3")*((機器台帳!$B$2:$B$400="前面")+(機器台帳!$B$2:$B$400="両面")&gt;0)*(機器台帳!$F$2:$F$400&lt;&gt;"")*(機器台帳!$C$2:$C$400&lt;=32)*(機器台帳!$C$2:$C$400+機器台帳!$D$2:$D$400-1&gt;=32))-1)&amp;"台",""))</f>
        <v/>
      </c>
      <c r="K19">
        <f>IF(SUMPRODUCT((機器台帳!$A$2:$A$400="E24-S8-3")*((機器台帳!$B$2:$B$400="前面")+(機器台帳!$B$2:$B$400="両面")&gt;0)*(機器台帳!$F$2:$F$400&lt;&gt;"")*(機器台帳!$C$2:$C$400&lt;=32)*(機器台帳!$C$2:$C$400+機器台帳!$D$2:$D$400-1&gt;=32))=0,"",INDEX(機器台帳!$I$2:$I$400,MATCH(1,INDEX((機器台帳!$A$2:$A$400="E24-S8-3")*((機器台帳!$B$2:$B$400="前面")+(機器台帳!$B$2:$B$400="両面")&gt;0)*(機器台帳!$F$2:$F$400&lt;&gt;"")*(機器台帳!$C$2:$C$400&lt;=32)*(機器台帳!$C$2:$C$400+機器台帳!$D$2:$D$400-1&gt;=32),0),0))&amp;IF(INDEX(機器台帳!$Y$2:$Y$400,MATCH(1,INDEX((機器台帳!$A$2:$A$400="E24-S8-3")*((機器台帳!$B$2:$B$400="前面")+(機器台帳!$B$2:$B$400="両面")&gt;0)*(機器台帳!$F$2:$F$400&lt;&gt;"")*(機器台帳!$C$2:$C$400&lt;=32)*(機器台帳!$C$2:$C$400+機器台帳!$D$2:$D$400-1&gt;=32),0),0))=0,"|未記入",""))</f>
        <v/>
      </c>
      <c r="L19" s="12">
        <f>IF(SUMPRODUCT((機器台帳!$A$2:$A$400="E24-S8-3")*((機器台帳!$B$2:$B$400="背面")+(機器台帳!$B$2:$B$400="両面")&gt;0)*(機器台帳!$F$2:$F$400&lt;&gt;"")*(機器台帳!$C$2:$C$400&lt;=32)*(機器台帳!$C$2:$C$400+機器台帳!$D$2:$D$400-1&gt;=32))=0,"",INDEX(機器台帳!$F$2:$F$400,MATCH(1,INDEX((機器台帳!$A$2:$A$400="E24-S8-3")*((機器台帳!$B$2:$B$400="背面")+(機器台帳!$B$2:$B$400="両面")&gt;0)*(機器台帳!$F$2:$F$400&lt;&gt;"")*(機器台帳!$C$2:$C$400&lt;=32)*(機器台帳!$C$2:$C$400+機器台帳!$D$2:$D$400-1&gt;=32),0),0))&amp;IF(INDEX(機器台帳!$G$2:$G$400,MATCH(1,INDEX((機器台帳!$A$2:$A$400="E24-S8-3")*((機器台帳!$B$2:$B$400="背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-3")*((機器台帳!$B$2:$B$400="背面")+(機器台帳!$B$2:$B$400="両面")&gt;0)*(機器台帳!$F$2:$F$400&lt;&gt;"")*(機器台帳!$C$2:$C$400&lt;=32)*(機器台帳!$C$2:$C$400+機器台帳!$D$2:$D$400-1&gt;=32),0),0)))&amp;IF(SUMPRODUCT((機器台帳!$A$2:$A$400="E24-S8-3")*((機器台帳!$B$2:$B$400="背面")+(機器台帳!$B$2:$B$400="両面")&gt;0)*(機器台帳!$F$2:$F$400&lt;&gt;"")*(機器台帳!$C$2:$C$400&lt;=32)*(機器台帳!$C$2:$C$400+機器台帳!$D$2:$D$400-1&gt;=32))&gt;1," 他"&amp;(SUMPRODUCT((機器台帳!$A$2:$A$400="E24-S8-3")*((機器台帳!$B$2:$B$400="背面")+(機器台帳!$B$2:$B$400="両面")&gt;0)*(機器台帳!$F$2:$F$400&lt;&gt;"")*(機器台帳!$C$2:$C$400&lt;=32)*(機器台帳!$C$2:$C$400+機器台帳!$D$2:$D$400-1&gt;=32))-1)&amp;"台",""))</f>
        <v/>
      </c>
      <c r="M19">
        <f>IF(SUMPRODUCT((機器台帳!$A$2:$A$400="E24-S8-3")*((機器台帳!$B$2:$B$400="背面")+(機器台帳!$B$2:$B$400="両面")&gt;0)*(機器台帳!$F$2:$F$400&lt;&gt;"")*(機器台帳!$C$2:$C$400&lt;=32)*(機器台帳!$C$2:$C$400+機器台帳!$D$2:$D$400-1&gt;=32))=0,"",INDEX(機器台帳!$I$2:$I$400,MATCH(1,INDEX((機器台帳!$A$2:$A$400="E24-S8-3")*((機器台帳!$B$2:$B$400="背面")+(機器台帳!$B$2:$B$400="両面")&gt;0)*(機器台帳!$F$2:$F$400&lt;&gt;"")*(機器台帳!$C$2:$C$400&lt;=32)*(機器台帳!$C$2:$C$400+機器台帳!$D$2:$D$400-1&gt;=32),0),0))&amp;IF(INDEX(機器台帳!$Y$2:$Y$400,MATCH(1,INDEX((機器台帳!$A$2:$A$400="E24-S8-3")*((機器台帳!$B$2:$B$400="背面")+(機器台帳!$B$2:$B$400="両面")&gt;0)*(機器台帳!$F$2:$F$400&lt;&gt;"")*(機器台帳!$C$2:$C$400&lt;=32)*(機器台帳!$C$2:$C$400+機器台帳!$D$2:$D$400-1&gt;=32),0),0))=0,"|未記入",""))</f>
        <v/>
      </c>
      <c r="N19" s="12">
        <f>IF(SUMPRODUCT((機器台帳!$A$2:$A$400="E24-S8-4")*((機器台帳!$B$2:$B$400="前面")+(機器台帳!$B$2:$B$400="両面")&gt;0)*(機器台帳!$F$2:$F$400&lt;&gt;"")*(機器台帳!$C$2:$C$400&lt;=32)*(機器台帳!$C$2:$C$400+機器台帳!$D$2:$D$400-1&gt;=32))=0,"",INDEX(機器台帳!$F$2:$F$400,MATCH(1,INDEX((機器台帳!$A$2:$A$400="E24-S8-4")*((機器台帳!$B$2:$B$400="前面")+(機器台帳!$B$2:$B$400="両面")&gt;0)*(機器台帳!$F$2:$F$400&lt;&gt;"")*(機器台帳!$C$2:$C$400&lt;=32)*(機器台帳!$C$2:$C$400+機器台帳!$D$2:$D$400-1&gt;=32),0),0))&amp;IF(INDEX(機器台帳!$G$2:$G$400,MATCH(1,INDEX((機器台帳!$A$2:$A$400="E24-S8-4")*((機器台帳!$B$2:$B$400="前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-4")*((機器台帳!$B$2:$B$400="前面")+(機器台帳!$B$2:$B$400="両面")&gt;0)*(機器台帳!$F$2:$F$400&lt;&gt;"")*(機器台帳!$C$2:$C$400&lt;=32)*(機器台帳!$C$2:$C$400+機器台帳!$D$2:$D$400-1&gt;=32),0),0)))&amp;IF(SUMPRODUCT((機器台帳!$A$2:$A$400="E24-S8-4")*((機器台帳!$B$2:$B$400="前面")+(機器台帳!$B$2:$B$400="両面")&gt;0)*(機器台帳!$F$2:$F$400&lt;&gt;"")*(機器台帳!$C$2:$C$400&lt;=32)*(機器台帳!$C$2:$C$400+機器台帳!$D$2:$D$400-1&gt;=32))&gt;1," 他"&amp;(SUMPRODUCT((機器台帳!$A$2:$A$400="E24-S8-4")*((機器台帳!$B$2:$B$400="前面")+(機器台帳!$B$2:$B$400="両面")&gt;0)*(機器台帳!$F$2:$F$400&lt;&gt;"")*(機器台帳!$C$2:$C$400&lt;=32)*(機器台帳!$C$2:$C$400+機器台帳!$D$2:$D$400-1&gt;=32))-1)&amp;"台",""))</f>
        <v/>
      </c>
      <c r="O19">
        <f>IF(SUMPRODUCT((機器台帳!$A$2:$A$400="E24-S8-4")*((機器台帳!$B$2:$B$400="前面")+(機器台帳!$B$2:$B$400="両面")&gt;0)*(機器台帳!$F$2:$F$400&lt;&gt;"")*(機器台帳!$C$2:$C$400&lt;=32)*(機器台帳!$C$2:$C$400+機器台帳!$D$2:$D$400-1&gt;=32))=0,"",INDEX(機器台帳!$I$2:$I$400,MATCH(1,INDEX((機器台帳!$A$2:$A$400="E24-S8-4")*((機器台帳!$B$2:$B$400="前面")+(機器台帳!$B$2:$B$400="両面")&gt;0)*(機器台帳!$F$2:$F$400&lt;&gt;"")*(機器台帳!$C$2:$C$400&lt;=32)*(機器台帳!$C$2:$C$400+機器台帳!$D$2:$D$400-1&gt;=32),0),0))&amp;IF(INDEX(機器台帳!$Y$2:$Y$400,MATCH(1,INDEX((機器台帳!$A$2:$A$400="E24-S8-4")*((機器台帳!$B$2:$B$400="前面")+(機器台帳!$B$2:$B$400="両面")&gt;0)*(機器台帳!$F$2:$F$400&lt;&gt;"")*(機器台帳!$C$2:$C$400&lt;=32)*(機器台帳!$C$2:$C$400+機器台帳!$D$2:$D$400-1&gt;=32),0),0))=0,"|未記入",""))</f>
        <v/>
      </c>
      <c r="P19" s="12">
        <f>IF(SUMPRODUCT((機器台帳!$A$2:$A$400="E24-S8-4")*((機器台帳!$B$2:$B$400="背面")+(機器台帳!$B$2:$B$400="両面")&gt;0)*(機器台帳!$F$2:$F$400&lt;&gt;"")*(機器台帳!$C$2:$C$400&lt;=32)*(機器台帳!$C$2:$C$400+機器台帳!$D$2:$D$400-1&gt;=32))=0,"",INDEX(機器台帳!$F$2:$F$400,MATCH(1,INDEX((機器台帳!$A$2:$A$400="E24-S8-4")*((機器台帳!$B$2:$B$400="背面")+(機器台帳!$B$2:$B$400="両面")&gt;0)*(機器台帳!$F$2:$F$400&lt;&gt;"")*(機器台帳!$C$2:$C$400&lt;=32)*(機器台帳!$C$2:$C$400+機器台帳!$D$2:$D$400-1&gt;=32),0),0))&amp;IF(INDEX(機器台帳!$G$2:$G$400,MATCH(1,INDEX((機器台帳!$A$2:$A$400="E24-S8-4")*((機器台帳!$B$2:$B$400="背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-4")*((機器台帳!$B$2:$B$400="背面")+(機器台帳!$B$2:$B$400="両面")&gt;0)*(機器台帳!$F$2:$F$400&lt;&gt;"")*(機器台帳!$C$2:$C$400&lt;=32)*(機器台帳!$C$2:$C$400+機器台帳!$D$2:$D$400-1&gt;=32),0),0)))&amp;IF(SUMPRODUCT((機器台帳!$A$2:$A$400="E24-S8-4")*((機器台帳!$B$2:$B$400="背面")+(機器台帳!$B$2:$B$400="両面")&gt;0)*(機器台帳!$F$2:$F$400&lt;&gt;"")*(機器台帳!$C$2:$C$400&lt;=32)*(機器台帳!$C$2:$C$400+機器台帳!$D$2:$D$400-1&gt;=32))&gt;1," 他"&amp;(SUMPRODUCT((機器台帳!$A$2:$A$400="E24-S8-4")*((機器台帳!$B$2:$B$400="背面")+(機器台帳!$B$2:$B$400="両面")&gt;0)*(機器台帳!$F$2:$F$400&lt;&gt;"")*(機器台帳!$C$2:$C$400&lt;=32)*(機器台帳!$C$2:$C$400+機器台帳!$D$2:$D$400-1&gt;=32))-1)&amp;"台",""))</f>
        <v/>
      </c>
      <c r="Q19">
        <f>IF(SUMPRODUCT((機器台帳!$A$2:$A$400="E24-S8-4")*((機器台帳!$B$2:$B$400="背面")+(機器台帳!$B$2:$B$400="両面")&gt;0)*(機器台帳!$F$2:$F$400&lt;&gt;"")*(機器台帳!$C$2:$C$400&lt;=32)*(機器台帳!$C$2:$C$400+機器台帳!$D$2:$D$400-1&gt;=32))=0,"",INDEX(機器台帳!$I$2:$I$400,MATCH(1,INDEX((機器台帳!$A$2:$A$400="E24-S8-4")*((機器台帳!$B$2:$B$400="背面")+(機器台帳!$B$2:$B$400="両面")&gt;0)*(機器台帳!$F$2:$F$400&lt;&gt;"")*(機器台帳!$C$2:$C$400&lt;=32)*(機器台帳!$C$2:$C$400+機器台帳!$D$2:$D$400-1&gt;=32),0),0))&amp;IF(INDEX(機器台帳!$Y$2:$Y$400,MATCH(1,INDEX((機器台帳!$A$2:$A$400="E24-S8-4")*((機器台帳!$B$2:$B$400="背面")+(機器台帳!$B$2:$B$400="両面")&gt;0)*(機器台帳!$F$2:$F$400&lt;&gt;"")*(機器台帳!$C$2:$C$400&lt;=32)*(機器台帳!$C$2:$C$400+機器台帳!$D$2:$D$400-1&gt;=32),0),0))=0,"|未記入",""))</f>
        <v/>
      </c>
      <c r="R19" s="12">
        <f>IF(SUMPRODUCT((機器台帳!$A$2:$A$400="E24-S8-5")*((機器台帳!$B$2:$B$400="前面")+(機器台帳!$B$2:$B$400="両面")&gt;0)*(機器台帳!$F$2:$F$400&lt;&gt;"")*(機器台帳!$C$2:$C$400&lt;=32)*(機器台帳!$C$2:$C$400+機器台帳!$D$2:$D$400-1&gt;=32))=0,"",INDEX(機器台帳!$F$2:$F$400,MATCH(1,INDEX((機器台帳!$A$2:$A$400="E24-S8-5")*((機器台帳!$B$2:$B$400="前面")+(機器台帳!$B$2:$B$400="両面")&gt;0)*(機器台帳!$F$2:$F$400&lt;&gt;"")*(機器台帳!$C$2:$C$400&lt;=32)*(機器台帳!$C$2:$C$400+機器台帳!$D$2:$D$400-1&gt;=32),0),0))&amp;IF(INDEX(機器台帳!$G$2:$G$400,MATCH(1,INDEX((機器台帳!$A$2:$A$400="E24-S8-5")*((機器台帳!$B$2:$B$400="前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-5")*((機器台帳!$B$2:$B$400="前面")+(機器台帳!$B$2:$B$400="両面")&gt;0)*(機器台帳!$F$2:$F$400&lt;&gt;"")*(機器台帳!$C$2:$C$400&lt;=32)*(機器台帳!$C$2:$C$400+機器台帳!$D$2:$D$400-1&gt;=32),0),0)))&amp;IF(SUMPRODUCT((機器台帳!$A$2:$A$400="E24-S8-5")*((機器台帳!$B$2:$B$400="前面")+(機器台帳!$B$2:$B$400="両面")&gt;0)*(機器台帳!$F$2:$F$400&lt;&gt;"")*(機器台帳!$C$2:$C$400&lt;=32)*(機器台帳!$C$2:$C$400+機器台帳!$D$2:$D$400-1&gt;=32))&gt;1," 他"&amp;(SUMPRODUCT((機器台帳!$A$2:$A$400="E24-S8-5")*((機器台帳!$B$2:$B$400="前面")+(機器台帳!$B$2:$B$400="両面")&gt;0)*(機器台帳!$F$2:$F$400&lt;&gt;"")*(機器台帳!$C$2:$C$400&lt;=32)*(機器台帳!$C$2:$C$400+機器台帳!$D$2:$D$400-1&gt;=32))-1)&amp;"台",""))</f>
        <v/>
      </c>
      <c r="S19">
        <f>IF(SUMPRODUCT((機器台帳!$A$2:$A$400="E24-S8-5")*((機器台帳!$B$2:$B$400="前面")+(機器台帳!$B$2:$B$400="両面")&gt;0)*(機器台帳!$F$2:$F$400&lt;&gt;"")*(機器台帳!$C$2:$C$400&lt;=32)*(機器台帳!$C$2:$C$400+機器台帳!$D$2:$D$400-1&gt;=32))=0,"",INDEX(機器台帳!$I$2:$I$400,MATCH(1,INDEX((機器台帳!$A$2:$A$400="E24-S8-5")*((機器台帳!$B$2:$B$400="前面")+(機器台帳!$B$2:$B$400="両面")&gt;0)*(機器台帳!$F$2:$F$400&lt;&gt;"")*(機器台帳!$C$2:$C$400&lt;=32)*(機器台帳!$C$2:$C$400+機器台帳!$D$2:$D$400-1&gt;=32),0),0))&amp;IF(INDEX(機器台帳!$Y$2:$Y$400,MATCH(1,INDEX((機器台帳!$A$2:$A$400="E24-S8-5")*((機器台帳!$B$2:$B$400="前面")+(機器台帳!$B$2:$B$400="両面")&gt;0)*(機器台帳!$F$2:$F$400&lt;&gt;"")*(機器台帳!$C$2:$C$400&lt;=32)*(機器台帳!$C$2:$C$400+機器台帳!$D$2:$D$400-1&gt;=32),0),0))=0,"|未記入",""))</f>
        <v/>
      </c>
      <c r="T19" s="12">
        <f>IF(SUMPRODUCT((機器台帳!$A$2:$A$400="E24-S8-5")*((機器台帳!$B$2:$B$400="背面")+(機器台帳!$B$2:$B$400="両面")&gt;0)*(機器台帳!$F$2:$F$400&lt;&gt;"")*(機器台帳!$C$2:$C$400&lt;=32)*(機器台帳!$C$2:$C$400+機器台帳!$D$2:$D$400-1&gt;=32))=0,"",INDEX(機器台帳!$F$2:$F$400,MATCH(1,INDEX((機器台帳!$A$2:$A$400="E24-S8-5")*((機器台帳!$B$2:$B$400="背面")+(機器台帳!$B$2:$B$400="両面")&gt;0)*(機器台帳!$F$2:$F$400&lt;&gt;"")*(機器台帳!$C$2:$C$400&lt;=32)*(機器台帳!$C$2:$C$400+機器台帳!$D$2:$D$400-1&gt;=32),0),0))&amp;IF(INDEX(機器台帳!$G$2:$G$400,MATCH(1,INDEX((機器台帳!$A$2:$A$400="E24-S8-5")*((機器台帳!$B$2:$B$400="背面")+(機器台帳!$B$2:$B$400="両面")&gt;0)*(機器台帳!$F$2:$F$400&lt;&gt;"")*(機器台帳!$C$2:$C$400&lt;=32)*(機器台帳!$C$2:$C$400+機器台帳!$D$2:$D$400-1&gt;=32),0),0))=""," "," "&amp;INDEX(機器台帳!$G$2:$G$400,MATCH(1,INDEX((機器台帳!$A$2:$A$400="E24-S8-5")*((機器台帳!$B$2:$B$400="背面")+(機器台帳!$B$2:$B$400="両面")&gt;0)*(機器台帳!$F$2:$F$400&lt;&gt;"")*(機器台帳!$C$2:$C$400&lt;=32)*(機器台帳!$C$2:$C$400+機器台帳!$D$2:$D$400-1&gt;=32),0),0)))&amp;IF(SUMPRODUCT((機器台帳!$A$2:$A$400="E24-S8-5")*((機器台帳!$B$2:$B$400="背面")+(機器台帳!$B$2:$B$400="両面")&gt;0)*(機器台帳!$F$2:$F$400&lt;&gt;"")*(機器台帳!$C$2:$C$400&lt;=32)*(機器台帳!$C$2:$C$400+機器台帳!$D$2:$D$400-1&gt;=32))&gt;1," 他"&amp;(SUMPRODUCT((機器台帳!$A$2:$A$400="E24-S8-5")*((機器台帳!$B$2:$B$400="背面")+(機器台帳!$B$2:$B$400="両面")&gt;0)*(機器台帳!$F$2:$F$400&lt;&gt;"")*(機器台帳!$C$2:$C$400&lt;=32)*(機器台帳!$C$2:$C$400+機器台帳!$D$2:$D$400-1&gt;=32))-1)&amp;"台",""))</f>
        <v/>
      </c>
      <c r="U19">
        <f>IF(SUMPRODUCT((機器台帳!$A$2:$A$400="E24-S8-5")*((機器台帳!$B$2:$B$400="背面")+(機器台帳!$B$2:$B$400="両面")&gt;0)*(機器台帳!$F$2:$F$400&lt;&gt;"")*(機器台帳!$C$2:$C$400&lt;=32)*(機器台帳!$C$2:$C$400+機器台帳!$D$2:$D$400-1&gt;=32))=0,"",INDEX(機器台帳!$I$2:$I$400,MATCH(1,INDEX((機器台帳!$A$2:$A$400="E24-S8-5")*((機器台帳!$B$2:$B$400="背面")+(機器台帳!$B$2:$B$400="両面")&gt;0)*(機器台帳!$F$2:$F$400&lt;&gt;"")*(機器台帳!$C$2:$C$400&lt;=32)*(機器台帳!$C$2:$C$400+機器台帳!$D$2:$D$400-1&gt;=32),0),0))&amp;IF(INDEX(機器台帳!$Y$2:$Y$400,MATCH(1,INDEX((機器台帳!$A$2:$A$400="E24-S8-5")*((機器台帳!$B$2:$B$400="背面")+(機器台帳!$B$2:$B$400="両面")&gt;0)*(機器台帳!$F$2:$F$400&lt;&gt;"")*(機器台帳!$C$2:$C$400&lt;=32)*(機器台帳!$C$2:$C$400+機器台帳!$D$2:$D$400-1&gt;=32),0),0))=0,"|未記入",""))</f>
        <v/>
      </c>
      <c r="V19" s="12">
        <f>IF(SUMPRODUCT((機器台帳!$A$2:$A$400="E24-S6-1")*((機器台帳!$B$2:$B$400="前面")+(機器台帳!$B$2:$B$400="両面")&gt;0)*(機器台帳!$F$2:$F$400&lt;&gt;"")*(機器台帳!$C$2:$C$400&lt;=32)*(機器台帳!$C$2:$C$400+機器台帳!$D$2:$D$400-1&gt;=32))=0,"",INDEX(機器台帳!$F$2:$F$400,MATCH(1,INDEX((機器台帳!$A$2:$A$400="E24-S6-1")*((機器台帳!$B$2:$B$400="前面")+(機器台帳!$B$2:$B$400="両面")&gt;0)*(機器台帳!$F$2:$F$400&lt;&gt;"")*(機器台帳!$C$2:$C$400&lt;=32)*(機器台帳!$C$2:$C$400+機器台帳!$D$2:$D$400-1&gt;=32),0),0))&amp;IF(INDEX(機器台帳!$G$2:$G$400,MATCH(1,INDEX((機器台帳!$A$2:$A$400="E24-S6-1")*((機器台帳!$B$2:$B$400="前面")+(機器台帳!$B$2:$B$400="両面")&gt;0)*(機器台帳!$F$2:$F$400&lt;&gt;"")*(機器台帳!$C$2:$C$400&lt;=32)*(機器台帳!$C$2:$C$400+機器台帳!$D$2:$D$400-1&gt;=32),0),0))=""," "," "&amp;INDEX(機器台帳!$G$2:$G$400,MATCH(1,INDEX((機器台帳!$A$2:$A$400="E24-S6-1")*((機器台帳!$B$2:$B$400="前面")+(機器台帳!$B$2:$B$400="両面")&gt;0)*(機器台帳!$F$2:$F$400&lt;&gt;"")*(機器台帳!$C$2:$C$400&lt;=32)*(機器台帳!$C$2:$C$400+機器台帳!$D$2:$D$400-1&gt;=32),0),0)))&amp;IF(SUMPRODUCT((機器台帳!$A$2:$A$400="E24-S6-1")*((機器台帳!$B$2:$B$400="前面")+(機器台帳!$B$2:$B$400="両面")&gt;0)*(機器台帳!$F$2:$F$400&lt;&gt;"")*(機器台帳!$C$2:$C$400&lt;=32)*(機器台帳!$C$2:$C$400+機器台帳!$D$2:$D$400-1&gt;=32))&gt;1," 他"&amp;(SUMPRODUCT((機器台帳!$A$2:$A$400="E24-S6-1")*((機器台帳!$B$2:$B$400="前面")+(機器台帳!$B$2:$B$400="両面")&gt;0)*(機器台帳!$F$2:$F$400&lt;&gt;"")*(機器台帳!$C$2:$C$400&lt;=32)*(機器台帳!$C$2:$C$400+機器台帳!$D$2:$D$400-1&gt;=32))-1)&amp;"台",""))</f>
        <v/>
      </c>
      <c r="W19">
        <f>IF(SUMPRODUCT((機器台帳!$A$2:$A$400="E24-S6-1")*((機器台帳!$B$2:$B$400="前面")+(機器台帳!$B$2:$B$400="両面")&gt;0)*(機器台帳!$F$2:$F$400&lt;&gt;"")*(機器台帳!$C$2:$C$400&lt;=32)*(機器台帳!$C$2:$C$400+機器台帳!$D$2:$D$400-1&gt;=32))=0,"",INDEX(機器台帳!$I$2:$I$400,MATCH(1,INDEX((機器台帳!$A$2:$A$400="E24-S6-1")*((機器台帳!$B$2:$B$400="前面")+(機器台帳!$B$2:$B$400="両面")&gt;0)*(機器台帳!$F$2:$F$400&lt;&gt;"")*(機器台帳!$C$2:$C$400&lt;=32)*(機器台帳!$C$2:$C$400+機器台帳!$D$2:$D$400-1&gt;=32),0),0))&amp;IF(INDEX(機器台帳!$Y$2:$Y$400,MATCH(1,INDEX((機器台帳!$A$2:$A$400="E24-S6-1")*((機器台帳!$B$2:$B$400="前面")+(機器台帳!$B$2:$B$400="両面")&gt;0)*(機器台帳!$F$2:$F$400&lt;&gt;"")*(機器台帳!$C$2:$C$400&lt;=32)*(機器台帳!$C$2:$C$400+機器台帳!$D$2:$D$400-1&gt;=32),0),0))=0,"|未記入",""))</f>
        <v/>
      </c>
      <c r="X19" s="12">
        <f>IF(SUMPRODUCT((機器台帳!$A$2:$A$400="E24-S6-1")*((機器台帳!$B$2:$B$400="背面")+(機器台帳!$B$2:$B$400="両面")&gt;0)*(機器台帳!$F$2:$F$400&lt;&gt;"")*(機器台帳!$C$2:$C$400&lt;=32)*(機器台帳!$C$2:$C$400+機器台帳!$D$2:$D$400-1&gt;=32))=0,"",INDEX(機器台帳!$F$2:$F$400,MATCH(1,INDEX((機器台帳!$A$2:$A$400="E24-S6-1")*((機器台帳!$B$2:$B$400="背面")+(機器台帳!$B$2:$B$400="両面")&gt;0)*(機器台帳!$F$2:$F$400&lt;&gt;"")*(機器台帳!$C$2:$C$400&lt;=32)*(機器台帳!$C$2:$C$400+機器台帳!$D$2:$D$400-1&gt;=32),0),0))&amp;IF(INDEX(機器台帳!$G$2:$G$400,MATCH(1,INDEX((機器台帳!$A$2:$A$400="E24-S6-1")*((機器台帳!$B$2:$B$400="背面")+(機器台帳!$B$2:$B$400="両面")&gt;0)*(機器台帳!$F$2:$F$400&lt;&gt;"")*(機器台帳!$C$2:$C$400&lt;=32)*(機器台帳!$C$2:$C$400+機器台帳!$D$2:$D$400-1&gt;=32),0),0))=""," "," "&amp;INDEX(機器台帳!$G$2:$G$400,MATCH(1,INDEX((機器台帳!$A$2:$A$400="E24-S6-1")*((機器台帳!$B$2:$B$400="背面")+(機器台帳!$B$2:$B$400="両面")&gt;0)*(機器台帳!$F$2:$F$400&lt;&gt;"")*(機器台帳!$C$2:$C$400&lt;=32)*(機器台帳!$C$2:$C$400+機器台帳!$D$2:$D$400-1&gt;=32),0),0)))&amp;IF(SUMPRODUCT((機器台帳!$A$2:$A$400="E24-S6-1")*((機器台帳!$B$2:$B$400="背面")+(機器台帳!$B$2:$B$400="両面")&gt;0)*(機器台帳!$F$2:$F$400&lt;&gt;"")*(機器台帳!$C$2:$C$400&lt;=32)*(機器台帳!$C$2:$C$400+機器台帳!$D$2:$D$400-1&gt;=32))&gt;1," 他"&amp;(SUMPRODUCT((機器台帳!$A$2:$A$400="E24-S6-1")*((機器台帳!$B$2:$B$400="背面")+(機器台帳!$B$2:$B$400="両面")&gt;0)*(機器台帳!$F$2:$F$400&lt;&gt;"")*(機器台帳!$C$2:$C$400&lt;=32)*(機器台帳!$C$2:$C$400+機器台帳!$D$2:$D$400-1&gt;=32))-1)&amp;"台",""))</f>
        <v/>
      </c>
      <c r="Y19">
        <f>IF(SUMPRODUCT((機器台帳!$A$2:$A$400="E24-S6-1")*((機器台帳!$B$2:$B$400="背面")+(機器台帳!$B$2:$B$400="両面")&gt;0)*(機器台帳!$F$2:$F$400&lt;&gt;"")*(機器台帳!$C$2:$C$400&lt;=32)*(機器台帳!$C$2:$C$400+機器台帳!$D$2:$D$400-1&gt;=32))=0,"",INDEX(機器台帳!$I$2:$I$400,MATCH(1,INDEX((機器台帳!$A$2:$A$400="E24-S6-1")*((機器台帳!$B$2:$B$400="背面")+(機器台帳!$B$2:$B$400="両面")&gt;0)*(機器台帳!$F$2:$F$400&lt;&gt;"")*(機器台帳!$C$2:$C$400&lt;=32)*(機器台帳!$C$2:$C$400+機器台帳!$D$2:$D$400-1&gt;=32),0),0))&amp;IF(INDEX(機器台帳!$Y$2:$Y$400,MATCH(1,INDEX((機器台帳!$A$2:$A$400="E24-S6-1")*((機器台帳!$B$2:$B$400="背面")+(機器台帳!$B$2:$B$400="両面")&gt;0)*(機器台帳!$F$2:$F$400&lt;&gt;"")*(機器台帳!$C$2:$C$400&lt;=32)*(機器台帳!$C$2:$C$400+機器台帳!$D$2:$D$400-1&gt;=32),0),0))=0,"|未記入",""))</f>
        <v/>
      </c>
    </row>
    <row r="20">
      <c r="A20" s="11" t="n">
        <v>31</v>
      </c>
      <c r="B20" s="12">
        <f>IF(SUMPRODUCT((機器台帳!$A$2:$A$400="E24-S8-1")*((機器台帳!$B$2:$B$400="前面")+(機器台帳!$B$2:$B$400="両面")&gt;0)*(機器台帳!$F$2:$F$400&lt;&gt;"")*(機器台帳!$C$2:$C$400&lt;=31)*(機器台帳!$C$2:$C$400+機器台帳!$D$2:$D$400-1&gt;=31))=0,"",INDEX(機器台帳!$F$2:$F$400,MATCH(1,INDEX((機器台帳!$A$2:$A$400="E24-S8-1")*((機器台帳!$B$2:$B$400="前面")+(機器台帳!$B$2:$B$400="両面")&gt;0)*(機器台帳!$F$2:$F$400&lt;&gt;"")*(機器台帳!$C$2:$C$400&lt;=31)*(機器台帳!$C$2:$C$400+機器台帳!$D$2:$D$400-1&gt;=31),0),0))&amp;IF(INDEX(機器台帳!$G$2:$G$400,MATCH(1,INDEX((機器台帳!$A$2:$A$400="E24-S8-1")*((機器台帳!$B$2:$B$400="前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-1")*((機器台帳!$B$2:$B$400="前面")+(機器台帳!$B$2:$B$400="両面")&gt;0)*(機器台帳!$F$2:$F$400&lt;&gt;"")*(機器台帳!$C$2:$C$400&lt;=31)*(機器台帳!$C$2:$C$400+機器台帳!$D$2:$D$400-1&gt;=31),0),0)))&amp;IF(SUMPRODUCT((機器台帳!$A$2:$A$400="E24-S8-1")*((機器台帳!$B$2:$B$400="前面")+(機器台帳!$B$2:$B$400="両面")&gt;0)*(機器台帳!$F$2:$F$400&lt;&gt;"")*(機器台帳!$C$2:$C$400&lt;=31)*(機器台帳!$C$2:$C$400+機器台帳!$D$2:$D$400-1&gt;=31))&gt;1," 他"&amp;(SUMPRODUCT((機器台帳!$A$2:$A$400="E24-S8-1")*((機器台帳!$B$2:$B$400="前面")+(機器台帳!$B$2:$B$400="両面")&gt;0)*(機器台帳!$F$2:$F$400&lt;&gt;"")*(機器台帳!$C$2:$C$400&lt;=31)*(機器台帳!$C$2:$C$400+機器台帳!$D$2:$D$400-1&gt;=31))-1)&amp;"台",""))</f>
        <v/>
      </c>
      <c r="C20">
        <f>IF(SUMPRODUCT((機器台帳!$A$2:$A$400="E24-S8-1")*((機器台帳!$B$2:$B$400="前面")+(機器台帳!$B$2:$B$400="両面")&gt;0)*(機器台帳!$F$2:$F$400&lt;&gt;"")*(機器台帳!$C$2:$C$400&lt;=31)*(機器台帳!$C$2:$C$400+機器台帳!$D$2:$D$400-1&gt;=31))=0,"",INDEX(機器台帳!$I$2:$I$400,MATCH(1,INDEX((機器台帳!$A$2:$A$400="E24-S8-1")*((機器台帳!$B$2:$B$400="前面")+(機器台帳!$B$2:$B$400="両面")&gt;0)*(機器台帳!$F$2:$F$400&lt;&gt;"")*(機器台帳!$C$2:$C$400&lt;=31)*(機器台帳!$C$2:$C$400+機器台帳!$D$2:$D$400-1&gt;=31),0),0))&amp;IF(INDEX(機器台帳!$Y$2:$Y$400,MATCH(1,INDEX((機器台帳!$A$2:$A$400="E24-S8-1")*((機器台帳!$B$2:$B$400="前面")+(機器台帳!$B$2:$B$400="両面")&gt;0)*(機器台帳!$F$2:$F$400&lt;&gt;"")*(機器台帳!$C$2:$C$400&lt;=31)*(機器台帳!$C$2:$C$400+機器台帳!$D$2:$D$400-1&gt;=31),0),0))=0,"|未記入",""))</f>
        <v/>
      </c>
      <c r="D20" s="12">
        <f>IF(SUMPRODUCT((機器台帳!$A$2:$A$400="E24-S8-1")*((機器台帳!$B$2:$B$400="背面")+(機器台帳!$B$2:$B$400="両面")&gt;0)*(機器台帳!$F$2:$F$400&lt;&gt;"")*(機器台帳!$C$2:$C$400&lt;=31)*(機器台帳!$C$2:$C$400+機器台帳!$D$2:$D$400-1&gt;=31))=0,"",INDEX(機器台帳!$F$2:$F$400,MATCH(1,INDEX((機器台帳!$A$2:$A$400="E24-S8-1")*((機器台帳!$B$2:$B$400="背面")+(機器台帳!$B$2:$B$400="両面")&gt;0)*(機器台帳!$F$2:$F$400&lt;&gt;"")*(機器台帳!$C$2:$C$400&lt;=31)*(機器台帳!$C$2:$C$400+機器台帳!$D$2:$D$400-1&gt;=31),0),0))&amp;IF(INDEX(機器台帳!$G$2:$G$400,MATCH(1,INDEX((機器台帳!$A$2:$A$400="E24-S8-1")*((機器台帳!$B$2:$B$400="背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-1")*((機器台帳!$B$2:$B$400="背面")+(機器台帳!$B$2:$B$400="両面")&gt;0)*(機器台帳!$F$2:$F$400&lt;&gt;"")*(機器台帳!$C$2:$C$400&lt;=31)*(機器台帳!$C$2:$C$400+機器台帳!$D$2:$D$400-1&gt;=31),0),0)))&amp;IF(SUMPRODUCT((機器台帳!$A$2:$A$400="E24-S8-1")*((機器台帳!$B$2:$B$400="背面")+(機器台帳!$B$2:$B$400="両面")&gt;0)*(機器台帳!$F$2:$F$400&lt;&gt;"")*(機器台帳!$C$2:$C$400&lt;=31)*(機器台帳!$C$2:$C$400+機器台帳!$D$2:$D$400-1&gt;=31))&gt;1," 他"&amp;(SUMPRODUCT((機器台帳!$A$2:$A$400="E24-S8-1")*((機器台帳!$B$2:$B$400="背面")+(機器台帳!$B$2:$B$400="両面")&gt;0)*(機器台帳!$F$2:$F$400&lt;&gt;"")*(機器台帳!$C$2:$C$400&lt;=31)*(機器台帳!$C$2:$C$400+機器台帳!$D$2:$D$400-1&gt;=31))-1)&amp;"台",""))</f>
        <v/>
      </c>
      <c r="E20">
        <f>IF(SUMPRODUCT((機器台帳!$A$2:$A$400="E24-S8-1")*((機器台帳!$B$2:$B$400="背面")+(機器台帳!$B$2:$B$400="両面")&gt;0)*(機器台帳!$F$2:$F$400&lt;&gt;"")*(機器台帳!$C$2:$C$400&lt;=31)*(機器台帳!$C$2:$C$400+機器台帳!$D$2:$D$400-1&gt;=31))=0,"",INDEX(機器台帳!$I$2:$I$400,MATCH(1,INDEX((機器台帳!$A$2:$A$400="E24-S8-1")*((機器台帳!$B$2:$B$400="背面")+(機器台帳!$B$2:$B$400="両面")&gt;0)*(機器台帳!$F$2:$F$400&lt;&gt;"")*(機器台帳!$C$2:$C$400&lt;=31)*(機器台帳!$C$2:$C$400+機器台帳!$D$2:$D$400-1&gt;=31),0),0))&amp;IF(INDEX(機器台帳!$Y$2:$Y$400,MATCH(1,INDEX((機器台帳!$A$2:$A$400="E24-S8-1")*((機器台帳!$B$2:$B$400="背面")+(機器台帳!$B$2:$B$400="両面")&gt;0)*(機器台帳!$F$2:$F$400&lt;&gt;"")*(機器台帳!$C$2:$C$400&lt;=31)*(機器台帳!$C$2:$C$400+機器台帳!$D$2:$D$400-1&gt;=31),0),0))=0,"|未記入",""))</f>
        <v/>
      </c>
      <c r="F20" s="12">
        <f>IF(SUMPRODUCT((機器台帳!$A$2:$A$400="E24-S8-2")*((機器台帳!$B$2:$B$400="前面")+(機器台帳!$B$2:$B$400="両面")&gt;0)*(機器台帳!$F$2:$F$400&lt;&gt;"")*(機器台帳!$C$2:$C$400&lt;=31)*(機器台帳!$C$2:$C$400+機器台帳!$D$2:$D$400-1&gt;=31))=0,"",INDEX(機器台帳!$F$2:$F$400,MATCH(1,INDEX((機器台帳!$A$2:$A$400="E24-S8-2")*((機器台帳!$B$2:$B$400="前面")+(機器台帳!$B$2:$B$400="両面")&gt;0)*(機器台帳!$F$2:$F$400&lt;&gt;"")*(機器台帳!$C$2:$C$400&lt;=31)*(機器台帳!$C$2:$C$400+機器台帳!$D$2:$D$400-1&gt;=31),0),0))&amp;IF(INDEX(機器台帳!$G$2:$G$400,MATCH(1,INDEX((機器台帳!$A$2:$A$400="E24-S8-2")*((機器台帳!$B$2:$B$400="前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-2")*((機器台帳!$B$2:$B$400="前面")+(機器台帳!$B$2:$B$400="両面")&gt;0)*(機器台帳!$F$2:$F$400&lt;&gt;"")*(機器台帳!$C$2:$C$400&lt;=31)*(機器台帳!$C$2:$C$400+機器台帳!$D$2:$D$400-1&gt;=31),0),0)))&amp;IF(SUMPRODUCT((機器台帳!$A$2:$A$400="E24-S8-2")*((機器台帳!$B$2:$B$400="前面")+(機器台帳!$B$2:$B$400="両面")&gt;0)*(機器台帳!$F$2:$F$400&lt;&gt;"")*(機器台帳!$C$2:$C$400&lt;=31)*(機器台帳!$C$2:$C$400+機器台帳!$D$2:$D$400-1&gt;=31))&gt;1," 他"&amp;(SUMPRODUCT((機器台帳!$A$2:$A$400="E24-S8-2")*((機器台帳!$B$2:$B$400="前面")+(機器台帳!$B$2:$B$400="両面")&gt;0)*(機器台帳!$F$2:$F$400&lt;&gt;"")*(機器台帳!$C$2:$C$400&lt;=31)*(機器台帳!$C$2:$C$400+機器台帳!$D$2:$D$400-1&gt;=31))-1)&amp;"台",""))</f>
        <v/>
      </c>
      <c r="G20">
        <f>IF(SUMPRODUCT((機器台帳!$A$2:$A$400="E24-S8-2")*((機器台帳!$B$2:$B$400="前面")+(機器台帳!$B$2:$B$400="両面")&gt;0)*(機器台帳!$F$2:$F$400&lt;&gt;"")*(機器台帳!$C$2:$C$400&lt;=31)*(機器台帳!$C$2:$C$400+機器台帳!$D$2:$D$400-1&gt;=31))=0,"",INDEX(機器台帳!$I$2:$I$400,MATCH(1,INDEX((機器台帳!$A$2:$A$400="E24-S8-2")*((機器台帳!$B$2:$B$400="前面")+(機器台帳!$B$2:$B$400="両面")&gt;0)*(機器台帳!$F$2:$F$400&lt;&gt;"")*(機器台帳!$C$2:$C$400&lt;=31)*(機器台帳!$C$2:$C$400+機器台帳!$D$2:$D$400-1&gt;=31),0),0))&amp;IF(INDEX(機器台帳!$Y$2:$Y$400,MATCH(1,INDEX((機器台帳!$A$2:$A$400="E24-S8-2")*((機器台帳!$B$2:$B$400="前面")+(機器台帳!$B$2:$B$400="両面")&gt;0)*(機器台帳!$F$2:$F$400&lt;&gt;"")*(機器台帳!$C$2:$C$400&lt;=31)*(機器台帳!$C$2:$C$400+機器台帳!$D$2:$D$400-1&gt;=31),0),0))=0,"|未記入",""))</f>
        <v/>
      </c>
      <c r="H20" s="12">
        <f>IF(SUMPRODUCT((機器台帳!$A$2:$A$400="E24-S8-2")*((機器台帳!$B$2:$B$400="背面")+(機器台帳!$B$2:$B$400="両面")&gt;0)*(機器台帳!$F$2:$F$400&lt;&gt;"")*(機器台帳!$C$2:$C$400&lt;=31)*(機器台帳!$C$2:$C$400+機器台帳!$D$2:$D$400-1&gt;=31))=0,"",INDEX(機器台帳!$F$2:$F$400,MATCH(1,INDEX((機器台帳!$A$2:$A$400="E24-S8-2")*((機器台帳!$B$2:$B$400="背面")+(機器台帳!$B$2:$B$400="両面")&gt;0)*(機器台帳!$F$2:$F$400&lt;&gt;"")*(機器台帳!$C$2:$C$400&lt;=31)*(機器台帳!$C$2:$C$400+機器台帳!$D$2:$D$400-1&gt;=31),0),0))&amp;IF(INDEX(機器台帳!$G$2:$G$400,MATCH(1,INDEX((機器台帳!$A$2:$A$400="E24-S8-2")*((機器台帳!$B$2:$B$400="背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-2")*((機器台帳!$B$2:$B$400="背面")+(機器台帳!$B$2:$B$400="両面")&gt;0)*(機器台帳!$F$2:$F$400&lt;&gt;"")*(機器台帳!$C$2:$C$400&lt;=31)*(機器台帳!$C$2:$C$400+機器台帳!$D$2:$D$400-1&gt;=31),0),0)))&amp;IF(SUMPRODUCT((機器台帳!$A$2:$A$400="E24-S8-2")*((機器台帳!$B$2:$B$400="背面")+(機器台帳!$B$2:$B$400="両面")&gt;0)*(機器台帳!$F$2:$F$400&lt;&gt;"")*(機器台帳!$C$2:$C$400&lt;=31)*(機器台帳!$C$2:$C$400+機器台帳!$D$2:$D$400-1&gt;=31))&gt;1," 他"&amp;(SUMPRODUCT((機器台帳!$A$2:$A$400="E24-S8-2")*((機器台帳!$B$2:$B$400="背面")+(機器台帳!$B$2:$B$400="両面")&gt;0)*(機器台帳!$F$2:$F$400&lt;&gt;"")*(機器台帳!$C$2:$C$400&lt;=31)*(機器台帳!$C$2:$C$400+機器台帳!$D$2:$D$400-1&gt;=31))-1)&amp;"台",""))</f>
        <v/>
      </c>
      <c r="I20">
        <f>IF(SUMPRODUCT((機器台帳!$A$2:$A$400="E24-S8-2")*((機器台帳!$B$2:$B$400="背面")+(機器台帳!$B$2:$B$400="両面")&gt;0)*(機器台帳!$F$2:$F$400&lt;&gt;"")*(機器台帳!$C$2:$C$400&lt;=31)*(機器台帳!$C$2:$C$400+機器台帳!$D$2:$D$400-1&gt;=31))=0,"",INDEX(機器台帳!$I$2:$I$400,MATCH(1,INDEX((機器台帳!$A$2:$A$400="E24-S8-2")*((機器台帳!$B$2:$B$400="背面")+(機器台帳!$B$2:$B$400="両面")&gt;0)*(機器台帳!$F$2:$F$400&lt;&gt;"")*(機器台帳!$C$2:$C$400&lt;=31)*(機器台帳!$C$2:$C$400+機器台帳!$D$2:$D$400-1&gt;=31),0),0))&amp;IF(INDEX(機器台帳!$Y$2:$Y$400,MATCH(1,INDEX((機器台帳!$A$2:$A$400="E24-S8-2")*((機器台帳!$B$2:$B$400="背面")+(機器台帳!$B$2:$B$400="両面")&gt;0)*(機器台帳!$F$2:$F$400&lt;&gt;"")*(機器台帳!$C$2:$C$400&lt;=31)*(機器台帳!$C$2:$C$400+機器台帳!$D$2:$D$400-1&gt;=31),0),0))=0,"|未記入",""))</f>
        <v/>
      </c>
      <c r="J20" s="12">
        <f>IF(SUMPRODUCT((機器台帳!$A$2:$A$400="E24-S8-3")*((機器台帳!$B$2:$B$400="前面")+(機器台帳!$B$2:$B$400="両面")&gt;0)*(機器台帳!$F$2:$F$400&lt;&gt;"")*(機器台帳!$C$2:$C$400&lt;=31)*(機器台帳!$C$2:$C$400+機器台帳!$D$2:$D$400-1&gt;=31))=0,"",INDEX(機器台帳!$F$2:$F$400,MATCH(1,INDEX((機器台帳!$A$2:$A$400="E24-S8-3")*((機器台帳!$B$2:$B$400="前面")+(機器台帳!$B$2:$B$400="両面")&gt;0)*(機器台帳!$F$2:$F$400&lt;&gt;"")*(機器台帳!$C$2:$C$400&lt;=31)*(機器台帳!$C$2:$C$400+機器台帳!$D$2:$D$400-1&gt;=31),0),0))&amp;IF(INDEX(機器台帳!$G$2:$G$400,MATCH(1,INDEX((機器台帳!$A$2:$A$400="E24-S8-3")*((機器台帳!$B$2:$B$400="前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-3")*((機器台帳!$B$2:$B$400="前面")+(機器台帳!$B$2:$B$400="両面")&gt;0)*(機器台帳!$F$2:$F$400&lt;&gt;"")*(機器台帳!$C$2:$C$400&lt;=31)*(機器台帳!$C$2:$C$400+機器台帳!$D$2:$D$400-1&gt;=31),0),0)))&amp;IF(SUMPRODUCT((機器台帳!$A$2:$A$400="E24-S8-3")*((機器台帳!$B$2:$B$400="前面")+(機器台帳!$B$2:$B$400="両面")&gt;0)*(機器台帳!$F$2:$F$400&lt;&gt;"")*(機器台帳!$C$2:$C$400&lt;=31)*(機器台帳!$C$2:$C$400+機器台帳!$D$2:$D$400-1&gt;=31))&gt;1," 他"&amp;(SUMPRODUCT((機器台帳!$A$2:$A$400="E24-S8-3")*((機器台帳!$B$2:$B$400="前面")+(機器台帳!$B$2:$B$400="両面")&gt;0)*(機器台帳!$F$2:$F$400&lt;&gt;"")*(機器台帳!$C$2:$C$400&lt;=31)*(機器台帳!$C$2:$C$400+機器台帳!$D$2:$D$400-1&gt;=31))-1)&amp;"台",""))</f>
        <v/>
      </c>
      <c r="K20">
        <f>IF(SUMPRODUCT((機器台帳!$A$2:$A$400="E24-S8-3")*((機器台帳!$B$2:$B$400="前面")+(機器台帳!$B$2:$B$400="両面")&gt;0)*(機器台帳!$F$2:$F$400&lt;&gt;"")*(機器台帳!$C$2:$C$400&lt;=31)*(機器台帳!$C$2:$C$400+機器台帳!$D$2:$D$400-1&gt;=31))=0,"",INDEX(機器台帳!$I$2:$I$400,MATCH(1,INDEX((機器台帳!$A$2:$A$400="E24-S8-3")*((機器台帳!$B$2:$B$400="前面")+(機器台帳!$B$2:$B$400="両面")&gt;0)*(機器台帳!$F$2:$F$400&lt;&gt;"")*(機器台帳!$C$2:$C$400&lt;=31)*(機器台帳!$C$2:$C$400+機器台帳!$D$2:$D$400-1&gt;=31),0),0))&amp;IF(INDEX(機器台帳!$Y$2:$Y$400,MATCH(1,INDEX((機器台帳!$A$2:$A$400="E24-S8-3")*((機器台帳!$B$2:$B$400="前面")+(機器台帳!$B$2:$B$400="両面")&gt;0)*(機器台帳!$F$2:$F$400&lt;&gt;"")*(機器台帳!$C$2:$C$400&lt;=31)*(機器台帳!$C$2:$C$400+機器台帳!$D$2:$D$400-1&gt;=31),0),0))=0,"|未記入",""))</f>
        <v/>
      </c>
      <c r="L20" s="12">
        <f>IF(SUMPRODUCT((機器台帳!$A$2:$A$400="E24-S8-3")*((機器台帳!$B$2:$B$400="背面")+(機器台帳!$B$2:$B$400="両面")&gt;0)*(機器台帳!$F$2:$F$400&lt;&gt;"")*(機器台帳!$C$2:$C$400&lt;=31)*(機器台帳!$C$2:$C$400+機器台帳!$D$2:$D$400-1&gt;=31))=0,"",INDEX(機器台帳!$F$2:$F$400,MATCH(1,INDEX((機器台帳!$A$2:$A$400="E24-S8-3")*((機器台帳!$B$2:$B$400="背面")+(機器台帳!$B$2:$B$400="両面")&gt;0)*(機器台帳!$F$2:$F$400&lt;&gt;"")*(機器台帳!$C$2:$C$400&lt;=31)*(機器台帳!$C$2:$C$400+機器台帳!$D$2:$D$400-1&gt;=31),0),0))&amp;IF(INDEX(機器台帳!$G$2:$G$400,MATCH(1,INDEX((機器台帳!$A$2:$A$400="E24-S8-3")*((機器台帳!$B$2:$B$400="背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-3")*((機器台帳!$B$2:$B$400="背面")+(機器台帳!$B$2:$B$400="両面")&gt;0)*(機器台帳!$F$2:$F$400&lt;&gt;"")*(機器台帳!$C$2:$C$400&lt;=31)*(機器台帳!$C$2:$C$400+機器台帳!$D$2:$D$400-1&gt;=31),0),0)))&amp;IF(SUMPRODUCT((機器台帳!$A$2:$A$400="E24-S8-3")*((機器台帳!$B$2:$B$400="背面")+(機器台帳!$B$2:$B$400="両面")&gt;0)*(機器台帳!$F$2:$F$400&lt;&gt;"")*(機器台帳!$C$2:$C$400&lt;=31)*(機器台帳!$C$2:$C$400+機器台帳!$D$2:$D$400-1&gt;=31))&gt;1," 他"&amp;(SUMPRODUCT((機器台帳!$A$2:$A$400="E24-S8-3")*((機器台帳!$B$2:$B$400="背面")+(機器台帳!$B$2:$B$400="両面")&gt;0)*(機器台帳!$F$2:$F$400&lt;&gt;"")*(機器台帳!$C$2:$C$400&lt;=31)*(機器台帳!$C$2:$C$400+機器台帳!$D$2:$D$400-1&gt;=31))-1)&amp;"台",""))</f>
        <v/>
      </c>
      <c r="M20">
        <f>IF(SUMPRODUCT((機器台帳!$A$2:$A$400="E24-S8-3")*((機器台帳!$B$2:$B$400="背面")+(機器台帳!$B$2:$B$400="両面")&gt;0)*(機器台帳!$F$2:$F$400&lt;&gt;"")*(機器台帳!$C$2:$C$400&lt;=31)*(機器台帳!$C$2:$C$400+機器台帳!$D$2:$D$400-1&gt;=31))=0,"",INDEX(機器台帳!$I$2:$I$400,MATCH(1,INDEX((機器台帳!$A$2:$A$400="E24-S8-3")*((機器台帳!$B$2:$B$400="背面")+(機器台帳!$B$2:$B$400="両面")&gt;0)*(機器台帳!$F$2:$F$400&lt;&gt;"")*(機器台帳!$C$2:$C$400&lt;=31)*(機器台帳!$C$2:$C$400+機器台帳!$D$2:$D$400-1&gt;=31),0),0))&amp;IF(INDEX(機器台帳!$Y$2:$Y$400,MATCH(1,INDEX((機器台帳!$A$2:$A$400="E24-S8-3")*((機器台帳!$B$2:$B$400="背面")+(機器台帳!$B$2:$B$400="両面")&gt;0)*(機器台帳!$F$2:$F$400&lt;&gt;"")*(機器台帳!$C$2:$C$400&lt;=31)*(機器台帳!$C$2:$C$400+機器台帳!$D$2:$D$400-1&gt;=31),0),0))=0,"|未記入",""))</f>
        <v/>
      </c>
      <c r="N20" s="12">
        <f>IF(SUMPRODUCT((機器台帳!$A$2:$A$400="E24-S8-4")*((機器台帳!$B$2:$B$400="前面")+(機器台帳!$B$2:$B$400="両面")&gt;0)*(機器台帳!$F$2:$F$400&lt;&gt;"")*(機器台帳!$C$2:$C$400&lt;=31)*(機器台帳!$C$2:$C$400+機器台帳!$D$2:$D$400-1&gt;=31))=0,"",INDEX(機器台帳!$F$2:$F$400,MATCH(1,INDEX((機器台帳!$A$2:$A$400="E24-S8-4")*((機器台帳!$B$2:$B$400="前面")+(機器台帳!$B$2:$B$400="両面")&gt;0)*(機器台帳!$F$2:$F$400&lt;&gt;"")*(機器台帳!$C$2:$C$400&lt;=31)*(機器台帳!$C$2:$C$400+機器台帳!$D$2:$D$400-1&gt;=31),0),0))&amp;IF(INDEX(機器台帳!$G$2:$G$400,MATCH(1,INDEX((機器台帳!$A$2:$A$400="E24-S8-4")*((機器台帳!$B$2:$B$400="前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-4")*((機器台帳!$B$2:$B$400="前面")+(機器台帳!$B$2:$B$400="両面")&gt;0)*(機器台帳!$F$2:$F$400&lt;&gt;"")*(機器台帳!$C$2:$C$400&lt;=31)*(機器台帳!$C$2:$C$400+機器台帳!$D$2:$D$400-1&gt;=31),0),0)))&amp;IF(SUMPRODUCT((機器台帳!$A$2:$A$400="E24-S8-4")*((機器台帳!$B$2:$B$400="前面")+(機器台帳!$B$2:$B$400="両面")&gt;0)*(機器台帳!$F$2:$F$400&lt;&gt;"")*(機器台帳!$C$2:$C$400&lt;=31)*(機器台帳!$C$2:$C$400+機器台帳!$D$2:$D$400-1&gt;=31))&gt;1," 他"&amp;(SUMPRODUCT((機器台帳!$A$2:$A$400="E24-S8-4")*((機器台帳!$B$2:$B$400="前面")+(機器台帳!$B$2:$B$400="両面")&gt;0)*(機器台帳!$F$2:$F$400&lt;&gt;"")*(機器台帳!$C$2:$C$400&lt;=31)*(機器台帳!$C$2:$C$400+機器台帳!$D$2:$D$400-1&gt;=31))-1)&amp;"台",""))</f>
        <v/>
      </c>
      <c r="O20">
        <f>IF(SUMPRODUCT((機器台帳!$A$2:$A$400="E24-S8-4")*((機器台帳!$B$2:$B$400="前面")+(機器台帳!$B$2:$B$400="両面")&gt;0)*(機器台帳!$F$2:$F$400&lt;&gt;"")*(機器台帳!$C$2:$C$400&lt;=31)*(機器台帳!$C$2:$C$400+機器台帳!$D$2:$D$400-1&gt;=31))=0,"",INDEX(機器台帳!$I$2:$I$400,MATCH(1,INDEX((機器台帳!$A$2:$A$400="E24-S8-4")*((機器台帳!$B$2:$B$400="前面")+(機器台帳!$B$2:$B$400="両面")&gt;0)*(機器台帳!$F$2:$F$400&lt;&gt;"")*(機器台帳!$C$2:$C$400&lt;=31)*(機器台帳!$C$2:$C$400+機器台帳!$D$2:$D$400-1&gt;=31),0),0))&amp;IF(INDEX(機器台帳!$Y$2:$Y$400,MATCH(1,INDEX((機器台帳!$A$2:$A$400="E24-S8-4")*((機器台帳!$B$2:$B$400="前面")+(機器台帳!$B$2:$B$400="両面")&gt;0)*(機器台帳!$F$2:$F$400&lt;&gt;"")*(機器台帳!$C$2:$C$400&lt;=31)*(機器台帳!$C$2:$C$400+機器台帳!$D$2:$D$400-1&gt;=31),0),0))=0,"|未記入",""))</f>
        <v/>
      </c>
      <c r="P20" s="12">
        <f>IF(SUMPRODUCT((機器台帳!$A$2:$A$400="E24-S8-4")*((機器台帳!$B$2:$B$400="背面")+(機器台帳!$B$2:$B$400="両面")&gt;0)*(機器台帳!$F$2:$F$400&lt;&gt;"")*(機器台帳!$C$2:$C$400&lt;=31)*(機器台帳!$C$2:$C$400+機器台帳!$D$2:$D$400-1&gt;=31))=0,"",INDEX(機器台帳!$F$2:$F$400,MATCH(1,INDEX((機器台帳!$A$2:$A$400="E24-S8-4")*((機器台帳!$B$2:$B$400="背面")+(機器台帳!$B$2:$B$400="両面")&gt;0)*(機器台帳!$F$2:$F$400&lt;&gt;"")*(機器台帳!$C$2:$C$400&lt;=31)*(機器台帳!$C$2:$C$400+機器台帳!$D$2:$D$400-1&gt;=31),0),0))&amp;IF(INDEX(機器台帳!$G$2:$G$400,MATCH(1,INDEX((機器台帳!$A$2:$A$400="E24-S8-4")*((機器台帳!$B$2:$B$400="背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-4")*((機器台帳!$B$2:$B$400="背面")+(機器台帳!$B$2:$B$400="両面")&gt;0)*(機器台帳!$F$2:$F$400&lt;&gt;"")*(機器台帳!$C$2:$C$400&lt;=31)*(機器台帳!$C$2:$C$400+機器台帳!$D$2:$D$400-1&gt;=31),0),0)))&amp;IF(SUMPRODUCT((機器台帳!$A$2:$A$400="E24-S8-4")*((機器台帳!$B$2:$B$400="背面")+(機器台帳!$B$2:$B$400="両面")&gt;0)*(機器台帳!$F$2:$F$400&lt;&gt;"")*(機器台帳!$C$2:$C$400&lt;=31)*(機器台帳!$C$2:$C$400+機器台帳!$D$2:$D$400-1&gt;=31))&gt;1," 他"&amp;(SUMPRODUCT((機器台帳!$A$2:$A$400="E24-S8-4")*((機器台帳!$B$2:$B$400="背面")+(機器台帳!$B$2:$B$400="両面")&gt;0)*(機器台帳!$F$2:$F$400&lt;&gt;"")*(機器台帳!$C$2:$C$400&lt;=31)*(機器台帳!$C$2:$C$400+機器台帳!$D$2:$D$400-1&gt;=31))-1)&amp;"台",""))</f>
        <v/>
      </c>
      <c r="Q20">
        <f>IF(SUMPRODUCT((機器台帳!$A$2:$A$400="E24-S8-4")*((機器台帳!$B$2:$B$400="背面")+(機器台帳!$B$2:$B$400="両面")&gt;0)*(機器台帳!$F$2:$F$400&lt;&gt;"")*(機器台帳!$C$2:$C$400&lt;=31)*(機器台帳!$C$2:$C$400+機器台帳!$D$2:$D$400-1&gt;=31))=0,"",INDEX(機器台帳!$I$2:$I$400,MATCH(1,INDEX((機器台帳!$A$2:$A$400="E24-S8-4")*((機器台帳!$B$2:$B$400="背面")+(機器台帳!$B$2:$B$400="両面")&gt;0)*(機器台帳!$F$2:$F$400&lt;&gt;"")*(機器台帳!$C$2:$C$400&lt;=31)*(機器台帳!$C$2:$C$400+機器台帳!$D$2:$D$400-1&gt;=31),0),0))&amp;IF(INDEX(機器台帳!$Y$2:$Y$400,MATCH(1,INDEX((機器台帳!$A$2:$A$400="E24-S8-4")*((機器台帳!$B$2:$B$400="背面")+(機器台帳!$B$2:$B$400="両面")&gt;0)*(機器台帳!$F$2:$F$400&lt;&gt;"")*(機器台帳!$C$2:$C$400&lt;=31)*(機器台帳!$C$2:$C$400+機器台帳!$D$2:$D$400-1&gt;=31),0),0))=0,"|未記入",""))</f>
        <v/>
      </c>
      <c r="R20" s="12">
        <f>IF(SUMPRODUCT((機器台帳!$A$2:$A$400="E24-S8-5")*((機器台帳!$B$2:$B$400="前面")+(機器台帳!$B$2:$B$400="両面")&gt;0)*(機器台帳!$F$2:$F$400&lt;&gt;"")*(機器台帳!$C$2:$C$400&lt;=31)*(機器台帳!$C$2:$C$400+機器台帳!$D$2:$D$400-1&gt;=31))=0,"",INDEX(機器台帳!$F$2:$F$400,MATCH(1,INDEX((機器台帳!$A$2:$A$400="E24-S8-5")*((機器台帳!$B$2:$B$400="前面")+(機器台帳!$B$2:$B$400="両面")&gt;0)*(機器台帳!$F$2:$F$400&lt;&gt;"")*(機器台帳!$C$2:$C$400&lt;=31)*(機器台帳!$C$2:$C$400+機器台帳!$D$2:$D$400-1&gt;=31),0),0))&amp;IF(INDEX(機器台帳!$G$2:$G$400,MATCH(1,INDEX((機器台帳!$A$2:$A$400="E24-S8-5")*((機器台帳!$B$2:$B$400="前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-5")*((機器台帳!$B$2:$B$400="前面")+(機器台帳!$B$2:$B$400="両面")&gt;0)*(機器台帳!$F$2:$F$400&lt;&gt;"")*(機器台帳!$C$2:$C$400&lt;=31)*(機器台帳!$C$2:$C$400+機器台帳!$D$2:$D$400-1&gt;=31),0),0)))&amp;IF(SUMPRODUCT((機器台帳!$A$2:$A$400="E24-S8-5")*((機器台帳!$B$2:$B$400="前面")+(機器台帳!$B$2:$B$400="両面")&gt;0)*(機器台帳!$F$2:$F$400&lt;&gt;"")*(機器台帳!$C$2:$C$400&lt;=31)*(機器台帳!$C$2:$C$400+機器台帳!$D$2:$D$400-1&gt;=31))&gt;1," 他"&amp;(SUMPRODUCT((機器台帳!$A$2:$A$400="E24-S8-5")*((機器台帳!$B$2:$B$400="前面")+(機器台帳!$B$2:$B$400="両面")&gt;0)*(機器台帳!$F$2:$F$400&lt;&gt;"")*(機器台帳!$C$2:$C$400&lt;=31)*(機器台帳!$C$2:$C$400+機器台帳!$D$2:$D$400-1&gt;=31))-1)&amp;"台",""))</f>
        <v/>
      </c>
      <c r="S20">
        <f>IF(SUMPRODUCT((機器台帳!$A$2:$A$400="E24-S8-5")*((機器台帳!$B$2:$B$400="前面")+(機器台帳!$B$2:$B$400="両面")&gt;0)*(機器台帳!$F$2:$F$400&lt;&gt;"")*(機器台帳!$C$2:$C$400&lt;=31)*(機器台帳!$C$2:$C$400+機器台帳!$D$2:$D$400-1&gt;=31))=0,"",INDEX(機器台帳!$I$2:$I$400,MATCH(1,INDEX((機器台帳!$A$2:$A$400="E24-S8-5")*((機器台帳!$B$2:$B$400="前面")+(機器台帳!$B$2:$B$400="両面")&gt;0)*(機器台帳!$F$2:$F$400&lt;&gt;"")*(機器台帳!$C$2:$C$400&lt;=31)*(機器台帳!$C$2:$C$400+機器台帳!$D$2:$D$400-1&gt;=31),0),0))&amp;IF(INDEX(機器台帳!$Y$2:$Y$400,MATCH(1,INDEX((機器台帳!$A$2:$A$400="E24-S8-5")*((機器台帳!$B$2:$B$400="前面")+(機器台帳!$B$2:$B$400="両面")&gt;0)*(機器台帳!$F$2:$F$400&lt;&gt;"")*(機器台帳!$C$2:$C$400&lt;=31)*(機器台帳!$C$2:$C$400+機器台帳!$D$2:$D$400-1&gt;=31),0),0))=0,"|未記入",""))</f>
        <v/>
      </c>
      <c r="T20" s="12">
        <f>IF(SUMPRODUCT((機器台帳!$A$2:$A$400="E24-S8-5")*((機器台帳!$B$2:$B$400="背面")+(機器台帳!$B$2:$B$400="両面")&gt;0)*(機器台帳!$F$2:$F$400&lt;&gt;"")*(機器台帳!$C$2:$C$400&lt;=31)*(機器台帳!$C$2:$C$400+機器台帳!$D$2:$D$400-1&gt;=31))=0,"",INDEX(機器台帳!$F$2:$F$400,MATCH(1,INDEX((機器台帳!$A$2:$A$400="E24-S8-5")*((機器台帳!$B$2:$B$400="背面")+(機器台帳!$B$2:$B$400="両面")&gt;0)*(機器台帳!$F$2:$F$400&lt;&gt;"")*(機器台帳!$C$2:$C$400&lt;=31)*(機器台帳!$C$2:$C$400+機器台帳!$D$2:$D$400-1&gt;=31),0),0))&amp;IF(INDEX(機器台帳!$G$2:$G$400,MATCH(1,INDEX((機器台帳!$A$2:$A$400="E24-S8-5")*((機器台帳!$B$2:$B$400="背面")+(機器台帳!$B$2:$B$400="両面")&gt;0)*(機器台帳!$F$2:$F$400&lt;&gt;"")*(機器台帳!$C$2:$C$400&lt;=31)*(機器台帳!$C$2:$C$400+機器台帳!$D$2:$D$400-1&gt;=31),0),0))=""," "," "&amp;INDEX(機器台帳!$G$2:$G$400,MATCH(1,INDEX((機器台帳!$A$2:$A$400="E24-S8-5")*((機器台帳!$B$2:$B$400="背面")+(機器台帳!$B$2:$B$400="両面")&gt;0)*(機器台帳!$F$2:$F$400&lt;&gt;"")*(機器台帳!$C$2:$C$400&lt;=31)*(機器台帳!$C$2:$C$400+機器台帳!$D$2:$D$400-1&gt;=31),0),0)))&amp;IF(SUMPRODUCT((機器台帳!$A$2:$A$400="E24-S8-5")*((機器台帳!$B$2:$B$400="背面")+(機器台帳!$B$2:$B$400="両面")&gt;0)*(機器台帳!$F$2:$F$400&lt;&gt;"")*(機器台帳!$C$2:$C$400&lt;=31)*(機器台帳!$C$2:$C$400+機器台帳!$D$2:$D$400-1&gt;=31))&gt;1," 他"&amp;(SUMPRODUCT((機器台帳!$A$2:$A$400="E24-S8-5")*((機器台帳!$B$2:$B$400="背面")+(機器台帳!$B$2:$B$400="両面")&gt;0)*(機器台帳!$F$2:$F$400&lt;&gt;"")*(機器台帳!$C$2:$C$400&lt;=31)*(機器台帳!$C$2:$C$400+機器台帳!$D$2:$D$400-1&gt;=31))-1)&amp;"台",""))</f>
        <v/>
      </c>
      <c r="U20">
        <f>IF(SUMPRODUCT((機器台帳!$A$2:$A$400="E24-S8-5")*((機器台帳!$B$2:$B$400="背面")+(機器台帳!$B$2:$B$400="両面")&gt;0)*(機器台帳!$F$2:$F$400&lt;&gt;"")*(機器台帳!$C$2:$C$400&lt;=31)*(機器台帳!$C$2:$C$400+機器台帳!$D$2:$D$400-1&gt;=31))=0,"",INDEX(機器台帳!$I$2:$I$400,MATCH(1,INDEX((機器台帳!$A$2:$A$400="E24-S8-5")*((機器台帳!$B$2:$B$400="背面")+(機器台帳!$B$2:$B$400="両面")&gt;0)*(機器台帳!$F$2:$F$400&lt;&gt;"")*(機器台帳!$C$2:$C$400&lt;=31)*(機器台帳!$C$2:$C$400+機器台帳!$D$2:$D$400-1&gt;=31),0),0))&amp;IF(INDEX(機器台帳!$Y$2:$Y$400,MATCH(1,INDEX((機器台帳!$A$2:$A$400="E24-S8-5")*((機器台帳!$B$2:$B$400="背面")+(機器台帳!$B$2:$B$400="両面")&gt;0)*(機器台帳!$F$2:$F$400&lt;&gt;"")*(機器台帳!$C$2:$C$400&lt;=31)*(機器台帳!$C$2:$C$400+機器台帳!$D$2:$D$400-1&gt;=31),0),0))=0,"|未記入",""))</f>
        <v/>
      </c>
      <c r="V20" s="12">
        <f>IF(SUMPRODUCT((機器台帳!$A$2:$A$400="E24-S6-1")*((機器台帳!$B$2:$B$400="前面")+(機器台帳!$B$2:$B$400="両面")&gt;0)*(機器台帳!$F$2:$F$400&lt;&gt;"")*(機器台帳!$C$2:$C$400&lt;=31)*(機器台帳!$C$2:$C$400+機器台帳!$D$2:$D$400-1&gt;=31))=0,"",INDEX(機器台帳!$F$2:$F$400,MATCH(1,INDEX((機器台帳!$A$2:$A$400="E24-S6-1")*((機器台帳!$B$2:$B$400="前面")+(機器台帳!$B$2:$B$400="両面")&gt;0)*(機器台帳!$F$2:$F$400&lt;&gt;"")*(機器台帳!$C$2:$C$400&lt;=31)*(機器台帳!$C$2:$C$400+機器台帳!$D$2:$D$400-1&gt;=31),0),0))&amp;IF(INDEX(機器台帳!$G$2:$G$400,MATCH(1,INDEX((機器台帳!$A$2:$A$400="E24-S6-1")*((機器台帳!$B$2:$B$400="前面")+(機器台帳!$B$2:$B$400="両面")&gt;0)*(機器台帳!$F$2:$F$400&lt;&gt;"")*(機器台帳!$C$2:$C$400&lt;=31)*(機器台帳!$C$2:$C$400+機器台帳!$D$2:$D$400-1&gt;=31),0),0))=""," "," "&amp;INDEX(機器台帳!$G$2:$G$400,MATCH(1,INDEX((機器台帳!$A$2:$A$400="E24-S6-1")*((機器台帳!$B$2:$B$400="前面")+(機器台帳!$B$2:$B$400="両面")&gt;0)*(機器台帳!$F$2:$F$400&lt;&gt;"")*(機器台帳!$C$2:$C$400&lt;=31)*(機器台帳!$C$2:$C$400+機器台帳!$D$2:$D$400-1&gt;=31),0),0)))&amp;IF(SUMPRODUCT((機器台帳!$A$2:$A$400="E24-S6-1")*((機器台帳!$B$2:$B$400="前面")+(機器台帳!$B$2:$B$400="両面")&gt;0)*(機器台帳!$F$2:$F$400&lt;&gt;"")*(機器台帳!$C$2:$C$400&lt;=31)*(機器台帳!$C$2:$C$400+機器台帳!$D$2:$D$400-1&gt;=31))&gt;1," 他"&amp;(SUMPRODUCT((機器台帳!$A$2:$A$400="E24-S6-1")*((機器台帳!$B$2:$B$400="前面")+(機器台帳!$B$2:$B$400="両面")&gt;0)*(機器台帳!$F$2:$F$400&lt;&gt;"")*(機器台帳!$C$2:$C$400&lt;=31)*(機器台帳!$C$2:$C$400+機器台帳!$D$2:$D$400-1&gt;=31))-1)&amp;"台",""))</f>
        <v/>
      </c>
      <c r="W20">
        <f>IF(SUMPRODUCT((機器台帳!$A$2:$A$400="E24-S6-1")*((機器台帳!$B$2:$B$400="前面")+(機器台帳!$B$2:$B$400="両面")&gt;0)*(機器台帳!$F$2:$F$400&lt;&gt;"")*(機器台帳!$C$2:$C$400&lt;=31)*(機器台帳!$C$2:$C$400+機器台帳!$D$2:$D$400-1&gt;=31))=0,"",INDEX(機器台帳!$I$2:$I$400,MATCH(1,INDEX((機器台帳!$A$2:$A$400="E24-S6-1")*((機器台帳!$B$2:$B$400="前面")+(機器台帳!$B$2:$B$400="両面")&gt;0)*(機器台帳!$F$2:$F$400&lt;&gt;"")*(機器台帳!$C$2:$C$400&lt;=31)*(機器台帳!$C$2:$C$400+機器台帳!$D$2:$D$400-1&gt;=31),0),0))&amp;IF(INDEX(機器台帳!$Y$2:$Y$400,MATCH(1,INDEX((機器台帳!$A$2:$A$400="E24-S6-1")*((機器台帳!$B$2:$B$400="前面")+(機器台帳!$B$2:$B$400="両面")&gt;0)*(機器台帳!$F$2:$F$400&lt;&gt;"")*(機器台帳!$C$2:$C$400&lt;=31)*(機器台帳!$C$2:$C$400+機器台帳!$D$2:$D$400-1&gt;=31),0),0))=0,"|未記入",""))</f>
        <v/>
      </c>
      <c r="X20" s="12">
        <f>IF(SUMPRODUCT((機器台帳!$A$2:$A$400="E24-S6-1")*((機器台帳!$B$2:$B$400="背面")+(機器台帳!$B$2:$B$400="両面")&gt;0)*(機器台帳!$F$2:$F$400&lt;&gt;"")*(機器台帳!$C$2:$C$400&lt;=31)*(機器台帳!$C$2:$C$400+機器台帳!$D$2:$D$400-1&gt;=31))=0,"",INDEX(機器台帳!$F$2:$F$400,MATCH(1,INDEX((機器台帳!$A$2:$A$400="E24-S6-1")*((機器台帳!$B$2:$B$400="背面")+(機器台帳!$B$2:$B$400="両面")&gt;0)*(機器台帳!$F$2:$F$400&lt;&gt;"")*(機器台帳!$C$2:$C$400&lt;=31)*(機器台帳!$C$2:$C$400+機器台帳!$D$2:$D$400-1&gt;=31),0),0))&amp;IF(INDEX(機器台帳!$G$2:$G$400,MATCH(1,INDEX((機器台帳!$A$2:$A$400="E24-S6-1")*((機器台帳!$B$2:$B$400="背面")+(機器台帳!$B$2:$B$400="両面")&gt;0)*(機器台帳!$F$2:$F$400&lt;&gt;"")*(機器台帳!$C$2:$C$400&lt;=31)*(機器台帳!$C$2:$C$400+機器台帳!$D$2:$D$400-1&gt;=31),0),0))=""," "," "&amp;INDEX(機器台帳!$G$2:$G$400,MATCH(1,INDEX((機器台帳!$A$2:$A$400="E24-S6-1")*((機器台帳!$B$2:$B$400="背面")+(機器台帳!$B$2:$B$400="両面")&gt;0)*(機器台帳!$F$2:$F$400&lt;&gt;"")*(機器台帳!$C$2:$C$400&lt;=31)*(機器台帳!$C$2:$C$400+機器台帳!$D$2:$D$400-1&gt;=31),0),0)))&amp;IF(SUMPRODUCT((機器台帳!$A$2:$A$400="E24-S6-1")*((機器台帳!$B$2:$B$400="背面")+(機器台帳!$B$2:$B$400="両面")&gt;0)*(機器台帳!$F$2:$F$400&lt;&gt;"")*(機器台帳!$C$2:$C$400&lt;=31)*(機器台帳!$C$2:$C$400+機器台帳!$D$2:$D$400-1&gt;=31))&gt;1," 他"&amp;(SUMPRODUCT((機器台帳!$A$2:$A$400="E24-S6-1")*((機器台帳!$B$2:$B$400="背面")+(機器台帳!$B$2:$B$400="両面")&gt;0)*(機器台帳!$F$2:$F$400&lt;&gt;"")*(機器台帳!$C$2:$C$400&lt;=31)*(機器台帳!$C$2:$C$400+機器台帳!$D$2:$D$400-1&gt;=31))-1)&amp;"台",""))</f>
        <v/>
      </c>
      <c r="Y20">
        <f>IF(SUMPRODUCT((機器台帳!$A$2:$A$400="E24-S6-1")*((機器台帳!$B$2:$B$400="背面")+(機器台帳!$B$2:$B$400="両面")&gt;0)*(機器台帳!$F$2:$F$400&lt;&gt;"")*(機器台帳!$C$2:$C$400&lt;=31)*(機器台帳!$C$2:$C$400+機器台帳!$D$2:$D$400-1&gt;=31))=0,"",INDEX(機器台帳!$I$2:$I$400,MATCH(1,INDEX((機器台帳!$A$2:$A$400="E24-S6-1")*((機器台帳!$B$2:$B$400="背面")+(機器台帳!$B$2:$B$400="両面")&gt;0)*(機器台帳!$F$2:$F$400&lt;&gt;"")*(機器台帳!$C$2:$C$400&lt;=31)*(機器台帳!$C$2:$C$400+機器台帳!$D$2:$D$400-1&gt;=31),0),0))&amp;IF(INDEX(機器台帳!$Y$2:$Y$400,MATCH(1,INDEX((機器台帳!$A$2:$A$400="E24-S6-1")*((機器台帳!$B$2:$B$400="背面")+(機器台帳!$B$2:$B$400="両面")&gt;0)*(機器台帳!$F$2:$F$400&lt;&gt;"")*(機器台帳!$C$2:$C$400&lt;=31)*(機器台帳!$C$2:$C$400+機器台帳!$D$2:$D$400-1&gt;=31),0),0))=0,"|未記入",""))</f>
        <v/>
      </c>
    </row>
    <row r="21">
      <c r="A21" s="11" t="n">
        <v>30</v>
      </c>
      <c r="B21" s="12">
        <f>IF(SUMPRODUCT((機器台帳!$A$2:$A$400="E24-S8-1")*((機器台帳!$B$2:$B$400="前面")+(機器台帳!$B$2:$B$400="両面")&gt;0)*(機器台帳!$F$2:$F$400&lt;&gt;"")*(機器台帳!$C$2:$C$400&lt;=30)*(機器台帳!$C$2:$C$400+機器台帳!$D$2:$D$400-1&gt;=30))=0,"",INDEX(機器台帳!$F$2:$F$400,MATCH(1,INDEX((機器台帳!$A$2:$A$400="E24-S8-1")*((機器台帳!$B$2:$B$400="前面")+(機器台帳!$B$2:$B$400="両面")&gt;0)*(機器台帳!$F$2:$F$400&lt;&gt;"")*(機器台帳!$C$2:$C$400&lt;=30)*(機器台帳!$C$2:$C$400+機器台帳!$D$2:$D$400-1&gt;=30),0),0))&amp;IF(INDEX(機器台帳!$G$2:$G$400,MATCH(1,INDEX((機器台帳!$A$2:$A$400="E24-S8-1")*((機器台帳!$B$2:$B$400="前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-1")*((機器台帳!$B$2:$B$400="前面")+(機器台帳!$B$2:$B$400="両面")&gt;0)*(機器台帳!$F$2:$F$400&lt;&gt;"")*(機器台帳!$C$2:$C$400&lt;=30)*(機器台帳!$C$2:$C$400+機器台帳!$D$2:$D$400-1&gt;=30),0),0)))&amp;IF(SUMPRODUCT((機器台帳!$A$2:$A$400="E24-S8-1")*((機器台帳!$B$2:$B$400="前面")+(機器台帳!$B$2:$B$400="両面")&gt;0)*(機器台帳!$F$2:$F$400&lt;&gt;"")*(機器台帳!$C$2:$C$400&lt;=30)*(機器台帳!$C$2:$C$400+機器台帳!$D$2:$D$400-1&gt;=30))&gt;1," 他"&amp;(SUMPRODUCT((機器台帳!$A$2:$A$400="E24-S8-1")*((機器台帳!$B$2:$B$400="前面")+(機器台帳!$B$2:$B$400="両面")&gt;0)*(機器台帳!$F$2:$F$400&lt;&gt;"")*(機器台帳!$C$2:$C$400&lt;=30)*(機器台帳!$C$2:$C$400+機器台帳!$D$2:$D$400-1&gt;=30))-1)&amp;"台",""))</f>
        <v/>
      </c>
      <c r="C21">
        <f>IF(SUMPRODUCT((機器台帳!$A$2:$A$400="E24-S8-1")*((機器台帳!$B$2:$B$400="前面")+(機器台帳!$B$2:$B$400="両面")&gt;0)*(機器台帳!$F$2:$F$400&lt;&gt;"")*(機器台帳!$C$2:$C$400&lt;=30)*(機器台帳!$C$2:$C$400+機器台帳!$D$2:$D$400-1&gt;=30))=0,"",INDEX(機器台帳!$I$2:$I$400,MATCH(1,INDEX((機器台帳!$A$2:$A$400="E24-S8-1")*((機器台帳!$B$2:$B$400="前面")+(機器台帳!$B$2:$B$400="両面")&gt;0)*(機器台帳!$F$2:$F$400&lt;&gt;"")*(機器台帳!$C$2:$C$400&lt;=30)*(機器台帳!$C$2:$C$400+機器台帳!$D$2:$D$400-1&gt;=30),0),0))&amp;IF(INDEX(機器台帳!$Y$2:$Y$400,MATCH(1,INDEX((機器台帳!$A$2:$A$400="E24-S8-1")*((機器台帳!$B$2:$B$400="前面")+(機器台帳!$B$2:$B$400="両面")&gt;0)*(機器台帳!$F$2:$F$400&lt;&gt;"")*(機器台帳!$C$2:$C$400&lt;=30)*(機器台帳!$C$2:$C$400+機器台帳!$D$2:$D$400-1&gt;=30),0),0))=0,"|未記入",""))</f>
        <v/>
      </c>
      <c r="D21" s="12">
        <f>IF(SUMPRODUCT((機器台帳!$A$2:$A$400="E24-S8-1")*((機器台帳!$B$2:$B$400="背面")+(機器台帳!$B$2:$B$400="両面")&gt;0)*(機器台帳!$F$2:$F$400&lt;&gt;"")*(機器台帳!$C$2:$C$400&lt;=30)*(機器台帳!$C$2:$C$400+機器台帳!$D$2:$D$400-1&gt;=30))=0,"",INDEX(機器台帳!$F$2:$F$400,MATCH(1,INDEX((機器台帳!$A$2:$A$400="E24-S8-1")*((機器台帳!$B$2:$B$400="背面")+(機器台帳!$B$2:$B$400="両面")&gt;0)*(機器台帳!$F$2:$F$400&lt;&gt;"")*(機器台帳!$C$2:$C$400&lt;=30)*(機器台帳!$C$2:$C$400+機器台帳!$D$2:$D$400-1&gt;=30),0),0))&amp;IF(INDEX(機器台帳!$G$2:$G$400,MATCH(1,INDEX((機器台帳!$A$2:$A$400="E24-S8-1")*((機器台帳!$B$2:$B$400="背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-1")*((機器台帳!$B$2:$B$400="背面")+(機器台帳!$B$2:$B$400="両面")&gt;0)*(機器台帳!$F$2:$F$400&lt;&gt;"")*(機器台帳!$C$2:$C$400&lt;=30)*(機器台帳!$C$2:$C$400+機器台帳!$D$2:$D$400-1&gt;=30),0),0)))&amp;IF(SUMPRODUCT((機器台帳!$A$2:$A$400="E24-S8-1")*((機器台帳!$B$2:$B$400="背面")+(機器台帳!$B$2:$B$400="両面")&gt;0)*(機器台帳!$F$2:$F$400&lt;&gt;"")*(機器台帳!$C$2:$C$400&lt;=30)*(機器台帳!$C$2:$C$400+機器台帳!$D$2:$D$400-1&gt;=30))&gt;1," 他"&amp;(SUMPRODUCT((機器台帳!$A$2:$A$400="E24-S8-1")*((機器台帳!$B$2:$B$400="背面")+(機器台帳!$B$2:$B$400="両面")&gt;0)*(機器台帳!$F$2:$F$400&lt;&gt;"")*(機器台帳!$C$2:$C$400&lt;=30)*(機器台帳!$C$2:$C$400+機器台帳!$D$2:$D$400-1&gt;=30))-1)&amp;"台",""))</f>
        <v/>
      </c>
      <c r="E21">
        <f>IF(SUMPRODUCT((機器台帳!$A$2:$A$400="E24-S8-1")*((機器台帳!$B$2:$B$400="背面")+(機器台帳!$B$2:$B$400="両面")&gt;0)*(機器台帳!$F$2:$F$400&lt;&gt;"")*(機器台帳!$C$2:$C$400&lt;=30)*(機器台帳!$C$2:$C$400+機器台帳!$D$2:$D$400-1&gt;=30))=0,"",INDEX(機器台帳!$I$2:$I$400,MATCH(1,INDEX((機器台帳!$A$2:$A$400="E24-S8-1")*((機器台帳!$B$2:$B$400="背面")+(機器台帳!$B$2:$B$400="両面")&gt;0)*(機器台帳!$F$2:$F$400&lt;&gt;"")*(機器台帳!$C$2:$C$400&lt;=30)*(機器台帳!$C$2:$C$400+機器台帳!$D$2:$D$400-1&gt;=30),0),0))&amp;IF(INDEX(機器台帳!$Y$2:$Y$400,MATCH(1,INDEX((機器台帳!$A$2:$A$400="E24-S8-1")*((機器台帳!$B$2:$B$400="背面")+(機器台帳!$B$2:$B$400="両面")&gt;0)*(機器台帳!$F$2:$F$400&lt;&gt;"")*(機器台帳!$C$2:$C$400&lt;=30)*(機器台帳!$C$2:$C$400+機器台帳!$D$2:$D$400-1&gt;=30),0),0))=0,"|未記入",""))</f>
        <v/>
      </c>
      <c r="F21" s="12">
        <f>IF(SUMPRODUCT((機器台帳!$A$2:$A$400="E24-S8-2")*((機器台帳!$B$2:$B$400="前面")+(機器台帳!$B$2:$B$400="両面")&gt;0)*(機器台帳!$F$2:$F$400&lt;&gt;"")*(機器台帳!$C$2:$C$400&lt;=30)*(機器台帳!$C$2:$C$400+機器台帳!$D$2:$D$400-1&gt;=30))=0,"",INDEX(機器台帳!$F$2:$F$400,MATCH(1,INDEX((機器台帳!$A$2:$A$400="E24-S8-2")*((機器台帳!$B$2:$B$400="前面")+(機器台帳!$B$2:$B$400="両面")&gt;0)*(機器台帳!$F$2:$F$400&lt;&gt;"")*(機器台帳!$C$2:$C$400&lt;=30)*(機器台帳!$C$2:$C$400+機器台帳!$D$2:$D$400-1&gt;=30),0),0))&amp;IF(INDEX(機器台帳!$G$2:$G$400,MATCH(1,INDEX((機器台帳!$A$2:$A$400="E24-S8-2")*((機器台帳!$B$2:$B$400="前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-2")*((機器台帳!$B$2:$B$400="前面")+(機器台帳!$B$2:$B$400="両面")&gt;0)*(機器台帳!$F$2:$F$400&lt;&gt;"")*(機器台帳!$C$2:$C$400&lt;=30)*(機器台帳!$C$2:$C$400+機器台帳!$D$2:$D$400-1&gt;=30),0),0)))&amp;IF(SUMPRODUCT((機器台帳!$A$2:$A$400="E24-S8-2")*((機器台帳!$B$2:$B$400="前面")+(機器台帳!$B$2:$B$400="両面")&gt;0)*(機器台帳!$F$2:$F$400&lt;&gt;"")*(機器台帳!$C$2:$C$400&lt;=30)*(機器台帳!$C$2:$C$400+機器台帳!$D$2:$D$400-1&gt;=30))&gt;1," 他"&amp;(SUMPRODUCT((機器台帳!$A$2:$A$400="E24-S8-2")*((機器台帳!$B$2:$B$400="前面")+(機器台帳!$B$2:$B$400="両面")&gt;0)*(機器台帳!$F$2:$F$400&lt;&gt;"")*(機器台帳!$C$2:$C$400&lt;=30)*(機器台帳!$C$2:$C$400+機器台帳!$D$2:$D$400-1&gt;=30))-1)&amp;"台",""))</f>
        <v/>
      </c>
      <c r="G21">
        <f>IF(SUMPRODUCT((機器台帳!$A$2:$A$400="E24-S8-2")*((機器台帳!$B$2:$B$400="前面")+(機器台帳!$B$2:$B$400="両面")&gt;0)*(機器台帳!$F$2:$F$400&lt;&gt;"")*(機器台帳!$C$2:$C$400&lt;=30)*(機器台帳!$C$2:$C$400+機器台帳!$D$2:$D$400-1&gt;=30))=0,"",INDEX(機器台帳!$I$2:$I$400,MATCH(1,INDEX((機器台帳!$A$2:$A$400="E24-S8-2")*((機器台帳!$B$2:$B$400="前面")+(機器台帳!$B$2:$B$400="両面")&gt;0)*(機器台帳!$F$2:$F$400&lt;&gt;"")*(機器台帳!$C$2:$C$400&lt;=30)*(機器台帳!$C$2:$C$400+機器台帳!$D$2:$D$400-1&gt;=30),0),0))&amp;IF(INDEX(機器台帳!$Y$2:$Y$400,MATCH(1,INDEX((機器台帳!$A$2:$A$400="E24-S8-2")*((機器台帳!$B$2:$B$400="前面")+(機器台帳!$B$2:$B$400="両面")&gt;0)*(機器台帳!$F$2:$F$400&lt;&gt;"")*(機器台帳!$C$2:$C$400&lt;=30)*(機器台帳!$C$2:$C$400+機器台帳!$D$2:$D$400-1&gt;=30),0),0))=0,"|未記入",""))</f>
        <v/>
      </c>
      <c r="H21" s="12">
        <f>IF(SUMPRODUCT((機器台帳!$A$2:$A$400="E24-S8-2")*((機器台帳!$B$2:$B$400="背面")+(機器台帳!$B$2:$B$400="両面")&gt;0)*(機器台帳!$F$2:$F$400&lt;&gt;"")*(機器台帳!$C$2:$C$400&lt;=30)*(機器台帳!$C$2:$C$400+機器台帳!$D$2:$D$400-1&gt;=30))=0,"",INDEX(機器台帳!$F$2:$F$400,MATCH(1,INDEX((機器台帳!$A$2:$A$400="E24-S8-2")*((機器台帳!$B$2:$B$400="背面")+(機器台帳!$B$2:$B$400="両面")&gt;0)*(機器台帳!$F$2:$F$400&lt;&gt;"")*(機器台帳!$C$2:$C$400&lt;=30)*(機器台帳!$C$2:$C$400+機器台帳!$D$2:$D$400-1&gt;=30),0),0))&amp;IF(INDEX(機器台帳!$G$2:$G$400,MATCH(1,INDEX((機器台帳!$A$2:$A$400="E24-S8-2")*((機器台帳!$B$2:$B$400="背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-2")*((機器台帳!$B$2:$B$400="背面")+(機器台帳!$B$2:$B$400="両面")&gt;0)*(機器台帳!$F$2:$F$400&lt;&gt;"")*(機器台帳!$C$2:$C$400&lt;=30)*(機器台帳!$C$2:$C$400+機器台帳!$D$2:$D$400-1&gt;=30),0),0)))&amp;IF(SUMPRODUCT((機器台帳!$A$2:$A$400="E24-S8-2")*((機器台帳!$B$2:$B$400="背面")+(機器台帳!$B$2:$B$400="両面")&gt;0)*(機器台帳!$F$2:$F$400&lt;&gt;"")*(機器台帳!$C$2:$C$400&lt;=30)*(機器台帳!$C$2:$C$400+機器台帳!$D$2:$D$400-1&gt;=30))&gt;1," 他"&amp;(SUMPRODUCT((機器台帳!$A$2:$A$400="E24-S8-2")*((機器台帳!$B$2:$B$400="背面")+(機器台帳!$B$2:$B$400="両面")&gt;0)*(機器台帳!$F$2:$F$400&lt;&gt;"")*(機器台帳!$C$2:$C$400&lt;=30)*(機器台帳!$C$2:$C$400+機器台帳!$D$2:$D$400-1&gt;=30))-1)&amp;"台",""))</f>
        <v/>
      </c>
      <c r="I21">
        <f>IF(SUMPRODUCT((機器台帳!$A$2:$A$400="E24-S8-2")*((機器台帳!$B$2:$B$400="背面")+(機器台帳!$B$2:$B$400="両面")&gt;0)*(機器台帳!$F$2:$F$400&lt;&gt;"")*(機器台帳!$C$2:$C$400&lt;=30)*(機器台帳!$C$2:$C$400+機器台帳!$D$2:$D$400-1&gt;=30))=0,"",INDEX(機器台帳!$I$2:$I$400,MATCH(1,INDEX((機器台帳!$A$2:$A$400="E24-S8-2")*((機器台帳!$B$2:$B$400="背面")+(機器台帳!$B$2:$B$400="両面")&gt;0)*(機器台帳!$F$2:$F$400&lt;&gt;"")*(機器台帳!$C$2:$C$400&lt;=30)*(機器台帳!$C$2:$C$400+機器台帳!$D$2:$D$400-1&gt;=30),0),0))&amp;IF(INDEX(機器台帳!$Y$2:$Y$400,MATCH(1,INDEX((機器台帳!$A$2:$A$400="E24-S8-2")*((機器台帳!$B$2:$B$400="背面")+(機器台帳!$B$2:$B$400="両面")&gt;0)*(機器台帳!$F$2:$F$400&lt;&gt;"")*(機器台帳!$C$2:$C$400&lt;=30)*(機器台帳!$C$2:$C$400+機器台帳!$D$2:$D$400-1&gt;=30),0),0))=0,"|未記入",""))</f>
        <v/>
      </c>
      <c r="J21" s="12">
        <f>IF(SUMPRODUCT((機器台帳!$A$2:$A$400="E24-S8-3")*((機器台帳!$B$2:$B$400="前面")+(機器台帳!$B$2:$B$400="両面")&gt;0)*(機器台帳!$F$2:$F$400&lt;&gt;"")*(機器台帳!$C$2:$C$400&lt;=30)*(機器台帳!$C$2:$C$400+機器台帳!$D$2:$D$400-1&gt;=30))=0,"",INDEX(機器台帳!$F$2:$F$400,MATCH(1,INDEX((機器台帳!$A$2:$A$400="E24-S8-3")*((機器台帳!$B$2:$B$400="前面")+(機器台帳!$B$2:$B$400="両面")&gt;0)*(機器台帳!$F$2:$F$400&lt;&gt;"")*(機器台帳!$C$2:$C$400&lt;=30)*(機器台帳!$C$2:$C$400+機器台帳!$D$2:$D$400-1&gt;=30),0),0))&amp;IF(INDEX(機器台帳!$G$2:$G$400,MATCH(1,INDEX((機器台帳!$A$2:$A$400="E24-S8-3")*((機器台帳!$B$2:$B$400="前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-3")*((機器台帳!$B$2:$B$400="前面")+(機器台帳!$B$2:$B$400="両面")&gt;0)*(機器台帳!$F$2:$F$400&lt;&gt;"")*(機器台帳!$C$2:$C$400&lt;=30)*(機器台帳!$C$2:$C$400+機器台帳!$D$2:$D$400-1&gt;=30),0),0)))&amp;IF(SUMPRODUCT((機器台帳!$A$2:$A$400="E24-S8-3")*((機器台帳!$B$2:$B$400="前面")+(機器台帳!$B$2:$B$400="両面")&gt;0)*(機器台帳!$F$2:$F$400&lt;&gt;"")*(機器台帳!$C$2:$C$400&lt;=30)*(機器台帳!$C$2:$C$400+機器台帳!$D$2:$D$400-1&gt;=30))&gt;1," 他"&amp;(SUMPRODUCT((機器台帳!$A$2:$A$400="E24-S8-3")*((機器台帳!$B$2:$B$400="前面")+(機器台帳!$B$2:$B$400="両面")&gt;0)*(機器台帳!$F$2:$F$400&lt;&gt;"")*(機器台帳!$C$2:$C$400&lt;=30)*(機器台帳!$C$2:$C$400+機器台帳!$D$2:$D$400-1&gt;=30))-1)&amp;"台",""))</f>
        <v/>
      </c>
      <c r="K21">
        <f>IF(SUMPRODUCT((機器台帳!$A$2:$A$400="E24-S8-3")*((機器台帳!$B$2:$B$400="前面")+(機器台帳!$B$2:$B$400="両面")&gt;0)*(機器台帳!$F$2:$F$400&lt;&gt;"")*(機器台帳!$C$2:$C$400&lt;=30)*(機器台帳!$C$2:$C$400+機器台帳!$D$2:$D$400-1&gt;=30))=0,"",INDEX(機器台帳!$I$2:$I$400,MATCH(1,INDEX((機器台帳!$A$2:$A$400="E24-S8-3")*((機器台帳!$B$2:$B$400="前面")+(機器台帳!$B$2:$B$400="両面")&gt;0)*(機器台帳!$F$2:$F$400&lt;&gt;"")*(機器台帳!$C$2:$C$400&lt;=30)*(機器台帳!$C$2:$C$400+機器台帳!$D$2:$D$400-1&gt;=30),0),0))&amp;IF(INDEX(機器台帳!$Y$2:$Y$400,MATCH(1,INDEX((機器台帳!$A$2:$A$400="E24-S8-3")*((機器台帳!$B$2:$B$400="前面")+(機器台帳!$B$2:$B$400="両面")&gt;0)*(機器台帳!$F$2:$F$400&lt;&gt;"")*(機器台帳!$C$2:$C$400&lt;=30)*(機器台帳!$C$2:$C$400+機器台帳!$D$2:$D$400-1&gt;=30),0),0))=0,"|未記入",""))</f>
        <v/>
      </c>
      <c r="L21" s="12">
        <f>IF(SUMPRODUCT((機器台帳!$A$2:$A$400="E24-S8-3")*((機器台帳!$B$2:$B$400="背面")+(機器台帳!$B$2:$B$400="両面")&gt;0)*(機器台帳!$F$2:$F$400&lt;&gt;"")*(機器台帳!$C$2:$C$400&lt;=30)*(機器台帳!$C$2:$C$400+機器台帳!$D$2:$D$400-1&gt;=30))=0,"",INDEX(機器台帳!$F$2:$F$400,MATCH(1,INDEX((機器台帳!$A$2:$A$400="E24-S8-3")*((機器台帳!$B$2:$B$400="背面")+(機器台帳!$B$2:$B$400="両面")&gt;0)*(機器台帳!$F$2:$F$400&lt;&gt;"")*(機器台帳!$C$2:$C$400&lt;=30)*(機器台帳!$C$2:$C$400+機器台帳!$D$2:$D$400-1&gt;=30),0),0))&amp;IF(INDEX(機器台帳!$G$2:$G$400,MATCH(1,INDEX((機器台帳!$A$2:$A$400="E24-S8-3")*((機器台帳!$B$2:$B$400="背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-3")*((機器台帳!$B$2:$B$400="背面")+(機器台帳!$B$2:$B$400="両面")&gt;0)*(機器台帳!$F$2:$F$400&lt;&gt;"")*(機器台帳!$C$2:$C$400&lt;=30)*(機器台帳!$C$2:$C$400+機器台帳!$D$2:$D$400-1&gt;=30),0),0)))&amp;IF(SUMPRODUCT((機器台帳!$A$2:$A$400="E24-S8-3")*((機器台帳!$B$2:$B$400="背面")+(機器台帳!$B$2:$B$400="両面")&gt;0)*(機器台帳!$F$2:$F$400&lt;&gt;"")*(機器台帳!$C$2:$C$400&lt;=30)*(機器台帳!$C$2:$C$400+機器台帳!$D$2:$D$400-1&gt;=30))&gt;1," 他"&amp;(SUMPRODUCT((機器台帳!$A$2:$A$400="E24-S8-3")*((機器台帳!$B$2:$B$400="背面")+(機器台帳!$B$2:$B$400="両面")&gt;0)*(機器台帳!$F$2:$F$400&lt;&gt;"")*(機器台帳!$C$2:$C$400&lt;=30)*(機器台帳!$C$2:$C$400+機器台帳!$D$2:$D$400-1&gt;=30))-1)&amp;"台",""))</f>
        <v/>
      </c>
      <c r="M21">
        <f>IF(SUMPRODUCT((機器台帳!$A$2:$A$400="E24-S8-3")*((機器台帳!$B$2:$B$400="背面")+(機器台帳!$B$2:$B$400="両面")&gt;0)*(機器台帳!$F$2:$F$400&lt;&gt;"")*(機器台帳!$C$2:$C$400&lt;=30)*(機器台帳!$C$2:$C$400+機器台帳!$D$2:$D$400-1&gt;=30))=0,"",INDEX(機器台帳!$I$2:$I$400,MATCH(1,INDEX((機器台帳!$A$2:$A$400="E24-S8-3")*((機器台帳!$B$2:$B$400="背面")+(機器台帳!$B$2:$B$400="両面")&gt;0)*(機器台帳!$F$2:$F$400&lt;&gt;"")*(機器台帳!$C$2:$C$400&lt;=30)*(機器台帳!$C$2:$C$400+機器台帳!$D$2:$D$400-1&gt;=30),0),0))&amp;IF(INDEX(機器台帳!$Y$2:$Y$400,MATCH(1,INDEX((機器台帳!$A$2:$A$400="E24-S8-3")*((機器台帳!$B$2:$B$400="背面")+(機器台帳!$B$2:$B$400="両面")&gt;0)*(機器台帳!$F$2:$F$400&lt;&gt;"")*(機器台帳!$C$2:$C$400&lt;=30)*(機器台帳!$C$2:$C$400+機器台帳!$D$2:$D$400-1&gt;=30),0),0))=0,"|未記入",""))</f>
        <v/>
      </c>
      <c r="N21" s="12">
        <f>IF(SUMPRODUCT((機器台帳!$A$2:$A$400="E24-S8-4")*((機器台帳!$B$2:$B$400="前面")+(機器台帳!$B$2:$B$400="両面")&gt;0)*(機器台帳!$F$2:$F$400&lt;&gt;"")*(機器台帳!$C$2:$C$400&lt;=30)*(機器台帳!$C$2:$C$400+機器台帳!$D$2:$D$400-1&gt;=30))=0,"",INDEX(機器台帳!$F$2:$F$400,MATCH(1,INDEX((機器台帳!$A$2:$A$400="E24-S8-4")*((機器台帳!$B$2:$B$400="前面")+(機器台帳!$B$2:$B$400="両面")&gt;0)*(機器台帳!$F$2:$F$400&lt;&gt;"")*(機器台帳!$C$2:$C$400&lt;=30)*(機器台帳!$C$2:$C$400+機器台帳!$D$2:$D$400-1&gt;=30),0),0))&amp;IF(INDEX(機器台帳!$G$2:$G$400,MATCH(1,INDEX((機器台帳!$A$2:$A$400="E24-S8-4")*((機器台帳!$B$2:$B$400="前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-4")*((機器台帳!$B$2:$B$400="前面")+(機器台帳!$B$2:$B$400="両面")&gt;0)*(機器台帳!$F$2:$F$400&lt;&gt;"")*(機器台帳!$C$2:$C$400&lt;=30)*(機器台帳!$C$2:$C$400+機器台帳!$D$2:$D$400-1&gt;=30),0),0)))&amp;IF(SUMPRODUCT((機器台帳!$A$2:$A$400="E24-S8-4")*((機器台帳!$B$2:$B$400="前面")+(機器台帳!$B$2:$B$400="両面")&gt;0)*(機器台帳!$F$2:$F$400&lt;&gt;"")*(機器台帳!$C$2:$C$400&lt;=30)*(機器台帳!$C$2:$C$400+機器台帳!$D$2:$D$400-1&gt;=30))&gt;1," 他"&amp;(SUMPRODUCT((機器台帳!$A$2:$A$400="E24-S8-4")*((機器台帳!$B$2:$B$400="前面")+(機器台帳!$B$2:$B$400="両面")&gt;0)*(機器台帳!$F$2:$F$400&lt;&gt;"")*(機器台帳!$C$2:$C$400&lt;=30)*(機器台帳!$C$2:$C$400+機器台帳!$D$2:$D$400-1&gt;=30))-1)&amp;"台",""))</f>
        <v/>
      </c>
      <c r="O21">
        <f>IF(SUMPRODUCT((機器台帳!$A$2:$A$400="E24-S8-4")*((機器台帳!$B$2:$B$400="前面")+(機器台帳!$B$2:$B$400="両面")&gt;0)*(機器台帳!$F$2:$F$400&lt;&gt;"")*(機器台帳!$C$2:$C$400&lt;=30)*(機器台帳!$C$2:$C$400+機器台帳!$D$2:$D$400-1&gt;=30))=0,"",INDEX(機器台帳!$I$2:$I$400,MATCH(1,INDEX((機器台帳!$A$2:$A$400="E24-S8-4")*((機器台帳!$B$2:$B$400="前面")+(機器台帳!$B$2:$B$400="両面")&gt;0)*(機器台帳!$F$2:$F$400&lt;&gt;"")*(機器台帳!$C$2:$C$400&lt;=30)*(機器台帳!$C$2:$C$400+機器台帳!$D$2:$D$400-1&gt;=30),0),0))&amp;IF(INDEX(機器台帳!$Y$2:$Y$400,MATCH(1,INDEX((機器台帳!$A$2:$A$400="E24-S8-4")*((機器台帳!$B$2:$B$400="前面")+(機器台帳!$B$2:$B$400="両面")&gt;0)*(機器台帳!$F$2:$F$400&lt;&gt;"")*(機器台帳!$C$2:$C$400&lt;=30)*(機器台帳!$C$2:$C$400+機器台帳!$D$2:$D$400-1&gt;=30),0),0))=0,"|未記入",""))</f>
        <v/>
      </c>
      <c r="P21" s="12">
        <f>IF(SUMPRODUCT((機器台帳!$A$2:$A$400="E24-S8-4")*((機器台帳!$B$2:$B$400="背面")+(機器台帳!$B$2:$B$400="両面")&gt;0)*(機器台帳!$F$2:$F$400&lt;&gt;"")*(機器台帳!$C$2:$C$400&lt;=30)*(機器台帳!$C$2:$C$400+機器台帳!$D$2:$D$400-1&gt;=30))=0,"",INDEX(機器台帳!$F$2:$F$400,MATCH(1,INDEX((機器台帳!$A$2:$A$400="E24-S8-4")*((機器台帳!$B$2:$B$400="背面")+(機器台帳!$B$2:$B$400="両面")&gt;0)*(機器台帳!$F$2:$F$400&lt;&gt;"")*(機器台帳!$C$2:$C$400&lt;=30)*(機器台帳!$C$2:$C$400+機器台帳!$D$2:$D$400-1&gt;=30),0),0))&amp;IF(INDEX(機器台帳!$G$2:$G$400,MATCH(1,INDEX((機器台帳!$A$2:$A$400="E24-S8-4")*((機器台帳!$B$2:$B$400="背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-4")*((機器台帳!$B$2:$B$400="背面")+(機器台帳!$B$2:$B$400="両面")&gt;0)*(機器台帳!$F$2:$F$400&lt;&gt;"")*(機器台帳!$C$2:$C$400&lt;=30)*(機器台帳!$C$2:$C$400+機器台帳!$D$2:$D$400-1&gt;=30),0),0)))&amp;IF(SUMPRODUCT((機器台帳!$A$2:$A$400="E24-S8-4")*((機器台帳!$B$2:$B$400="背面")+(機器台帳!$B$2:$B$400="両面")&gt;0)*(機器台帳!$F$2:$F$400&lt;&gt;"")*(機器台帳!$C$2:$C$400&lt;=30)*(機器台帳!$C$2:$C$400+機器台帳!$D$2:$D$400-1&gt;=30))&gt;1," 他"&amp;(SUMPRODUCT((機器台帳!$A$2:$A$400="E24-S8-4")*((機器台帳!$B$2:$B$400="背面")+(機器台帳!$B$2:$B$400="両面")&gt;0)*(機器台帳!$F$2:$F$400&lt;&gt;"")*(機器台帳!$C$2:$C$400&lt;=30)*(機器台帳!$C$2:$C$400+機器台帳!$D$2:$D$400-1&gt;=30))-1)&amp;"台",""))</f>
        <v/>
      </c>
      <c r="Q21">
        <f>IF(SUMPRODUCT((機器台帳!$A$2:$A$400="E24-S8-4")*((機器台帳!$B$2:$B$400="背面")+(機器台帳!$B$2:$B$400="両面")&gt;0)*(機器台帳!$F$2:$F$400&lt;&gt;"")*(機器台帳!$C$2:$C$400&lt;=30)*(機器台帳!$C$2:$C$400+機器台帳!$D$2:$D$400-1&gt;=30))=0,"",INDEX(機器台帳!$I$2:$I$400,MATCH(1,INDEX((機器台帳!$A$2:$A$400="E24-S8-4")*((機器台帳!$B$2:$B$400="背面")+(機器台帳!$B$2:$B$400="両面")&gt;0)*(機器台帳!$F$2:$F$400&lt;&gt;"")*(機器台帳!$C$2:$C$400&lt;=30)*(機器台帳!$C$2:$C$400+機器台帳!$D$2:$D$400-1&gt;=30),0),0))&amp;IF(INDEX(機器台帳!$Y$2:$Y$400,MATCH(1,INDEX((機器台帳!$A$2:$A$400="E24-S8-4")*((機器台帳!$B$2:$B$400="背面")+(機器台帳!$B$2:$B$400="両面")&gt;0)*(機器台帳!$F$2:$F$400&lt;&gt;"")*(機器台帳!$C$2:$C$400&lt;=30)*(機器台帳!$C$2:$C$400+機器台帳!$D$2:$D$400-1&gt;=30),0),0))=0,"|未記入",""))</f>
        <v/>
      </c>
      <c r="R21" s="12">
        <f>IF(SUMPRODUCT((機器台帳!$A$2:$A$400="E24-S8-5")*((機器台帳!$B$2:$B$400="前面")+(機器台帳!$B$2:$B$400="両面")&gt;0)*(機器台帳!$F$2:$F$400&lt;&gt;"")*(機器台帳!$C$2:$C$400&lt;=30)*(機器台帳!$C$2:$C$400+機器台帳!$D$2:$D$400-1&gt;=30))=0,"",INDEX(機器台帳!$F$2:$F$400,MATCH(1,INDEX((機器台帳!$A$2:$A$400="E24-S8-5")*((機器台帳!$B$2:$B$400="前面")+(機器台帳!$B$2:$B$400="両面")&gt;0)*(機器台帳!$F$2:$F$400&lt;&gt;"")*(機器台帳!$C$2:$C$400&lt;=30)*(機器台帳!$C$2:$C$400+機器台帳!$D$2:$D$400-1&gt;=30),0),0))&amp;IF(INDEX(機器台帳!$G$2:$G$400,MATCH(1,INDEX((機器台帳!$A$2:$A$400="E24-S8-5")*((機器台帳!$B$2:$B$400="前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-5")*((機器台帳!$B$2:$B$400="前面")+(機器台帳!$B$2:$B$400="両面")&gt;0)*(機器台帳!$F$2:$F$400&lt;&gt;"")*(機器台帳!$C$2:$C$400&lt;=30)*(機器台帳!$C$2:$C$400+機器台帳!$D$2:$D$400-1&gt;=30),0),0)))&amp;IF(SUMPRODUCT((機器台帳!$A$2:$A$400="E24-S8-5")*((機器台帳!$B$2:$B$400="前面")+(機器台帳!$B$2:$B$400="両面")&gt;0)*(機器台帳!$F$2:$F$400&lt;&gt;"")*(機器台帳!$C$2:$C$400&lt;=30)*(機器台帳!$C$2:$C$400+機器台帳!$D$2:$D$400-1&gt;=30))&gt;1," 他"&amp;(SUMPRODUCT((機器台帳!$A$2:$A$400="E24-S8-5")*((機器台帳!$B$2:$B$400="前面")+(機器台帳!$B$2:$B$400="両面")&gt;0)*(機器台帳!$F$2:$F$400&lt;&gt;"")*(機器台帳!$C$2:$C$400&lt;=30)*(機器台帳!$C$2:$C$400+機器台帳!$D$2:$D$400-1&gt;=30))-1)&amp;"台",""))</f>
        <v/>
      </c>
      <c r="S21">
        <f>IF(SUMPRODUCT((機器台帳!$A$2:$A$400="E24-S8-5")*((機器台帳!$B$2:$B$400="前面")+(機器台帳!$B$2:$B$400="両面")&gt;0)*(機器台帳!$F$2:$F$400&lt;&gt;"")*(機器台帳!$C$2:$C$400&lt;=30)*(機器台帳!$C$2:$C$400+機器台帳!$D$2:$D$400-1&gt;=30))=0,"",INDEX(機器台帳!$I$2:$I$400,MATCH(1,INDEX((機器台帳!$A$2:$A$400="E24-S8-5")*((機器台帳!$B$2:$B$400="前面")+(機器台帳!$B$2:$B$400="両面")&gt;0)*(機器台帳!$F$2:$F$400&lt;&gt;"")*(機器台帳!$C$2:$C$400&lt;=30)*(機器台帳!$C$2:$C$400+機器台帳!$D$2:$D$400-1&gt;=30),0),0))&amp;IF(INDEX(機器台帳!$Y$2:$Y$400,MATCH(1,INDEX((機器台帳!$A$2:$A$400="E24-S8-5")*((機器台帳!$B$2:$B$400="前面")+(機器台帳!$B$2:$B$400="両面")&gt;0)*(機器台帳!$F$2:$F$400&lt;&gt;"")*(機器台帳!$C$2:$C$400&lt;=30)*(機器台帳!$C$2:$C$400+機器台帳!$D$2:$D$400-1&gt;=30),0),0))=0,"|未記入",""))</f>
        <v/>
      </c>
      <c r="T21" s="12">
        <f>IF(SUMPRODUCT((機器台帳!$A$2:$A$400="E24-S8-5")*((機器台帳!$B$2:$B$400="背面")+(機器台帳!$B$2:$B$400="両面")&gt;0)*(機器台帳!$F$2:$F$400&lt;&gt;"")*(機器台帳!$C$2:$C$400&lt;=30)*(機器台帳!$C$2:$C$400+機器台帳!$D$2:$D$400-1&gt;=30))=0,"",INDEX(機器台帳!$F$2:$F$400,MATCH(1,INDEX((機器台帳!$A$2:$A$400="E24-S8-5")*((機器台帳!$B$2:$B$400="背面")+(機器台帳!$B$2:$B$400="両面")&gt;0)*(機器台帳!$F$2:$F$400&lt;&gt;"")*(機器台帳!$C$2:$C$400&lt;=30)*(機器台帳!$C$2:$C$400+機器台帳!$D$2:$D$400-1&gt;=30),0),0))&amp;IF(INDEX(機器台帳!$G$2:$G$400,MATCH(1,INDEX((機器台帳!$A$2:$A$400="E24-S8-5")*((機器台帳!$B$2:$B$400="背面")+(機器台帳!$B$2:$B$400="両面")&gt;0)*(機器台帳!$F$2:$F$400&lt;&gt;"")*(機器台帳!$C$2:$C$400&lt;=30)*(機器台帳!$C$2:$C$400+機器台帳!$D$2:$D$400-1&gt;=30),0),0))=""," "," "&amp;INDEX(機器台帳!$G$2:$G$400,MATCH(1,INDEX((機器台帳!$A$2:$A$400="E24-S8-5")*((機器台帳!$B$2:$B$400="背面")+(機器台帳!$B$2:$B$400="両面")&gt;0)*(機器台帳!$F$2:$F$400&lt;&gt;"")*(機器台帳!$C$2:$C$400&lt;=30)*(機器台帳!$C$2:$C$400+機器台帳!$D$2:$D$400-1&gt;=30),0),0)))&amp;IF(SUMPRODUCT((機器台帳!$A$2:$A$400="E24-S8-5")*((機器台帳!$B$2:$B$400="背面")+(機器台帳!$B$2:$B$400="両面")&gt;0)*(機器台帳!$F$2:$F$400&lt;&gt;"")*(機器台帳!$C$2:$C$400&lt;=30)*(機器台帳!$C$2:$C$400+機器台帳!$D$2:$D$400-1&gt;=30))&gt;1," 他"&amp;(SUMPRODUCT((機器台帳!$A$2:$A$400="E24-S8-5")*((機器台帳!$B$2:$B$400="背面")+(機器台帳!$B$2:$B$400="両面")&gt;0)*(機器台帳!$F$2:$F$400&lt;&gt;"")*(機器台帳!$C$2:$C$400&lt;=30)*(機器台帳!$C$2:$C$400+機器台帳!$D$2:$D$400-1&gt;=30))-1)&amp;"台",""))</f>
        <v/>
      </c>
      <c r="U21">
        <f>IF(SUMPRODUCT((機器台帳!$A$2:$A$400="E24-S8-5")*((機器台帳!$B$2:$B$400="背面")+(機器台帳!$B$2:$B$400="両面")&gt;0)*(機器台帳!$F$2:$F$400&lt;&gt;"")*(機器台帳!$C$2:$C$400&lt;=30)*(機器台帳!$C$2:$C$400+機器台帳!$D$2:$D$400-1&gt;=30))=0,"",INDEX(機器台帳!$I$2:$I$400,MATCH(1,INDEX((機器台帳!$A$2:$A$400="E24-S8-5")*((機器台帳!$B$2:$B$400="背面")+(機器台帳!$B$2:$B$400="両面")&gt;0)*(機器台帳!$F$2:$F$400&lt;&gt;"")*(機器台帳!$C$2:$C$400&lt;=30)*(機器台帳!$C$2:$C$400+機器台帳!$D$2:$D$400-1&gt;=30),0),0))&amp;IF(INDEX(機器台帳!$Y$2:$Y$400,MATCH(1,INDEX((機器台帳!$A$2:$A$400="E24-S8-5")*((機器台帳!$B$2:$B$400="背面")+(機器台帳!$B$2:$B$400="両面")&gt;0)*(機器台帳!$F$2:$F$400&lt;&gt;"")*(機器台帳!$C$2:$C$400&lt;=30)*(機器台帳!$C$2:$C$400+機器台帳!$D$2:$D$400-1&gt;=30),0),0))=0,"|未記入",""))</f>
        <v/>
      </c>
      <c r="V21" s="12">
        <f>IF(SUMPRODUCT((機器台帳!$A$2:$A$400="E24-S6-1")*((機器台帳!$B$2:$B$400="前面")+(機器台帳!$B$2:$B$400="両面")&gt;0)*(機器台帳!$F$2:$F$400&lt;&gt;"")*(機器台帳!$C$2:$C$400&lt;=30)*(機器台帳!$C$2:$C$400+機器台帳!$D$2:$D$400-1&gt;=30))=0,"",INDEX(機器台帳!$F$2:$F$400,MATCH(1,INDEX((機器台帳!$A$2:$A$400="E24-S6-1")*((機器台帳!$B$2:$B$400="前面")+(機器台帳!$B$2:$B$400="両面")&gt;0)*(機器台帳!$F$2:$F$400&lt;&gt;"")*(機器台帳!$C$2:$C$400&lt;=30)*(機器台帳!$C$2:$C$400+機器台帳!$D$2:$D$400-1&gt;=30),0),0))&amp;IF(INDEX(機器台帳!$G$2:$G$400,MATCH(1,INDEX((機器台帳!$A$2:$A$400="E24-S6-1")*((機器台帳!$B$2:$B$400="前面")+(機器台帳!$B$2:$B$400="両面")&gt;0)*(機器台帳!$F$2:$F$400&lt;&gt;"")*(機器台帳!$C$2:$C$400&lt;=30)*(機器台帳!$C$2:$C$400+機器台帳!$D$2:$D$400-1&gt;=30),0),0))=""," "," "&amp;INDEX(機器台帳!$G$2:$G$400,MATCH(1,INDEX((機器台帳!$A$2:$A$400="E24-S6-1")*((機器台帳!$B$2:$B$400="前面")+(機器台帳!$B$2:$B$400="両面")&gt;0)*(機器台帳!$F$2:$F$400&lt;&gt;"")*(機器台帳!$C$2:$C$400&lt;=30)*(機器台帳!$C$2:$C$400+機器台帳!$D$2:$D$400-1&gt;=30),0),0)))&amp;IF(SUMPRODUCT((機器台帳!$A$2:$A$400="E24-S6-1")*((機器台帳!$B$2:$B$400="前面")+(機器台帳!$B$2:$B$400="両面")&gt;0)*(機器台帳!$F$2:$F$400&lt;&gt;"")*(機器台帳!$C$2:$C$400&lt;=30)*(機器台帳!$C$2:$C$400+機器台帳!$D$2:$D$400-1&gt;=30))&gt;1," 他"&amp;(SUMPRODUCT((機器台帳!$A$2:$A$400="E24-S6-1")*((機器台帳!$B$2:$B$400="前面")+(機器台帳!$B$2:$B$400="両面")&gt;0)*(機器台帳!$F$2:$F$400&lt;&gt;"")*(機器台帳!$C$2:$C$400&lt;=30)*(機器台帳!$C$2:$C$400+機器台帳!$D$2:$D$400-1&gt;=30))-1)&amp;"台",""))</f>
        <v/>
      </c>
      <c r="W21">
        <f>IF(SUMPRODUCT((機器台帳!$A$2:$A$400="E24-S6-1")*((機器台帳!$B$2:$B$400="前面")+(機器台帳!$B$2:$B$400="両面")&gt;0)*(機器台帳!$F$2:$F$400&lt;&gt;"")*(機器台帳!$C$2:$C$400&lt;=30)*(機器台帳!$C$2:$C$400+機器台帳!$D$2:$D$400-1&gt;=30))=0,"",INDEX(機器台帳!$I$2:$I$400,MATCH(1,INDEX((機器台帳!$A$2:$A$400="E24-S6-1")*((機器台帳!$B$2:$B$400="前面")+(機器台帳!$B$2:$B$400="両面")&gt;0)*(機器台帳!$F$2:$F$400&lt;&gt;"")*(機器台帳!$C$2:$C$400&lt;=30)*(機器台帳!$C$2:$C$400+機器台帳!$D$2:$D$400-1&gt;=30),0),0))&amp;IF(INDEX(機器台帳!$Y$2:$Y$400,MATCH(1,INDEX((機器台帳!$A$2:$A$400="E24-S6-1")*((機器台帳!$B$2:$B$400="前面")+(機器台帳!$B$2:$B$400="両面")&gt;0)*(機器台帳!$F$2:$F$400&lt;&gt;"")*(機器台帳!$C$2:$C$400&lt;=30)*(機器台帳!$C$2:$C$400+機器台帳!$D$2:$D$400-1&gt;=30),0),0))=0,"|未記入",""))</f>
        <v/>
      </c>
      <c r="X21" s="12">
        <f>IF(SUMPRODUCT((機器台帳!$A$2:$A$400="E24-S6-1")*((機器台帳!$B$2:$B$400="背面")+(機器台帳!$B$2:$B$400="両面")&gt;0)*(機器台帳!$F$2:$F$400&lt;&gt;"")*(機器台帳!$C$2:$C$400&lt;=30)*(機器台帳!$C$2:$C$400+機器台帳!$D$2:$D$400-1&gt;=30))=0,"",INDEX(機器台帳!$F$2:$F$400,MATCH(1,INDEX((機器台帳!$A$2:$A$400="E24-S6-1")*((機器台帳!$B$2:$B$400="背面")+(機器台帳!$B$2:$B$400="両面")&gt;0)*(機器台帳!$F$2:$F$400&lt;&gt;"")*(機器台帳!$C$2:$C$400&lt;=30)*(機器台帳!$C$2:$C$400+機器台帳!$D$2:$D$400-1&gt;=30),0),0))&amp;IF(INDEX(機器台帳!$G$2:$G$400,MATCH(1,INDEX((機器台帳!$A$2:$A$400="E24-S6-1")*((機器台帳!$B$2:$B$400="背面")+(機器台帳!$B$2:$B$400="両面")&gt;0)*(機器台帳!$F$2:$F$400&lt;&gt;"")*(機器台帳!$C$2:$C$400&lt;=30)*(機器台帳!$C$2:$C$400+機器台帳!$D$2:$D$400-1&gt;=30),0),0))=""," "," "&amp;INDEX(機器台帳!$G$2:$G$400,MATCH(1,INDEX((機器台帳!$A$2:$A$400="E24-S6-1")*((機器台帳!$B$2:$B$400="背面")+(機器台帳!$B$2:$B$400="両面")&gt;0)*(機器台帳!$F$2:$F$400&lt;&gt;"")*(機器台帳!$C$2:$C$400&lt;=30)*(機器台帳!$C$2:$C$400+機器台帳!$D$2:$D$400-1&gt;=30),0),0)))&amp;IF(SUMPRODUCT((機器台帳!$A$2:$A$400="E24-S6-1")*((機器台帳!$B$2:$B$400="背面")+(機器台帳!$B$2:$B$400="両面")&gt;0)*(機器台帳!$F$2:$F$400&lt;&gt;"")*(機器台帳!$C$2:$C$400&lt;=30)*(機器台帳!$C$2:$C$400+機器台帳!$D$2:$D$400-1&gt;=30))&gt;1," 他"&amp;(SUMPRODUCT((機器台帳!$A$2:$A$400="E24-S6-1")*((機器台帳!$B$2:$B$400="背面")+(機器台帳!$B$2:$B$400="両面")&gt;0)*(機器台帳!$F$2:$F$400&lt;&gt;"")*(機器台帳!$C$2:$C$400&lt;=30)*(機器台帳!$C$2:$C$400+機器台帳!$D$2:$D$400-1&gt;=30))-1)&amp;"台",""))</f>
        <v/>
      </c>
      <c r="Y21">
        <f>IF(SUMPRODUCT((機器台帳!$A$2:$A$400="E24-S6-1")*((機器台帳!$B$2:$B$400="背面")+(機器台帳!$B$2:$B$400="両面")&gt;0)*(機器台帳!$F$2:$F$400&lt;&gt;"")*(機器台帳!$C$2:$C$400&lt;=30)*(機器台帳!$C$2:$C$400+機器台帳!$D$2:$D$400-1&gt;=30))=0,"",INDEX(機器台帳!$I$2:$I$400,MATCH(1,INDEX((機器台帳!$A$2:$A$400="E24-S6-1")*((機器台帳!$B$2:$B$400="背面")+(機器台帳!$B$2:$B$400="両面")&gt;0)*(機器台帳!$F$2:$F$400&lt;&gt;"")*(機器台帳!$C$2:$C$400&lt;=30)*(機器台帳!$C$2:$C$400+機器台帳!$D$2:$D$400-1&gt;=30),0),0))&amp;IF(INDEX(機器台帳!$Y$2:$Y$400,MATCH(1,INDEX((機器台帳!$A$2:$A$400="E24-S6-1")*((機器台帳!$B$2:$B$400="背面")+(機器台帳!$B$2:$B$400="両面")&gt;0)*(機器台帳!$F$2:$F$400&lt;&gt;"")*(機器台帳!$C$2:$C$400&lt;=30)*(機器台帳!$C$2:$C$400+機器台帳!$D$2:$D$400-1&gt;=30),0),0))=0,"|未記入",""))</f>
        <v/>
      </c>
    </row>
    <row r="22">
      <c r="A22" s="11" t="n">
        <v>29</v>
      </c>
      <c r="B22" s="12">
        <f>IF(SUMPRODUCT((機器台帳!$A$2:$A$400="E24-S8-1")*((機器台帳!$B$2:$B$400="前面")+(機器台帳!$B$2:$B$400="両面")&gt;0)*(機器台帳!$F$2:$F$400&lt;&gt;"")*(機器台帳!$C$2:$C$400&lt;=29)*(機器台帳!$C$2:$C$400+機器台帳!$D$2:$D$400-1&gt;=29))=0,"",INDEX(機器台帳!$F$2:$F$400,MATCH(1,INDEX((機器台帳!$A$2:$A$400="E24-S8-1")*((機器台帳!$B$2:$B$400="前面")+(機器台帳!$B$2:$B$400="両面")&gt;0)*(機器台帳!$F$2:$F$400&lt;&gt;"")*(機器台帳!$C$2:$C$400&lt;=29)*(機器台帳!$C$2:$C$400+機器台帳!$D$2:$D$400-1&gt;=29),0),0))&amp;IF(INDEX(機器台帳!$G$2:$G$400,MATCH(1,INDEX((機器台帳!$A$2:$A$400="E24-S8-1")*((機器台帳!$B$2:$B$400="前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-1")*((機器台帳!$B$2:$B$400="前面")+(機器台帳!$B$2:$B$400="両面")&gt;0)*(機器台帳!$F$2:$F$400&lt;&gt;"")*(機器台帳!$C$2:$C$400&lt;=29)*(機器台帳!$C$2:$C$400+機器台帳!$D$2:$D$400-1&gt;=29),0),0)))&amp;IF(SUMPRODUCT((機器台帳!$A$2:$A$400="E24-S8-1")*((機器台帳!$B$2:$B$400="前面")+(機器台帳!$B$2:$B$400="両面")&gt;0)*(機器台帳!$F$2:$F$400&lt;&gt;"")*(機器台帳!$C$2:$C$400&lt;=29)*(機器台帳!$C$2:$C$400+機器台帳!$D$2:$D$400-1&gt;=29))&gt;1," 他"&amp;(SUMPRODUCT((機器台帳!$A$2:$A$400="E24-S8-1")*((機器台帳!$B$2:$B$400="前面")+(機器台帳!$B$2:$B$400="両面")&gt;0)*(機器台帳!$F$2:$F$400&lt;&gt;"")*(機器台帳!$C$2:$C$400&lt;=29)*(機器台帳!$C$2:$C$400+機器台帳!$D$2:$D$400-1&gt;=29))-1)&amp;"台",""))</f>
        <v/>
      </c>
      <c r="C22">
        <f>IF(SUMPRODUCT((機器台帳!$A$2:$A$400="E24-S8-1")*((機器台帳!$B$2:$B$400="前面")+(機器台帳!$B$2:$B$400="両面")&gt;0)*(機器台帳!$F$2:$F$400&lt;&gt;"")*(機器台帳!$C$2:$C$400&lt;=29)*(機器台帳!$C$2:$C$400+機器台帳!$D$2:$D$400-1&gt;=29))=0,"",INDEX(機器台帳!$I$2:$I$400,MATCH(1,INDEX((機器台帳!$A$2:$A$400="E24-S8-1")*((機器台帳!$B$2:$B$400="前面")+(機器台帳!$B$2:$B$400="両面")&gt;0)*(機器台帳!$F$2:$F$400&lt;&gt;"")*(機器台帳!$C$2:$C$400&lt;=29)*(機器台帳!$C$2:$C$400+機器台帳!$D$2:$D$400-1&gt;=29),0),0))&amp;IF(INDEX(機器台帳!$Y$2:$Y$400,MATCH(1,INDEX((機器台帳!$A$2:$A$400="E24-S8-1")*((機器台帳!$B$2:$B$400="前面")+(機器台帳!$B$2:$B$400="両面")&gt;0)*(機器台帳!$F$2:$F$400&lt;&gt;"")*(機器台帳!$C$2:$C$400&lt;=29)*(機器台帳!$C$2:$C$400+機器台帳!$D$2:$D$400-1&gt;=29),0),0))=0,"|未記入",""))</f>
        <v/>
      </c>
      <c r="D22" s="12">
        <f>IF(SUMPRODUCT((機器台帳!$A$2:$A$400="E24-S8-1")*((機器台帳!$B$2:$B$400="背面")+(機器台帳!$B$2:$B$400="両面")&gt;0)*(機器台帳!$F$2:$F$400&lt;&gt;"")*(機器台帳!$C$2:$C$400&lt;=29)*(機器台帳!$C$2:$C$400+機器台帳!$D$2:$D$400-1&gt;=29))=0,"",INDEX(機器台帳!$F$2:$F$400,MATCH(1,INDEX((機器台帳!$A$2:$A$400="E24-S8-1")*((機器台帳!$B$2:$B$400="背面")+(機器台帳!$B$2:$B$400="両面")&gt;0)*(機器台帳!$F$2:$F$400&lt;&gt;"")*(機器台帳!$C$2:$C$400&lt;=29)*(機器台帳!$C$2:$C$400+機器台帳!$D$2:$D$400-1&gt;=29),0),0))&amp;IF(INDEX(機器台帳!$G$2:$G$400,MATCH(1,INDEX((機器台帳!$A$2:$A$400="E24-S8-1")*((機器台帳!$B$2:$B$400="背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-1")*((機器台帳!$B$2:$B$400="背面")+(機器台帳!$B$2:$B$400="両面")&gt;0)*(機器台帳!$F$2:$F$400&lt;&gt;"")*(機器台帳!$C$2:$C$400&lt;=29)*(機器台帳!$C$2:$C$400+機器台帳!$D$2:$D$400-1&gt;=29),0),0)))&amp;IF(SUMPRODUCT((機器台帳!$A$2:$A$400="E24-S8-1")*((機器台帳!$B$2:$B$400="背面")+(機器台帳!$B$2:$B$400="両面")&gt;0)*(機器台帳!$F$2:$F$400&lt;&gt;"")*(機器台帳!$C$2:$C$400&lt;=29)*(機器台帳!$C$2:$C$400+機器台帳!$D$2:$D$400-1&gt;=29))&gt;1," 他"&amp;(SUMPRODUCT((機器台帳!$A$2:$A$400="E24-S8-1")*((機器台帳!$B$2:$B$400="背面")+(機器台帳!$B$2:$B$400="両面")&gt;0)*(機器台帳!$F$2:$F$400&lt;&gt;"")*(機器台帳!$C$2:$C$400&lt;=29)*(機器台帳!$C$2:$C$400+機器台帳!$D$2:$D$400-1&gt;=29))-1)&amp;"台",""))</f>
        <v/>
      </c>
      <c r="E22">
        <f>IF(SUMPRODUCT((機器台帳!$A$2:$A$400="E24-S8-1")*((機器台帳!$B$2:$B$400="背面")+(機器台帳!$B$2:$B$400="両面")&gt;0)*(機器台帳!$F$2:$F$400&lt;&gt;"")*(機器台帳!$C$2:$C$400&lt;=29)*(機器台帳!$C$2:$C$400+機器台帳!$D$2:$D$400-1&gt;=29))=0,"",INDEX(機器台帳!$I$2:$I$400,MATCH(1,INDEX((機器台帳!$A$2:$A$400="E24-S8-1")*((機器台帳!$B$2:$B$400="背面")+(機器台帳!$B$2:$B$400="両面")&gt;0)*(機器台帳!$F$2:$F$400&lt;&gt;"")*(機器台帳!$C$2:$C$400&lt;=29)*(機器台帳!$C$2:$C$400+機器台帳!$D$2:$D$400-1&gt;=29),0),0))&amp;IF(INDEX(機器台帳!$Y$2:$Y$400,MATCH(1,INDEX((機器台帳!$A$2:$A$400="E24-S8-1")*((機器台帳!$B$2:$B$400="背面")+(機器台帳!$B$2:$B$400="両面")&gt;0)*(機器台帳!$F$2:$F$400&lt;&gt;"")*(機器台帳!$C$2:$C$400&lt;=29)*(機器台帳!$C$2:$C$400+機器台帳!$D$2:$D$400-1&gt;=29),0),0))=0,"|未記入",""))</f>
        <v/>
      </c>
      <c r="F22" s="12">
        <f>IF(SUMPRODUCT((機器台帳!$A$2:$A$400="E24-S8-2")*((機器台帳!$B$2:$B$400="前面")+(機器台帳!$B$2:$B$400="両面")&gt;0)*(機器台帳!$F$2:$F$400&lt;&gt;"")*(機器台帳!$C$2:$C$400&lt;=29)*(機器台帳!$C$2:$C$400+機器台帳!$D$2:$D$400-1&gt;=29))=0,"",INDEX(機器台帳!$F$2:$F$400,MATCH(1,INDEX((機器台帳!$A$2:$A$400="E24-S8-2")*((機器台帳!$B$2:$B$400="前面")+(機器台帳!$B$2:$B$400="両面")&gt;0)*(機器台帳!$F$2:$F$400&lt;&gt;"")*(機器台帳!$C$2:$C$400&lt;=29)*(機器台帳!$C$2:$C$400+機器台帳!$D$2:$D$400-1&gt;=29),0),0))&amp;IF(INDEX(機器台帳!$G$2:$G$400,MATCH(1,INDEX((機器台帳!$A$2:$A$400="E24-S8-2")*((機器台帳!$B$2:$B$400="前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-2")*((機器台帳!$B$2:$B$400="前面")+(機器台帳!$B$2:$B$400="両面")&gt;0)*(機器台帳!$F$2:$F$400&lt;&gt;"")*(機器台帳!$C$2:$C$400&lt;=29)*(機器台帳!$C$2:$C$400+機器台帳!$D$2:$D$400-1&gt;=29),0),0)))&amp;IF(SUMPRODUCT((機器台帳!$A$2:$A$400="E24-S8-2")*((機器台帳!$B$2:$B$400="前面")+(機器台帳!$B$2:$B$400="両面")&gt;0)*(機器台帳!$F$2:$F$400&lt;&gt;"")*(機器台帳!$C$2:$C$400&lt;=29)*(機器台帳!$C$2:$C$400+機器台帳!$D$2:$D$400-1&gt;=29))&gt;1," 他"&amp;(SUMPRODUCT((機器台帳!$A$2:$A$400="E24-S8-2")*((機器台帳!$B$2:$B$400="前面")+(機器台帳!$B$2:$B$400="両面")&gt;0)*(機器台帳!$F$2:$F$400&lt;&gt;"")*(機器台帳!$C$2:$C$400&lt;=29)*(機器台帳!$C$2:$C$400+機器台帳!$D$2:$D$400-1&gt;=29))-1)&amp;"台",""))</f>
        <v/>
      </c>
      <c r="G22">
        <f>IF(SUMPRODUCT((機器台帳!$A$2:$A$400="E24-S8-2")*((機器台帳!$B$2:$B$400="前面")+(機器台帳!$B$2:$B$400="両面")&gt;0)*(機器台帳!$F$2:$F$400&lt;&gt;"")*(機器台帳!$C$2:$C$400&lt;=29)*(機器台帳!$C$2:$C$400+機器台帳!$D$2:$D$400-1&gt;=29))=0,"",INDEX(機器台帳!$I$2:$I$400,MATCH(1,INDEX((機器台帳!$A$2:$A$400="E24-S8-2")*((機器台帳!$B$2:$B$400="前面")+(機器台帳!$B$2:$B$400="両面")&gt;0)*(機器台帳!$F$2:$F$400&lt;&gt;"")*(機器台帳!$C$2:$C$400&lt;=29)*(機器台帳!$C$2:$C$400+機器台帳!$D$2:$D$400-1&gt;=29),0),0))&amp;IF(INDEX(機器台帳!$Y$2:$Y$400,MATCH(1,INDEX((機器台帳!$A$2:$A$400="E24-S8-2")*((機器台帳!$B$2:$B$400="前面")+(機器台帳!$B$2:$B$400="両面")&gt;0)*(機器台帳!$F$2:$F$400&lt;&gt;"")*(機器台帳!$C$2:$C$400&lt;=29)*(機器台帳!$C$2:$C$400+機器台帳!$D$2:$D$400-1&gt;=29),0),0))=0,"|未記入",""))</f>
        <v/>
      </c>
      <c r="H22" s="12">
        <f>IF(SUMPRODUCT((機器台帳!$A$2:$A$400="E24-S8-2")*((機器台帳!$B$2:$B$400="背面")+(機器台帳!$B$2:$B$400="両面")&gt;0)*(機器台帳!$F$2:$F$400&lt;&gt;"")*(機器台帳!$C$2:$C$400&lt;=29)*(機器台帳!$C$2:$C$400+機器台帳!$D$2:$D$400-1&gt;=29))=0,"",INDEX(機器台帳!$F$2:$F$400,MATCH(1,INDEX((機器台帳!$A$2:$A$400="E24-S8-2")*((機器台帳!$B$2:$B$400="背面")+(機器台帳!$B$2:$B$400="両面")&gt;0)*(機器台帳!$F$2:$F$400&lt;&gt;"")*(機器台帳!$C$2:$C$400&lt;=29)*(機器台帳!$C$2:$C$400+機器台帳!$D$2:$D$400-1&gt;=29),0),0))&amp;IF(INDEX(機器台帳!$G$2:$G$400,MATCH(1,INDEX((機器台帳!$A$2:$A$400="E24-S8-2")*((機器台帳!$B$2:$B$400="背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-2")*((機器台帳!$B$2:$B$400="背面")+(機器台帳!$B$2:$B$400="両面")&gt;0)*(機器台帳!$F$2:$F$400&lt;&gt;"")*(機器台帳!$C$2:$C$400&lt;=29)*(機器台帳!$C$2:$C$400+機器台帳!$D$2:$D$400-1&gt;=29),0),0)))&amp;IF(SUMPRODUCT((機器台帳!$A$2:$A$400="E24-S8-2")*((機器台帳!$B$2:$B$400="背面")+(機器台帳!$B$2:$B$400="両面")&gt;0)*(機器台帳!$F$2:$F$400&lt;&gt;"")*(機器台帳!$C$2:$C$400&lt;=29)*(機器台帳!$C$2:$C$400+機器台帳!$D$2:$D$400-1&gt;=29))&gt;1," 他"&amp;(SUMPRODUCT((機器台帳!$A$2:$A$400="E24-S8-2")*((機器台帳!$B$2:$B$400="背面")+(機器台帳!$B$2:$B$400="両面")&gt;0)*(機器台帳!$F$2:$F$400&lt;&gt;"")*(機器台帳!$C$2:$C$400&lt;=29)*(機器台帳!$C$2:$C$400+機器台帳!$D$2:$D$400-1&gt;=29))-1)&amp;"台",""))</f>
        <v/>
      </c>
      <c r="I22">
        <f>IF(SUMPRODUCT((機器台帳!$A$2:$A$400="E24-S8-2")*((機器台帳!$B$2:$B$400="背面")+(機器台帳!$B$2:$B$400="両面")&gt;0)*(機器台帳!$F$2:$F$400&lt;&gt;"")*(機器台帳!$C$2:$C$400&lt;=29)*(機器台帳!$C$2:$C$400+機器台帳!$D$2:$D$400-1&gt;=29))=0,"",INDEX(機器台帳!$I$2:$I$400,MATCH(1,INDEX((機器台帳!$A$2:$A$400="E24-S8-2")*((機器台帳!$B$2:$B$400="背面")+(機器台帳!$B$2:$B$400="両面")&gt;0)*(機器台帳!$F$2:$F$400&lt;&gt;"")*(機器台帳!$C$2:$C$400&lt;=29)*(機器台帳!$C$2:$C$400+機器台帳!$D$2:$D$400-1&gt;=29),0),0))&amp;IF(INDEX(機器台帳!$Y$2:$Y$400,MATCH(1,INDEX((機器台帳!$A$2:$A$400="E24-S8-2")*((機器台帳!$B$2:$B$400="背面")+(機器台帳!$B$2:$B$400="両面")&gt;0)*(機器台帳!$F$2:$F$400&lt;&gt;"")*(機器台帳!$C$2:$C$400&lt;=29)*(機器台帳!$C$2:$C$400+機器台帳!$D$2:$D$400-1&gt;=29),0),0))=0,"|未記入",""))</f>
        <v/>
      </c>
      <c r="J22" s="12">
        <f>IF(SUMPRODUCT((機器台帳!$A$2:$A$400="E24-S8-3")*((機器台帳!$B$2:$B$400="前面")+(機器台帳!$B$2:$B$400="両面")&gt;0)*(機器台帳!$F$2:$F$400&lt;&gt;"")*(機器台帳!$C$2:$C$400&lt;=29)*(機器台帳!$C$2:$C$400+機器台帳!$D$2:$D$400-1&gt;=29))=0,"",INDEX(機器台帳!$F$2:$F$400,MATCH(1,INDEX((機器台帳!$A$2:$A$400="E24-S8-3")*((機器台帳!$B$2:$B$400="前面")+(機器台帳!$B$2:$B$400="両面")&gt;0)*(機器台帳!$F$2:$F$400&lt;&gt;"")*(機器台帳!$C$2:$C$400&lt;=29)*(機器台帳!$C$2:$C$400+機器台帳!$D$2:$D$400-1&gt;=29),0),0))&amp;IF(INDEX(機器台帳!$G$2:$G$400,MATCH(1,INDEX((機器台帳!$A$2:$A$400="E24-S8-3")*((機器台帳!$B$2:$B$400="前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-3")*((機器台帳!$B$2:$B$400="前面")+(機器台帳!$B$2:$B$400="両面")&gt;0)*(機器台帳!$F$2:$F$400&lt;&gt;"")*(機器台帳!$C$2:$C$400&lt;=29)*(機器台帳!$C$2:$C$400+機器台帳!$D$2:$D$400-1&gt;=29),0),0)))&amp;IF(SUMPRODUCT((機器台帳!$A$2:$A$400="E24-S8-3")*((機器台帳!$B$2:$B$400="前面")+(機器台帳!$B$2:$B$400="両面")&gt;0)*(機器台帳!$F$2:$F$400&lt;&gt;"")*(機器台帳!$C$2:$C$400&lt;=29)*(機器台帳!$C$2:$C$400+機器台帳!$D$2:$D$400-1&gt;=29))&gt;1," 他"&amp;(SUMPRODUCT((機器台帳!$A$2:$A$400="E24-S8-3")*((機器台帳!$B$2:$B$400="前面")+(機器台帳!$B$2:$B$400="両面")&gt;0)*(機器台帳!$F$2:$F$400&lt;&gt;"")*(機器台帳!$C$2:$C$400&lt;=29)*(機器台帳!$C$2:$C$400+機器台帳!$D$2:$D$400-1&gt;=29))-1)&amp;"台",""))</f>
        <v/>
      </c>
      <c r="K22">
        <f>IF(SUMPRODUCT((機器台帳!$A$2:$A$400="E24-S8-3")*((機器台帳!$B$2:$B$400="前面")+(機器台帳!$B$2:$B$400="両面")&gt;0)*(機器台帳!$F$2:$F$400&lt;&gt;"")*(機器台帳!$C$2:$C$400&lt;=29)*(機器台帳!$C$2:$C$400+機器台帳!$D$2:$D$400-1&gt;=29))=0,"",INDEX(機器台帳!$I$2:$I$400,MATCH(1,INDEX((機器台帳!$A$2:$A$400="E24-S8-3")*((機器台帳!$B$2:$B$400="前面")+(機器台帳!$B$2:$B$400="両面")&gt;0)*(機器台帳!$F$2:$F$400&lt;&gt;"")*(機器台帳!$C$2:$C$400&lt;=29)*(機器台帳!$C$2:$C$400+機器台帳!$D$2:$D$400-1&gt;=29),0),0))&amp;IF(INDEX(機器台帳!$Y$2:$Y$400,MATCH(1,INDEX((機器台帳!$A$2:$A$400="E24-S8-3")*((機器台帳!$B$2:$B$400="前面")+(機器台帳!$B$2:$B$400="両面")&gt;0)*(機器台帳!$F$2:$F$400&lt;&gt;"")*(機器台帳!$C$2:$C$400&lt;=29)*(機器台帳!$C$2:$C$400+機器台帳!$D$2:$D$400-1&gt;=29),0),0))=0,"|未記入",""))</f>
        <v/>
      </c>
      <c r="L22" s="12">
        <f>IF(SUMPRODUCT((機器台帳!$A$2:$A$400="E24-S8-3")*((機器台帳!$B$2:$B$400="背面")+(機器台帳!$B$2:$B$400="両面")&gt;0)*(機器台帳!$F$2:$F$400&lt;&gt;"")*(機器台帳!$C$2:$C$400&lt;=29)*(機器台帳!$C$2:$C$400+機器台帳!$D$2:$D$400-1&gt;=29))=0,"",INDEX(機器台帳!$F$2:$F$400,MATCH(1,INDEX((機器台帳!$A$2:$A$400="E24-S8-3")*((機器台帳!$B$2:$B$400="背面")+(機器台帳!$B$2:$B$400="両面")&gt;0)*(機器台帳!$F$2:$F$400&lt;&gt;"")*(機器台帳!$C$2:$C$400&lt;=29)*(機器台帳!$C$2:$C$400+機器台帳!$D$2:$D$400-1&gt;=29),0),0))&amp;IF(INDEX(機器台帳!$G$2:$G$400,MATCH(1,INDEX((機器台帳!$A$2:$A$400="E24-S8-3")*((機器台帳!$B$2:$B$400="背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-3")*((機器台帳!$B$2:$B$400="背面")+(機器台帳!$B$2:$B$400="両面")&gt;0)*(機器台帳!$F$2:$F$400&lt;&gt;"")*(機器台帳!$C$2:$C$400&lt;=29)*(機器台帳!$C$2:$C$400+機器台帳!$D$2:$D$400-1&gt;=29),0),0)))&amp;IF(SUMPRODUCT((機器台帳!$A$2:$A$400="E24-S8-3")*((機器台帳!$B$2:$B$400="背面")+(機器台帳!$B$2:$B$400="両面")&gt;0)*(機器台帳!$F$2:$F$400&lt;&gt;"")*(機器台帳!$C$2:$C$400&lt;=29)*(機器台帳!$C$2:$C$400+機器台帳!$D$2:$D$400-1&gt;=29))&gt;1," 他"&amp;(SUMPRODUCT((機器台帳!$A$2:$A$400="E24-S8-3")*((機器台帳!$B$2:$B$400="背面")+(機器台帳!$B$2:$B$400="両面")&gt;0)*(機器台帳!$F$2:$F$400&lt;&gt;"")*(機器台帳!$C$2:$C$400&lt;=29)*(機器台帳!$C$2:$C$400+機器台帳!$D$2:$D$400-1&gt;=29))-1)&amp;"台",""))</f>
        <v/>
      </c>
      <c r="M22">
        <f>IF(SUMPRODUCT((機器台帳!$A$2:$A$400="E24-S8-3")*((機器台帳!$B$2:$B$400="背面")+(機器台帳!$B$2:$B$400="両面")&gt;0)*(機器台帳!$F$2:$F$400&lt;&gt;"")*(機器台帳!$C$2:$C$400&lt;=29)*(機器台帳!$C$2:$C$400+機器台帳!$D$2:$D$400-1&gt;=29))=0,"",INDEX(機器台帳!$I$2:$I$400,MATCH(1,INDEX((機器台帳!$A$2:$A$400="E24-S8-3")*((機器台帳!$B$2:$B$400="背面")+(機器台帳!$B$2:$B$400="両面")&gt;0)*(機器台帳!$F$2:$F$400&lt;&gt;"")*(機器台帳!$C$2:$C$400&lt;=29)*(機器台帳!$C$2:$C$400+機器台帳!$D$2:$D$400-1&gt;=29),0),0))&amp;IF(INDEX(機器台帳!$Y$2:$Y$400,MATCH(1,INDEX((機器台帳!$A$2:$A$400="E24-S8-3")*((機器台帳!$B$2:$B$400="背面")+(機器台帳!$B$2:$B$400="両面")&gt;0)*(機器台帳!$F$2:$F$400&lt;&gt;"")*(機器台帳!$C$2:$C$400&lt;=29)*(機器台帳!$C$2:$C$400+機器台帳!$D$2:$D$400-1&gt;=29),0),0))=0,"|未記入",""))</f>
        <v/>
      </c>
      <c r="N22" s="12">
        <f>IF(SUMPRODUCT((機器台帳!$A$2:$A$400="E24-S8-4")*((機器台帳!$B$2:$B$400="前面")+(機器台帳!$B$2:$B$400="両面")&gt;0)*(機器台帳!$F$2:$F$400&lt;&gt;"")*(機器台帳!$C$2:$C$400&lt;=29)*(機器台帳!$C$2:$C$400+機器台帳!$D$2:$D$400-1&gt;=29))=0,"",INDEX(機器台帳!$F$2:$F$400,MATCH(1,INDEX((機器台帳!$A$2:$A$400="E24-S8-4")*((機器台帳!$B$2:$B$400="前面")+(機器台帳!$B$2:$B$400="両面")&gt;0)*(機器台帳!$F$2:$F$400&lt;&gt;"")*(機器台帳!$C$2:$C$400&lt;=29)*(機器台帳!$C$2:$C$400+機器台帳!$D$2:$D$400-1&gt;=29),0),0))&amp;IF(INDEX(機器台帳!$G$2:$G$400,MATCH(1,INDEX((機器台帳!$A$2:$A$400="E24-S8-4")*((機器台帳!$B$2:$B$400="前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-4")*((機器台帳!$B$2:$B$400="前面")+(機器台帳!$B$2:$B$400="両面")&gt;0)*(機器台帳!$F$2:$F$400&lt;&gt;"")*(機器台帳!$C$2:$C$400&lt;=29)*(機器台帳!$C$2:$C$400+機器台帳!$D$2:$D$400-1&gt;=29),0),0)))&amp;IF(SUMPRODUCT((機器台帳!$A$2:$A$400="E24-S8-4")*((機器台帳!$B$2:$B$400="前面")+(機器台帳!$B$2:$B$400="両面")&gt;0)*(機器台帳!$F$2:$F$400&lt;&gt;"")*(機器台帳!$C$2:$C$400&lt;=29)*(機器台帳!$C$2:$C$400+機器台帳!$D$2:$D$400-1&gt;=29))&gt;1," 他"&amp;(SUMPRODUCT((機器台帳!$A$2:$A$400="E24-S8-4")*((機器台帳!$B$2:$B$400="前面")+(機器台帳!$B$2:$B$400="両面")&gt;0)*(機器台帳!$F$2:$F$400&lt;&gt;"")*(機器台帳!$C$2:$C$400&lt;=29)*(機器台帳!$C$2:$C$400+機器台帳!$D$2:$D$400-1&gt;=29))-1)&amp;"台",""))</f>
        <v/>
      </c>
      <c r="O22">
        <f>IF(SUMPRODUCT((機器台帳!$A$2:$A$400="E24-S8-4")*((機器台帳!$B$2:$B$400="前面")+(機器台帳!$B$2:$B$400="両面")&gt;0)*(機器台帳!$F$2:$F$400&lt;&gt;"")*(機器台帳!$C$2:$C$400&lt;=29)*(機器台帳!$C$2:$C$400+機器台帳!$D$2:$D$400-1&gt;=29))=0,"",INDEX(機器台帳!$I$2:$I$400,MATCH(1,INDEX((機器台帳!$A$2:$A$400="E24-S8-4")*((機器台帳!$B$2:$B$400="前面")+(機器台帳!$B$2:$B$400="両面")&gt;0)*(機器台帳!$F$2:$F$400&lt;&gt;"")*(機器台帳!$C$2:$C$400&lt;=29)*(機器台帳!$C$2:$C$400+機器台帳!$D$2:$D$400-1&gt;=29),0),0))&amp;IF(INDEX(機器台帳!$Y$2:$Y$400,MATCH(1,INDEX((機器台帳!$A$2:$A$400="E24-S8-4")*((機器台帳!$B$2:$B$400="前面")+(機器台帳!$B$2:$B$400="両面")&gt;0)*(機器台帳!$F$2:$F$400&lt;&gt;"")*(機器台帳!$C$2:$C$400&lt;=29)*(機器台帳!$C$2:$C$400+機器台帳!$D$2:$D$400-1&gt;=29),0),0))=0,"|未記入",""))</f>
        <v/>
      </c>
      <c r="P22" s="12">
        <f>IF(SUMPRODUCT((機器台帳!$A$2:$A$400="E24-S8-4")*((機器台帳!$B$2:$B$400="背面")+(機器台帳!$B$2:$B$400="両面")&gt;0)*(機器台帳!$F$2:$F$400&lt;&gt;"")*(機器台帳!$C$2:$C$400&lt;=29)*(機器台帳!$C$2:$C$400+機器台帳!$D$2:$D$400-1&gt;=29))=0,"",INDEX(機器台帳!$F$2:$F$400,MATCH(1,INDEX((機器台帳!$A$2:$A$400="E24-S8-4")*((機器台帳!$B$2:$B$400="背面")+(機器台帳!$B$2:$B$400="両面")&gt;0)*(機器台帳!$F$2:$F$400&lt;&gt;"")*(機器台帳!$C$2:$C$400&lt;=29)*(機器台帳!$C$2:$C$400+機器台帳!$D$2:$D$400-1&gt;=29),0),0))&amp;IF(INDEX(機器台帳!$G$2:$G$400,MATCH(1,INDEX((機器台帳!$A$2:$A$400="E24-S8-4")*((機器台帳!$B$2:$B$400="背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-4")*((機器台帳!$B$2:$B$400="背面")+(機器台帳!$B$2:$B$400="両面")&gt;0)*(機器台帳!$F$2:$F$400&lt;&gt;"")*(機器台帳!$C$2:$C$400&lt;=29)*(機器台帳!$C$2:$C$400+機器台帳!$D$2:$D$400-1&gt;=29),0),0)))&amp;IF(SUMPRODUCT((機器台帳!$A$2:$A$400="E24-S8-4")*((機器台帳!$B$2:$B$400="背面")+(機器台帳!$B$2:$B$400="両面")&gt;0)*(機器台帳!$F$2:$F$400&lt;&gt;"")*(機器台帳!$C$2:$C$400&lt;=29)*(機器台帳!$C$2:$C$400+機器台帳!$D$2:$D$400-1&gt;=29))&gt;1," 他"&amp;(SUMPRODUCT((機器台帳!$A$2:$A$400="E24-S8-4")*((機器台帳!$B$2:$B$400="背面")+(機器台帳!$B$2:$B$400="両面")&gt;0)*(機器台帳!$F$2:$F$400&lt;&gt;"")*(機器台帳!$C$2:$C$400&lt;=29)*(機器台帳!$C$2:$C$400+機器台帳!$D$2:$D$400-1&gt;=29))-1)&amp;"台",""))</f>
        <v/>
      </c>
      <c r="Q22">
        <f>IF(SUMPRODUCT((機器台帳!$A$2:$A$400="E24-S8-4")*((機器台帳!$B$2:$B$400="背面")+(機器台帳!$B$2:$B$400="両面")&gt;0)*(機器台帳!$F$2:$F$400&lt;&gt;"")*(機器台帳!$C$2:$C$400&lt;=29)*(機器台帳!$C$2:$C$400+機器台帳!$D$2:$D$400-1&gt;=29))=0,"",INDEX(機器台帳!$I$2:$I$400,MATCH(1,INDEX((機器台帳!$A$2:$A$400="E24-S8-4")*((機器台帳!$B$2:$B$400="背面")+(機器台帳!$B$2:$B$400="両面")&gt;0)*(機器台帳!$F$2:$F$400&lt;&gt;"")*(機器台帳!$C$2:$C$400&lt;=29)*(機器台帳!$C$2:$C$400+機器台帳!$D$2:$D$400-1&gt;=29),0),0))&amp;IF(INDEX(機器台帳!$Y$2:$Y$400,MATCH(1,INDEX((機器台帳!$A$2:$A$400="E24-S8-4")*((機器台帳!$B$2:$B$400="背面")+(機器台帳!$B$2:$B$400="両面")&gt;0)*(機器台帳!$F$2:$F$400&lt;&gt;"")*(機器台帳!$C$2:$C$400&lt;=29)*(機器台帳!$C$2:$C$400+機器台帳!$D$2:$D$400-1&gt;=29),0),0))=0,"|未記入",""))</f>
        <v/>
      </c>
      <c r="R22" s="12">
        <f>IF(SUMPRODUCT((機器台帳!$A$2:$A$400="E24-S8-5")*((機器台帳!$B$2:$B$400="前面")+(機器台帳!$B$2:$B$400="両面")&gt;0)*(機器台帳!$F$2:$F$400&lt;&gt;"")*(機器台帳!$C$2:$C$400&lt;=29)*(機器台帳!$C$2:$C$400+機器台帳!$D$2:$D$400-1&gt;=29))=0,"",INDEX(機器台帳!$F$2:$F$400,MATCH(1,INDEX((機器台帳!$A$2:$A$400="E24-S8-5")*((機器台帳!$B$2:$B$400="前面")+(機器台帳!$B$2:$B$400="両面")&gt;0)*(機器台帳!$F$2:$F$400&lt;&gt;"")*(機器台帳!$C$2:$C$400&lt;=29)*(機器台帳!$C$2:$C$400+機器台帳!$D$2:$D$400-1&gt;=29),0),0))&amp;IF(INDEX(機器台帳!$G$2:$G$400,MATCH(1,INDEX((機器台帳!$A$2:$A$400="E24-S8-5")*((機器台帳!$B$2:$B$400="前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-5")*((機器台帳!$B$2:$B$400="前面")+(機器台帳!$B$2:$B$400="両面")&gt;0)*(機器台帳!$F$2:$F$400&lt;&gt;"")*(機器台帳!$C$2:$C$400&lt;=29)*(機器台帳!$C$2:$C$400+機器台帳!$D$2:$D$400-1&gt;=29),0),0)))&amp;IF(SUMPRODUCT((機器台帳!$A$2:$A$400="E24-S8-5")*((機器台帳!$B$2:$B$400="前面")+(機器台帳!$B$2:$B$400="両面")&gt;0)*(機器台帳!$F$2:$F$400&lt;&gt;"")*(機器台帳!$C$2:$C$400&lt;=29)*(機器台帳!$C$2:$C$400+機器台帳!$D$2:$D$400-1&gt;=29))&gt;1," 他"&amp;(SUMPRODUCT((機器台帳!$A$2:$A$400="E24-S8-5")*((機器台帳!$B$2:$B$400="前面")+(機器台帳!$B$2:$B$400="両面")&gt;0)*(機器台帳!$F$2:$F$400&lt;&gt;"")*(機器台帳!$C$2:$C$400&lt;=29)*(機器台帳!$C$2:$C$400+機器台帳!$D$2:$D$400-1&gt;=29))-1)&amp;"台",""))</f>
        <v/>
      </c>
      <c r="S22">
        <f>IF(SUMPRODUCT((機器台帳!$A$2:$A$400="E24-S8-5")*((機器台帳!$B$2:$B$400="前面")+(機器台帳!$B$2:$B$400="両面")&gt;0)*(機器台帳!$F$2:$F$400&lt;&gt;"")*(機器台帳!$C$2:$C$400&lt;=29)*(機器台帳!$C$2:$C$400+機器台帳!$D$2:$D$400-1&gt;=29))=0,"",INDEX(機器台帳!$I$2:$I$400,MATCH(1,INDEX((機器台帳!$A$2:$A$400="E24-S8-5")*((機器台帳!$B$2:$B$400="前面")+(機器台帳!$B$2:$B$400="両面")&gt;0)*(機器台帳!$F$2:$F$400&lt;&gt;"")*(機器台帳!$C$2:$C$400&lt;=29)*(機器台帳!$C$2:$C$400+機器台帳!$D$2:$D$400-1&gt;=29),0),0))&amp;IF(INDEX(機器台帳!$Y$2:$Y$400,MATCH(1,INDEX((機器台帳!$A$2:$A$400="E24-S8-5")*((機器台帳!$B$2:$B$400="前面")+(機器台帳!$B$2:$B$400="両面")&gt;0)*(機器台帳!$F$2:$F$400&lt;&gt;"")*(機器台帳!$C$2:$C$400&lt;=29)*(機器台帳!$C$2:$C$400+機器台帳!$D$2:$D$400-1&gt;=29),0),0))=0,"|未記入",""))</f>
        <v/>
      </c>
      <c r="T22" s="12">
        <f>IF(SUMPRODUCT((機器台帳!$A$2:$A$400="E24-S8-5")*((機器台帳!$B$2:$B$400="背面")+(機器台帳!$B$2:$B$400="両面")&gt;0)*(機器台帳!$F$2:$F$400&lt;&gt;"")*(機器台帳!$C$2:$C$400&lt;=29)*(機器台帳!$C$2:$C$400+機器台帳!$D$2:$D$400-1&gt;=29))=0,"",INDEX(機器台帳!$F$2:$F$400,MATCH(1,INDEX((機器台帳!$A$2:$A$400="E24-S8-5")*((機器台帳!$B$2:$B$400="背面")+(機器台帳!$B$2:$B$400="両面")&gt;0)*(機器台帳!$F$2:$F$400&lt;&gt;"")*(機器台帳!$C$2:$C$400&lt;=29)*(機器台帳!$C$2:$C$400+機器台帳!$D$2:$D$400-1&gt;=29),0),0))&amp;IF(INDEX(機器台帳!$G$2:$G$400,MATCH(1,INDEX((機器台帳!$A$2:$A$400="E24-S8-5")*((機器台帳!$B$2:$B$400="背面")+(機器台帳!$B$2:$B$400="両面")&gt;0)*(機器台帳!$F$2:$F$400&lt;&gt;"")*(機器台帳!$C$2:$C$400&lt;=29)*(機器台帳!$C$2:$C$400+機器台帳!$D$2:$D$400-1&gt;=29),0),0))=""," "," "&amp;INDEX(機器台帳!$G$2:$G$400,MATCH(1,INDEX((機器台帳!$A$2:$A$400="E24-S8-5")*((機器台帳!$B$2:$B$400="背面")+(機器台帳!$B$2:$B$400="両面")&gt;0)*(機器台帳!$F$2:$F$400&lt;&gt;"")*(機器台帳!$C$2:$C$400&lt;=29)*(機器台帳!$C$2:$C$400+機器台帳!$D$2:$D$400-1&gt;=29),0),0)))&amp;IF(SUMPRODUCT((機器台帳!$A$2:$A$400="E24-S8-5")*((機器台帳!$B$2:$B$400="背面")+(機器台帳!$B$2:$B$400="両面")&gt;0)*(機器台帳!$F$2:$F$400&lt;&gt;"")*(機器台帳!$C$2:$C$400&lt;=29)*(機器台帳!$C$2:$C$400+機器台帳!$D$2:$D$400-1&gt;=29))&gt;1," 他"&amp;(SUMPRODUCT((機器台帳!$A$2:$A$400="E24-S8-5")*((機器台帳!$B$2:$B$400="背面")+(機器台帳!$B$2:$B$400="両面")&gt;0)*(機器台帳!$F$2:$F$400&lt;&gt;"")*(機器台帳!$C$2:$C$400&lt;=29)*(機器台帳!$C$2:$C$400+機器台帳!$D$2:$D$400-1&gt;=29))-1)&amp;"台",""))</f>
        <v/>
      </c>
      <c r="U22">
        <f>IF(SUMPRODUCT((機器台帳!$A$2:$A$400="E24-S8-5")*((機器台帳!$B$2:$B$400="背面")+(機器台帳!$B$2:$B$400="両面")&gt;0)*(機器台帳!$F$2:$F$400&lt;&gt;"")*(機器台帳!$C$2:$C$400&lt;=29)*(機器台帳!$C$2:$C$400+機器台帳!$D$2:$D$400-1&gt;=29))=0,"",INDEX(機器台帳!$I$2:$I$400,MATCH(1,INDEX((機器台帳!$A$2:$A$400="E24-S8-5")*((機器台帳!$B$2:$B$400="背面")+(機器台帳!$B$2:$B$400="両面")&gt;0)*(機器台帳!$F$2:$F$400&lt;&gt;"")*(機器台帳!$C$2:$C$400&lt;=29)*(機器台帳!$C$2:$C$400+機器台帳!$D$2:$D$400-1&gt;=29),0),0))&amp;IF(INDEX(機器台帳!$Y$2:$Y$400,MATCH(1,INDEX((機器台帳!$A$2:$A$400="E24-S8-5")*((機器台帳!$B$2:$B$400="背面")+(機器台帳!$B$2:$B$400="両面")&gt;0)*(機器台帳!$F$2:$F$400&lt;&gt;"")*(機器台帳!$C$2:$C$400&lt;=29)*(機器台帳!$C$2:$C$400+機器台帳!$D$2:$D$400-1&gt;=29),0),0))=0,"|未記入",""))</f>
        <v/>
      </c>
      <c r="V22" s="12">
        <f>IF(SUMPRODUCT((機器台帳!$A$2:$A$400="E24-S6-1")*((機器台帳!$B$2:$B$400="前面")+(機器台帳!$B$2:$B$400="両面")&gt;0)*(機器台帳!$F$2:$F$400&lt;&gt;"")*(機器台帳!$C$2:$C$400&lt;=29)*(機器台帳!$C$2:$C$400+機器台帳!$D$2:$D$400-1&gt;=29))=0,"",INDEX(機器台帳!$F$2:$F$400,MATCH(1,INDEX((機器台帳!$A$2:$A$400="E24-S6-1")*((機器台帳!$B$2:$B$400="前面")+(機器台帳!$B$2:$B$400="両面")&gt;0)*(機器台帳!$F$2:$F$400&lt;&gt;"")*(機器台帳!$C$2:$C$400&lt;=29)*(機器台帳!$C$2:$C$400+機器台帳!$D$2:$D$400-1&gt;=29),0),0))&amp;IF(INDEX(機器台帳!$G$2:$G$400,MATCH(1,INDEX((機器台帳!$A$2:$A$400="E24-S6-1")*((機器台帳!$B$2:$B$400="前面")+(機器台帳!$B$2:$B$400="両面")&gt;0)*(機器台帳!$F$2:$F$400&lt;&gt;"")*(機器台帳!$C$2:$C$400&lt;=29)*(機器台帳!$C$2:$C$400+機器台帳!$D$2:$D$400-1&gt;=29),0),0))=""," "," "&amp;INDEX(機器台帳!$G$2:$G$400,MATCH(1,INDEX((機器台帳!$A$2:$A$400="E24-S6-1")*((機器台帳!$B$2:$B$400="前面")+(機器台帳!$B$2:$B$400="両面")&gt;0)*(機器台帳!$F$2:$F$400&lt;&gt;"")*(機器台帳!$C$2:$C$400&lt;=29)*(機器台帳!$C$2:$C$400+機器台帳!$D$2:$D$400-1&gt;=29),0),0)))&amp;IF(SUMPRODUCT((機器台帳!$A$2:$A$400="E24-S6-1")*((機器台帳!$B$2:$B$400="前面")+(機器台帳!$B$2:$B$400="両面")&gt;0)*(機器台帳!$F$2:$F$400&lt;&gt;"")*(機器台帳!$C$2:$C$400&lt;=29)*(機器台帳!$C$2:$C$400+機器台帳!$D$2:$D$400-1&gt;=29))&gt;1," 他"&amp;(SUMPRODUCT((機器台帳!$A$2:$A$400="E24-S6-1")*((機器台帳!$B$2:$B$400="前面")+(機器台帳!$B$2:$B$400="両面")&gt;0)*(機器台帳!$F$2:$F$400&lt;&gt;"")*(機器台帳!$C$2:$C$400&lt;=29)*(機器台帳!$C$2:$C$400+機器台帳!$D$2:$D$400-1&gt;=29))-1)&amp;"台",""))</f>
        <v/>
      </c>
      <c r="W22">
        <f>IF(SUMPRODUCT((機器台帳!$A$2:$A$400="E24-S6-1")*((機器台帳!$B$2:$B$400="前面")+(機器台帳!$B$2:$B$400="両面")&gt;0)*(機器台帳!$F$2:$F$400&lt;&gt;"")*(機器台帳!$C$2:$C$400&lt;=29)*(機器台帳!$C$2:$C$400+機器台帳!$D$2:$D$400-1&gt;=29))=0,"",INDEX(機器台帳!$I$2:$I$400,MATCH(1,INDEX((機器台帳!$A$2:$A$400="E24-S6-1")*((機器台帳!$B$2:$B$400="前面")+(機器台帳!$B$2:$B$400="両面")&gt;0)*(機器台帳!$F$2:$F$400&lt;&gt;"")*(機器台帳!$C$2:$C$400&lt;=29)*(機器台帳!$C$2:$C$400+機器台帳!$D$2:$D$400-1&gt;=29),0),0))&amp;IF(INDEX(機器台帳!$Y$2:$Y$400,MATCH(1,INDEX((機器台帳!$A$2:$A$400="E24-S6-1")*((機器台帳!$B$2:$B$400="前面")+(機器台帳!$B$2:$B$400="両面")&gt;0)*(機器台帳!$F$2:$F$400&lt;&gt;"")*(機器台帳!$C$2:$C$400&lt;=29)*(機器台帳!$C$2:$C$400+機器台帳!$D$2:$D$400-1&gt;=29),0),0))=0,"|未記入",""))</f>
        <v/>
      </c>
      <c r="X22" s="12">
        <f>IF(SUMPRODUCT((機器台帳!$A$2:$A$400="E24-S6-1")*((機器台帳!$B$2:$B$400="背面")+(機器台帳!$B$2:$B$400="両面")&gt;0)*(機器台帳!$F$2:$F$400&lt;&gt;"")*(機器台帳!$C$2:$C$400&lt;=29)*(機器台帳!$C$2:$C$400+機器台帳!$D$2:$D$400-1&gt;=29))=0,"",INDEX(機器台帳!$F$2:$F$400,MATCH(1,INDEX((機器台帳!$A$2:$A$400="E24-S6-1")*((機器台帳!$B$2:$B$400="背面")+(機器台帳!$B$2:$B$400="両面")&gt;0)*(機器台帳!$F$2:$F$400&lt;&gt;"")*(機器台帳!$C$2:$C$400&lt;=29)*(機器台帳!$C$2:$C$400+機器台帳!$D$2:$D$400-1&gt;=29),0),0))&amp;IF(INDEX(機器台帳!$G$2:$G$400,MATCH(1,INDEX((機器台帳!$A$2:$A$400="E24-S6-1")*((機器台帳!$B$2:$B$400="背面")+(機器台帳!$B$2:$B$400="両面")&gt;0)*(機器台帳!$F$2:$F$400&lt;&gt;"")*(機器台帳!$C$2:$C$400&lt;=29)*(機器台帳!$C$2:$C$400+機器台帳!$D$2:$D$400-1&gt;=29),0),0))=""," "," "&amp;INDEX(機器台帳!$G$2:$G$400,MATCH(1,INDEX((機器台帳!$A$2:$A$400="E24-S6-1")*((機器台帳!$B$2:$B$400="背面")+(機器台帳!$B$2:$B$400="両面")&gt;0)*(機器台帳!$F$2:$F$400&lt;&gt;"")*(機器台帳!$C$2:$C$400&lt;=29)*(機器台帳!$C$2:$C$400+機器台帳!$D$2:$D$400-1&gt;=29),0),0)))&amp;IF(SUMPRODUCT((機器台帳!$A$2:$A$400="E24-S6-1")*((機器台帳!$B$2:$B$400="背面")+(機器台帳!$B$2:$B$400="両面")&gt;0)*(機器台帳!$F$2:$F$400&lt;&gt;"")*(機器台帳!$C$2:$C$400&lt;=29)*(機器台帳!$C$2:$C$400+機器台帳!$D$2:$D$400-1&gt;=29))&gt;1," 他"&amp;(SUMPRODUCT((機器台帳!$A$2:$A$400="E24-S6-1")*((機器台帳!$B$2:$B$400="背面")+(機器台帳!$B$2:$B$400="両面")&gt;0)*(機器台帳!$F$2:$F$400&lt;&gt;"")*(機器台帳!$C$2:$C$400&lt;=29)*(機器台帳!$C$2:$C$400+機器台帳!$D$2:$D$400-1&gt;=29))-1)&amp;"台",""))</f>
        <v/>
      </c>
      <c r="Y22">
        <f>IF(SUMPRODUCT((機器台帳!$A$2:$A$400="E24-S6-1")*((機器台帳!$B$2:$B$400="背面")+(機器台帳!$B$2:$B$400="両面")&gt;0)*(機器台帳!$F$2:$F$400&lt;&gt;"")*(機器台帳!$C$2:$C$400&lt;=29)*(機器台帳!$C$2:$C$400+機器台帳!$D$2:$D$400-1&gt;=29))=0,"",INDEX(機器台帳!$I$2:$I$400,MATCH(1,INDEX((機器台帳!$A$2:$A$400="E24-S6-1")*((機器台帳!$B$2:$B$400="背面")+(機器台帳!$B$2:$B$400="両面")&gt;0)*(機器台帳!$F$2:$F$400&lt;&gt;"")*(機器台帳!$C$2:$C$400&lt;=29)*(機器台帳!$C$2:$C$400+機器台帳!$D$2:$D$400-1&gt;=29),0),0))&amp;IF(INDEX(機器台帳!$Y$2:$Y$400,MATCH(1,INDEX((機器台帳!$A$2:$A$400="E24-S6-1")*((機器台帳!$B$2:$B$400="背面")+(機器台帳!$B$2:$B$400="両面")&gt;0)*(機器台帳!$F$2:$F$400&lt;&gt;"")*(機器台帳!$C$2:$C$400&lt;=29)*(機器台帳!$C$2:$C$400+機器台帳!$D$2:$D$400-1&gt;=29),0),0))=0,"|未記入",""))</f>
        <v/>
      </c>
    </row>
    <row r="23">
      <c r="A23" s="11" t="n">
        <v>28</v>
      </c>
      <c r="B23" s="12">
        <f>IF(SUMPRODUCT((機器台帳!$A$2:$A$400="E24-S8-1")*((機器台帳!$B$2:$B$400="前面")+(機器台帳!$B$2:$B$400="両面")&gt;0)*(機器台帳!$F$2:$F$400&lt;&gt;"")*(機器台帳!$C$2:$C$400&lt;=28)*(機器台帳!$C$2:$C$400+機器台帳!$D$2:$D$400-1&gt;=28))=0,"",INDEX(機器台帳!$F$2:$F$400,MATCH(1,INDEX((機器台帳!$A$2:$A$400="E24-S8-1")*((機器台帳!$B$2:$B$400="前面")+(機器台帳!$B$2:$B$400="両面")&gt;0)*(機器台帳!$F$2:$F$400&lt;&gt;"")*(機器台帳!$C$2:$C$400&lt;=28)*(機器台帳!$C$2:$C$400+機器台帳!$D$2:$D$400-1&gt;=28),0),0))&amp;IF(INDEX(機器台帳!$G$2:$G$400,MATCH(1,INDEX((機器台帳!$A$2:$A$400="E24-S8-1")*((機器台帳!$B$2:$B$400="前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-1")*((機器台帳!$B$2:$B$400="前面")+(機器台帳!$B$2:$B$400="両面")&gt;0)*(機器台帳!$F$2:$F$400&lt;&gt;"")*(機器台帳!$C$2:$C$400&lt;=28)*(機器台帳!$C$2:$C$400+機器台帳!$D$2:$D$400-1&gt;=28),0),0)))&amp;IF(SUMPRODUCT((機器台帳!$A$2:$A$400="E24-S8-1")*((機器台帳!$B$2:$B$400="前面")+(機器台帳!$B$2:$B$400="両面")&gt;0)*(機器台帳!$F$2:$F$400&lt;&gt;"")*(機器台帳!$C$2:$C$400&lt;=28)*(機器台帳!$C$2:$C$400+機器台帳!$D$2:$D$400-1&gt;=28))&gt;1," 他"&amp;(SUMPRODUCT((機器台帳!$A$2:$A$400="E24-S8-1")*((機器台帳!$B$2:$B$400="前面")+(機器台帳!$B$2:$B$400="両面")&gt;0)*(機器台帳!$F$2:$F$400&lt;&gt;"")*(機器台帳!$C$2:$C$400&lt;=28)*(機器台帳!$C$2:$C$400+機器台帳!$D$2:$D$400-1&gt;=28))-1)&amp;"台",""))</f>
        <v/>
      </c>
      <c r="C23">
        <f>IF(SUMPRODUCT((機器台帳!$A$2:$A$400="E24-S8-1")*((機器台帳!$B$2:$B$400="前面")+(機器台帳!$B$2:$B$400="両面")&gt;0)*(機器台帳!$F$2:$F$400&lt;&gt;"")*(機器台帳!$C$2:$C$400&lt;=28)*(機器台帳!$C$2:$C$400+機器台帳!$D$2:$D$400-1&gt;=28))=0,"",INDEX(機器台帳!$I$2:$I$400,MATCH(1,INDEX((機器台帳!$A$2:$A$400="E24-S8-1")*((機器台帳!$B$2:$B$400="前面")+(機器台帳!$B$2:$B$400="両面")&gt;0)*(機器台帳!$F$2:$F$400&lt;&gt;"")*(機器台帳!$C$2:$C$400&lt;=28)*(機器台帳!$C$2:$C$400+機器台帳!$D$2:$D$400-1&gt;=28),0),0))&amp;IF(INDEX(機器台帳!$Y$2:$Y$400,MATCH(1,INDEX((機器台帳!$A$2:$A$400="E24-S8-1")*((機器台帳!$B$2:$B$400="前面")+(機器台帳!$B$2:$B$400="両面")&gt;0)*(機器台帳!$F$2:$F$400&lt;&gt;"")*(機器台帳!$C$2:$C$400&lt;=28)*(機器台帳!$C$2:$C$400+機器台帳!$D$2:$D$400-1&gt;=28),0),0))=0,"|未記入",""))</f>
        <v/>
      </c>
      <c r="D23" s="12">
        <f>IF(SUMPRODUCT((機器台帳!$A$2:$A$400="E24-S8-1")*((機器台帳!$B$2:$B$400="背面")+(機器台帳!$B$2:$B$400="両面")&gt;0)*(機器台帳!$F$2:$F$400&lt;&gt;"")*(機器台帳!$C$2:$C$400&lt;=28)*(機器台帳!$C$2:$C$400+機器台帳!$D$2:$D$400-1&gt;=28))=0,"",INDEX(機器台帳!$F$2:$F$400,MATCH(1,INDEX((機器台帳!$A$2:$A$400="E24-S8-1")*((機器台帳!$B$2:$B$400="背面")+(機器台帳!$B$2:$B$400="両面")&gt;0)*(機器台帳!$F$2:$F$400&lt;&gt;"")*(機器台帳!$C$2:$C$400&lt;=28)*(機器台帳!$C$2:$C$400+機器台帳!$D$2:$D$400-1&gt;=28),0),0))&amp;IF(INDEX(機器台帳!$G$2:$G$400,MATCH(1,INDEX((機器台帳!$A$2:$A$400="E24-S8-1")*((機器台帳!$B$2:$B$400="背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-1")*((機器台帳!$B$2:$B$400="背面")+(機器台帳!$B$2:$B$400="両面")&gt;0)*(機器台帳!$F$2:$F$400&lt;&gt;"")*(機器台帳!$C$2:$C$400&lt;=28)*(機器台帳!$C$2:$C$400+機器台帳!$D$2:$D$400-1&gt;=28),0),0)))&amp;IF(SUMPRODUCT((機器台帳!$A$2:$A$400="E24-S8-1")*((機器台帳!$B$2:$B$400="背面")+(機器台帳!$B$2:$B$400="両面")&gt;0)*(機器台帳!$F$2:$F$400&lt;&gt;"")*(機器台帳!$C$2:$C$400&lt;=28)*(機器台帳!$C$2:$C$400+機器台帳!$D$2:$D$400-1&gt;=28))&gt;1," 他"&amp;(SUMPRODUCT((機器台帳!$A$2:$A$400="E24-S8-1")*((機器台帳!$B$2:$B$400="背面")+(機器台帳!$B$2:$B$400="両面")&gt;0)*(機器台帳!$F$2:$F$400&lt;&gt;"")*(機器台帳!$C$2:$C$400&lt;=28)*(機器台帳!$C$2:$C$400+機器台帳!$D$2:$D$400-1&gt;=28))-1)&amp;"台",""))</f>
        <v/>
      </c>
      <c r="E23">
        <f>IF(SUMPRODUCT((機器台帳!$A$2:$A$400="E24-S8-1")*((機器台帳!$B$2:$B$400="背面")+(機器台帳!$B$2:$B$400="両面")&gt;0)*(機器台帳!$F$2:$F$400&lt;&gt;"")*(機器台帳!$C$2:$C$400&lt;=28)*(機器台帳!$C$2:$C$400+機器台帳!$D$2:$D$400-1&gt;=28))=0,"",INDEX(機器台帳!$I$2:$I$400,MATCH(1,INDEX((機器台帳!$A$2:$A$400="E24-S8-1")*((機器台帳!$B$2:$B$400="背面")+(機器台帳!$B$2:$B$400="両面")&gt;0)*(機器台帳!$F$2:$F$400&lt;&gt;"")*(機器台帳!$C$2:$C$400&lt;=28)*(機器台帳!$C$2:$C$400+機器台帳!$D$2:$D$400-1&gt;=28),0),0))&amp;IF(INDEX(機器台帳!$Y$2:$Y$400,MATCH(1,INDEX((機器台帳!$A$2:$A$400="E24-S8-1")*((機器台帳!$B$2:$B$400="背面")+(機器台帳!$B$2:$B$400="両面")&gt;0)*(機器台帳!$F$2:$F$400&lt;&gt;"")*(機器台帳!$C$2:$C$400&lt;=28)*(機器台帳!$C$2:$C$400+機器台帳!$D$2:$D$400-1&gt;=28),0),0))=0,"|未記入",""))</f>
        <v/>
      </c>
      <c r="F23" s="12">
        <f>IF(SUMPRODUCT((機器台帳!$A$2:$A$400="E24-S8-2")*((機器台帳!$B$2:$B$400="前面")+(機器台帳!$B$2:$B$400="両面")&gt;0)*(機器台帳!$F$2:$F$400&lt;&gt;"")*(機器台帳!$C$2:$C$400&lt;=28)*(機器台帳!$C$2:$C$400+機器台帳!$D$2:$D$400-1&gt;=28))=0,"",INDEX(機器台帳!$F$2:$F$400,MATCH(1,INDEX((機器台帳!$A$2:$A$400="E24-S8-2")*((機器台帳!$B$2:$B$400="前面")+(機器台帳!$B$2:$B$400="両面")&gt;0)*(機器台帳!$F$2:$F$400&lt;&gt;"")*(機器台帳!$C$2:$C$400&lt;=28)*(機器台帳!$C$2:$C$400+機器台帳!$D$2:$D$400-1&gt;=28),0),0))&amp;IF(INDEX(機器台帳!$G$2:$G$400,MATCH(1,INDEX((機器台帳!$A$2:$A$400="E24-S8-2")*((機器台帳!$B$2:$B$400="前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-2")*((機器台帳!$B$2:$B$400="前面")+(機器台帳!$B$2:$B$400="両面")&gt;0)*(機器台帳!$F$2:$F$400&lt;&gt;"")*(機器台帳!$C$2:$C$400&lt;=28)*(機器台帳!$C$2:$C$400+機器台帳!$D$2:$D$400-1&gt;=28),0),0)))&amp;IF(SUMPRODUCT((機器台帳!$A$2:$A$400="E24-S8-2")*((機器台帳!$B$2:$B$400="前面")+(機器台帳!$B$2:$B$400="両面")&gt;0)*(機器台帳!$F$2:$F$400&lt;&gt;"")*(機器台帳!$C$2:$C$400&lt;=28)*(機器台帳!$C$2:$C$400+機器台帳!$D$2:$D$400-1&gt;=28))&gt;1," 他"&amp;(SUMPRODUCT((機器台帳!$A$2:$A$400="E24-S8-2")*((機器台帳!$B$2:$B$400="前面")+(機器台帳!$B$2:$B$400="両面")&gt;0)*(機器台帳!$F$2:$F$400&lt;&gt;"")*(機器台帳!$C$2:$C$400&lt;=28)*(機器台帳!$C$2:$C$400+機器台帳!$D$2:$D$400-1&gt;=28))-1)&amp;"台",""))</f>
        <v/>
      </c>
      <c r="G23">
        <f>IF(SUMPRODUCT((機器台帳!$A$2:$A$400="E24-S8-2")*((機器台帳!$B$2:$B$400="前面")+(機器台帳!$B$2:$B$400="両面")&gt;0)*(機器台帳!$F$2:$F$400&lt;&gt;"")*(機器台帳!$C$2:$C$400&lt;=28)*(機器台帳!$C$2:$C$400+機器台帳!$D$2:$D$400-1&gt;=28))=0,"",INDEX(機器台帳!$I$2:$I$400,MATCH(1,INDEX((機器台帳!$A$2:$A$400="E24-S8-2")*((機器台帳!$B$2:$B$400="前面")+(機器台帳!$B$2:$B$400="両面")&gt;0)*(機器台帳!$F$2:$F$400&lt;&gt;"")*(機器台帳!$C$2:$C$400&lt;=28)*(機器台帳!$C$2:$C$400+機器台帳!$D$2:$D$400-1&gt;=28),0),0))&amp;IF(INDEX(機器台帳!$Y$2:$Y$400,MATCH(1,INDEX((機器台帳!$A$2:$A$400="E24-S8-2")*((機器台帳!$B$2:$B$400="前面")+(機器台帳!$B$2:$B$400="両面")&gt;0)*(機器台帳!$F$2:$F$400&lt;&gt;"")*(機器台帳!$C$2:$C$400&lt;=28)*(機器台帳!$C$2:$C$400+機器台帳!$D$2:$D$400-1&gt;=28),0),0))=0,"|未記入",""))</f>
        <v/>
      </c>
      <c r="H23" s="12">
        <f>IF(SUMPRODUCT((機器台帳!$A$2:$A$400="E24-S8-2")*((機器台帳!$B$2:$B$400="背面")+(機器台帳!$B$2:$B$400="両面")&gt;0)*(機器台帳!$F$2:$F$400&lt;&gt;"")*(機器台帳!$C$2:$C$400&lt;=28)*(機器台帳!$C$2:$C$400+機器台帳!$D$2:$D$400-1&gt;=28))=0,"",INDEX(機器台帳!$F$2:$F$400,MATCH(1,INDEX((機器台帳!$A$2:$A$400="E24-S8-2")*((機器台帳!$B$2:$B$400="背面")+(機器台帳!$B$2:$B$400="両面")&gt;0)*(機器台帳!$F$2:$F$400&lt;&gt;"")*(機器台帳!$C$2:$C$400&lt;=28)*(機器台帳!$C$2:$C$400+機器台帳!$D$2:$D$400-1&gt;=28),0),0))&amp;IF(INDEX(機器台帳!$G$2:$G$400,MATCH(1,INDEX((機器台帳!$A$2:$A$400="E24-S8-2")*((機器台帳!$B$2:$B$400="背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-2")*((機器台帳!$B$2:$B$400="背面")+(機器台帳!$B$2:$B$400="両面")&gt;0)*(機器台帳!$F$2:$F$400&lt;&gt;"")*(機器台帳!$C$2:$C$400&lt;=28)*(機器台帳!$C$2:$C$400+機器台帳!$D$2:$D$400-1&gt;=28),0),0)))&amp;IF(SUMPRODUCT((機器台帳!$A$2:$A$400="E24-S8-2")*((機器台帳!$B$2:$B$400="背面")+(機器台帳!$B$2:$B$400="両面")&gt;0)*(機器台帳!$F$2:$F$400&lt;&gt;"")*(機器台帳!$C$2:$C$400&lt;=28)*(機器台帳!$C$2:$C$400+機器台帳!$D$2:$D$400-1&gt;=28))&gt;1," 他"&amp;(SUMPRODUCT((機器台帳!$A$2:$A$400="E24-S8-2")*((機器台帳!$B$2:$B$400="背面")+(機器台帳!$B$2:$B$400="両面")&gt;0)*(機器台帳!$F$2:$F$400&lt;&gt;"")*(機器台帳!$C$2:$C$400&lt;=28)*(機器台帳!$C$2:$C$400+機器台帳!$D$2:$D$400-1&gt;=28))-1)&amp;"台",""))</f>
        <v/>
      </c>
      <c r="I23">
        <f>IF(SUMPRODUCT((機器台帳!$A$2:$A$400="E24-S8-2")*((機器台帳!$B$2:$B$400="背面")+(機器台帳!$B$2:$B$400="両面")&gt;0)*(機器台帳!$F$2:$F$400&lt;&gt;"")*(機器台帳!$C$2:$C$400&lt;=28)*(機器台帳!$C$2:$C$400+機器台帳!$D$2:$D$400-1&gt;=28))=0,"",INDEX(機器台帳!$I$2:$I$400,MATCH(1,INDEX((機器台帳!$A$2:$A$400="E24-S8-2")*((機器台帳!$B$2:$B$400="背面")+(機器台帳!$B$2:$B$400="両面")&gt;0)*(機器台帳!$F$2:$F$400&lt;&gt;"")*(機器台帳!$C$2:$C$400&lt;=28)*(機器台帳!$C$2:$C$400+機器台帳!$D$2:$D$400-1&gt;=28),0),0))&amp;IF(INDEX(機器台帳!$Y$2:$Y$400,MATCH(1,INDEX((機器台帳!$A$2:$A$400="E24-S8-2")*((機器台帳!$B$2:$B$400="背面")+(機器台帳!$B$2:$B$400="両面")&gt;0)*(機器台帳!$F$2:$F$400&lt;&gt;"")*(機器台帳!$C$2:$C$400&lt;=28)*(機器台帳!$C$2:$C$400+機器台帳!$D$2:$D$400-1&gt;=28),0),0))=0,"|未記入",""))</f>
        <v/>
      </c>
      <c r="J23" s="12">
        <f>IF(SUMPRODUCT((機器台帳!$A$2:$A$400="E24-S8-3")*((機器台帳!$B$2:$B$400="前面")+(機器台帳!$B$2:$B$400="両面")&gt;0)*(機器台帳!$F$2:$F$400&lt;&gt;"")*(機器台帳!$C$2:$C$400&lt;=28)*(機器台帳!$C$2:$C$400+機器台帳!$D$2:$D$400-1&gt;=28))=0,"",INDEX(機器台帳!$F$2:$F$400,MATCH(1,INDEX((機器台帳!$A$2:$A$400="E24-S8-3")*((機器台帳!$B$2:$B$400="前面")+(機器台帳!$B$2:$B$400="両面")&gt;0)*(機器台帳!$F$2:$F$400&lt;&gt;"")*(機器台帳!$C$2:$C$400&lt;=28)*(機器台帳!$C$2:$C$400+機器台帳!$D$2:$D$400-1&gt;=28),0),0))&amp;IF(INDEX(機器台帳!$G$2:$G$400,MATCH(1,INDEX((機器台帳!$A$2:$A$400="E24-S8-3")*((機器台帳!$B$2:$B$400="前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-3")*((機器台帳!$B$2:$B$400="前面")+(機器台帳!$B$2:$B$400="両面")&gt;0)*(機器台帳!$F$2:$F$400&lt;&gt;"")*(機器台帳!$C$2:$C$400&lt;=28)*(機器台帳!$C$2:$C$400+機器台帳!$D$2:$D$400-1&gt;=28),0),0)))&amp;IF(SUMPRODUCT((機器台帳!$A$2:$A$400="E24-S8-3")*((機器台帳!$B$2:$B$400="前面")+(機器台帳!$B$2:$B$400="両面")&gt;0)*(機器台帳!$F$2:$F$400&lt;&gt;"")*(機器台帳!$C$2:$C$400&lt;=28)*(機器台帳!$C$2:$C$400+機器台帳!$D$2:$D$400-1&gt;=28))&gt;1," 他"&amp;(SUMPRODUCT((機器台帳!$A$2:$A$400="E24-S8-3")*((機器台帳!$B$2:$B$400="前面")+(機器台帳!$B$2:$B$400="両面")&gt;0)*(機器台帳!$F$2:$F$400&lt;&gt;"")*(機器台帳!$C$2:$C$400&lt;=28)*(機器台帳!$C$2:$C$400+機器台帳!$D$2:$D$400-1&gt;=28))-1)&amp;"台",""))</f>
        <v/>
      </c>
      <c r="K23">
        <f>IF(SUMPRODUCT((機器台帳!$A$2:$A$400="E24-S8-3")*((機器台帳!$B$2:$B$400="前面")+(機器台帳!$B$2:$B$400="両面")&gt;0)*(機器台帳!$F$2:$F$400&lt;&gt;"")*(機器台帳!$C$2:$C$400&lt;=28)*(機器台帳!$C$2:$C$400+機器台帳!$D$2:$D$400-1&gt;=28))=0,"",INDEX(機器台帳!$I$2:$I$400,MATCH(1,INDEX((機器台帳!$A$2:$A$400="E24-S8-3")*((機器台帳!$B$2:$B$400="前面")+(機器台帳!$B$2:$B$400="両面")&gt;0)*(機器台帳!$F$2:$F$400&lt;&gt;"")*(機器台帳!$C$2:$C$400&lt;=28)*(機器台帳!$C$2:$C$400+機器台帳!$D$2:$D$400-1&gt;=28),0),0))&amp;IF(INDEX(機器台帳!$Y$2:$Y$400,MATCH(1,INDEX((機器台帳!$A$2:$A$400="E24-S8-3")*((機器台帳!$B$2:$B$400="前面")+(機器台帳!$B$2:$B$400="両面")&gt;0)*(機器台帳!$F$2:$F$400&lt;&gt;"")*(機器台帳!$C$2:$C$400&lt;=28)*(機器台帳!$C$2:$C$400+機器台帳!$D$2:$D$400-1&gt;=28),0),0))=0,"|未記入",""))</f>
        <v/>
      </c>
      <c r="L23" s="12">
        <f>IF(SUMPRODUCT((機器台帳!$A$2:$A$400="E24-S8-3")*((機器台帳!$B$2:$B$400="背面")+(機器台帳!$B$2:$B$400="両面")&gt;0)*(機器台帳!$F$2:$F$400&lt;&gt;"")*(機器台帳!$C$2:$C$400&lt;=28)*(機器台帳!$C$2:$C$400+機器台帳!$D$2:$D$400-1&gt;=28))=0,"",INDEX(機器台帳!$F$2:$F$400,MATCH(1,INDEX((機器台帳!$A$2:$A$400="E24-S8-3")*((機器台帳!$B$2:$B$400="背面")+(機器台帳!$B$2:$B$400="両面")&gt;0)*(機器台帳!$F$2:$F$400&lt;&gt;"")*(機器台帳!$C$2:$C$400&lt;=28)*(機器台帳!$C$2:$C$400+機器台帳!$D$2:$D$400-1&gt;=28),0),0))&amp;IF(INDEX(機器台帳!$G$2:$G$400,MATCH(1,INDEX((機器台帳!$A$2:$A$400="E24-S8-3")*((機器台帳!$B$2:$B$400="背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-3")*((機器台帳!$B$2:$B$400="背面")+(機器台帳!$B$2:$B$400="両面")&gt;0)*(機器台帳!$F$2:$F$400&lt;&gt;"")*(機器台帳!$C$2:$C$400&lt;=28)*(機器台帳!$C$2:$C$400+機器台帳!$D$2:$D$400-1&gt;=28),0),0)))&amp;IF(SUMPRODUCT((機器台帳!$A$2:$A$400="E24-S8-3")*((機器台帳!$B$2:$B$400="背面")+(機器台帳!$B$2:$B$400="両面")&gt;0)*(機器台帳!$F$2:$F$400&lt;&gt;"")*(機器台帳!$C$2:$C$400&lt;=28)*(機器台帳!$C$2:$C$400+機器台帳!$D$2:$D$400-1&gt;=28))&gt;1," 他"&amp;(SUMPRODUCT((機器台帳!$A$2:$A$400="E24-S8-3")*((機器台帳!$B$2:$B$400="背面")+(機器台帳!$B$2:$B$400="両面")&gt;0)*(機器台帳!$F$2:$F$400&lt;&gt;"")*(機器台帳!$C$2:$C$400&lt;=28)*(機器台帳!$C$2:$C$400+機器台帳!$D$2:$D$400-1&gt;=28))-1)&amp;"台",""))</f>
        <v/>
      </c>
      <c r="M23">
        <f>IF(SUMPRODUCT((機器台帳!$A$2:$A$400="E24-S8-3")*((機器台帳!$B$2:$B$400="背面")+(機器台帳!$B$2:$B$400="両面")&gt;0)*(機器台帳!$F$2:$F$400&lt;&gt;"")*(機器台帳!$C$2:$C$400&lt;=28)*(機器台帳!$C$2:$C$400+機器台帳!$D$2:$D$400-1&gt;=28))=0,"",INDEX(機器台帳!$I$2:$I$400,MATCH(1,INDEX((機器台帳!$A$2:$A$400="E24-S8-3")*((機器台帳!$B$2:$B$400="背面")+(機器台帳!$B$2:$B$400="両面")&gt;0)*(機器台帳!$F$2:$F$400&lt;&gt;"")*(機器台帳!$C$2:$C$400&lt;=28)*(機器台帳!$C$2:$C$400+機器台帳!$D$2:$D$400-1&gt;=28),0),0))&amp;IF(INDEX(機器台帳!$Y$2:$Y$400,MATCH(1,INDEX((機器台帳!$A$2:$A$400="E24-S8-3")*((機器台帳!$B$2:$B$400="背面")+(機器台帳!$B$2:$B$400="両面")&gt;0)*(機器台帳!$F$2:$F$400&lt;&gt;"")*(機器台帳!$C$2:$C$400&lt;=28)*(機器台帳!$C$2:$C$400+機器台帳!$D$2:$D$400-1&gt;=28),0),0))=0,"|未記入",""))</f>
        <v/>
      </c>
      <c r="N23" s="12">
        <f>IF(SUMPRODUCT((機器台帳!$A$2:$A$400="E24-S8-4")*((機器台帳!$B$2:$B$400="前面")+(機器台帳!$B$2:$B$400="両面")&gt;0)*(機器台帳!$F$2:$F$400&lt;&gt;"")*(機器台帳!$C$2:$C$400&lt;=28)*(機器台帳!$C$2:$C$400+機器台帳!$D$2:$D$400-1&gt;=28))=0,"",INDEX(機器台帳!$F$2:$F$400,MATCH(1,INDEX((機器台帳!$A$2:$A$400="E24-S8-4")*((機器台帳!$B$2:$B$400="前面")+(機器台帳!$B$2:$B$400="両面")&gt;0)*(機器台帳!$F$2:$F$400&lt;&gt;"")*(機器台帳!$C$2:$C$400&lt;=28)*(機器台帳!$C$2:$C$400+機器台帳!$D$2:$D$400-1&gt;=28),0),0))&amp;IF(INDEX(機器台帳!$G$2:$G$400,MATCH(1,INDEX((機器台帳!$A$2:$A$400="E24-S8-4")*((機器台帳!$B$2:$B$400="前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-4")*((機器台帳!$B$2:$B$400="前面")+(機器台帳!$B$2:$B$400="両面")&gt;0)*(機器台帳!$F$2:$F$400&lt;&gt;"")*(機器台帳!$C$2:$C$400&lt;=28)*(機器台帳!$C$2:$C$400+機器台帳!$D$2:$D$400-1&gt;=28),0),0)))&amp;IF(SUMPRODUCT((機器台帳!$A$2:$A$400="E24-S8-4")*((機器台帳!$B$2:$B$400="前面")+(機器台帳!$B$2:$B$400="両面")&gt;0)*(機器台帳!$F$2:$F$400&lt;&gt;"")*(機器台帳!$C$2:$C$400&lt;=28)*(機器台帳!$C$2:$C$400+機器台帳!$D$2:$D$400-1&gt;=28))&gt;1," 他"&amp;(SUMPRODUCT((機器台帳!$A$2:$A$400="E24-S8-4")*((機器台帳!$B$2:$B$400="前面")+(機器台帳!$B$2:$B$400="両面")&gt;0)*(機器台帳!$F$2:$F$400&lt;&gt;"")*(機器台帳!$C$2:$C$400&lt;=28)*(機器台帳!$C$2:$C$400+機器台帳!$D$2:$D$400-1&gt;=28))-1)&amp;"台",""))</f>
        <v/>
      </c>
      <c r="O23">
        <f>IF(SUMPRODUCT((機器台帳!$A$2:$A$400="E24-S8-4")*((機器台帳!$B$2:$B$400="前面")+(機器台帳!$B$2:$B$400="両面")&gt;0)*(機器台帳!$F$2:$F$400&lt;&gt;"")*(機器台帳!$C$2:$C$400&lt;=28)*(機器台帳!$C$2:$C$400+機器台帳!$D$2:$D$400-1&gt;=28))=0,"",INDEX(機器台帳!$I$2:$I$400,MATCH(1,INDEX((機器台帳!$A$2:$A$400="E24-S8-4")*((機器台帳!$B$2:$B$400="前面")+(機器台帳!$B$2:$B$400="両面")&gt;0)*(機器台帳!$F$2:$F$400&lt;&gt;"")*(機器台帳!$C$2:$C$400&lt;=28)*(機器台帳!$C$2:$C$400+機器台帳!$D$2:$D$400-1&gt;=28),0),0))&amp;IF(INDEX(機器台帳!$Y$2:$Y$400,MATCH(1,INDEX((機器台帳!$A$2:$A$400="E24-S8-4")*((機器台帳!$B$2:$B$400="前面")+(機器台帳!$B$2:$B$400="両面")&gt;0)*(機器台帳!$F$2:$F$400&lt;&gt;"")*(機器台帳!$C$2:$C$400&lt;=28)*(機器台帳!$C$2:$C$400+機器台帳!$D$2:$D$400-1&gt;=28),0),0))=0,"|未記入",""))</f>
        <v/>
      </c>
      <c r="P23" s="12">
        <f>IF(SUMPRODUCT((機器台帳!$A$2:$A$400="E24-S8-4")*((機器台帳!$B$2:$B$400="背面")+(機器台帳!$B$2:$B$400="両面")&gt;0)*(機器台帳!$F$2:$F$400&lt;&gt;"")*(機器台帳!$C$2:$C$400&lt;=28)*(機器台帳!$C$2:$C$400+機器台帳!$D$2:$D$400-1&gt;=28))=0,"",INDEX(機器台帳!$F$2:$F$400,MATCH(1,INDEX((機器台帳!$A$2:$A$400="E24-S8-4")*((機器台帳!$B$2:$B$400="背面")+(機器台帳!$B$2:$B$400="両面")&gt;0)*(機器台帳!$F$2:$F$400&lt;&gt;"")*(機器台帳!$C$2:$C$400&lt;=28)*(機器台帳!$C$2:$C$400+機器台帳!$D$2:$D$400-1&gt;=28),0),0))&amp;IF(INDEX(機器台帳!$G$2:$G$400,MATCH(1,INDEX((機器台帳!$A$2:$A$400="E24-S8-4")*((機器台帳!$B$2:$B$400="背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-4")*((機器台帳!$B$2:$B$400="背面")+(機器台帳!$B$2:$B$400="両面")&gt;0)*(機器台帳!$F$2:$F$400&lt;&gt;"")*(機器台帳!$C$2:$C$400&lt;=28)*(機器台帳!$C$2:$C$400+機器台帳!$D$2:$D$400-1&gt;=28),0),0)))&amp;IF(SUMPRODUCT((機器台帳!$A$2:$A$400="E24-S8-4")*((機器台帳!$B$2:$B$400="背面")+(機器台帳!$B$2:$B$400="両面")&gt;0)*(機器台帳!$F$2:$F$400&lt;&gt;"")*(機器台帳!$C$2:$C$400&lt;=28)*(機器台帳!$C$2:$C$400+機器台帳!$D$2:$D$400-1&gt;=28))&gt;1," 他"&amp;(SUMPRODUCT((機器台帳!$A$2:$A$400="E24-S8-4")*((機器台帳!$B$2:$B$400="背面")+(機器台帳!$B$2:$B$400="両面")&gt;0)*(機器台帳!$F$2:$F$400&lt;&gt;"")*(機器台帳!$C$2:$C$400&lt;=28)*(機器台帳!$C$2:$C$400+機器台帳!$D$2:$D$400-1&gt;=28))-1)&amp;"台",""))</f>
        <v/>
      </c>
      <c r="Q23">
        <f>IF(SUMPRODUCT((機器台帳!$A$2:$A$400="E24-S8-4")*((機器台帳!$B$2:$B$400="背面")+(機器台帳!$B$2:$B$400="両面")&gt;0)*(機器台帳!$F$2:$F$400&lt;&gt;"")*(機器台帳!$C$2:$C$400&lt;=28)*(機器台帳!$C$2:$C$400+機器台帳!$D$2:$D$400-1&gt;=28))=0,"",INDEX(機器台帳!$I$2:$I$400,MATCH(1,INDEX((機器台帳!$A$2:$A$400="E24-S8-4")*((機器台帳!$B$2:$B$400="背面")+(機器台帳!$B$2:$B$400="両面")&gt;0)*(機器台帳!$F$2:$F$400&lt;&gt;"")*(機器台帳!$C$2:$C$400&lt;=28)*(機器台帳!$C$2:$C$400+機器台帳!$D$2:$D$400-1&gt;=28),0),0))&amp;IF(INDEX(機器台帳!$Y$2:$Y$400,MATCH(1,INDEX((機器台帳!$A$2:$A$400="E24-S8-4")*((機器台帳!$B$2:$B$400="背面")+(機器台帳!$B$2:$B$400="両面")&gt;0)*(機器台帳!$F$2:$F$400&lt;&gt;"")*(機器台帳!$C$2:$C$400&lt;=28)*(機器台帳!$C$2:$C$400+機器台帳!$D$2:$D$400-1&gt;=28),0),0))=0,"|未記入",""))</f>
        <v/>
      </c>
      <c r="R23" s="12">
        <f>IF(SUMPRODUCT((機器台帳!$A$2:$A$400="E24-S8-5")*((機器台帳!$B$2:$B$400="前面")+(機器台帳!$B$2:$B$400="両面")&gt;0)*(機器台帳!$F$2:$F$400&lt;&gt;"")*(機器台帳!$C$2:$C$400&lt;=28)*(機器台帳!$C$2:$C$400+機器台帳!$D$2:$D$400-1&gt;=28))=0,"",INDEX(機器台帳!$F$2:$F$400,MATCH(1,INDEX((機器台帳!$A$2:$A$400="E24-S8-5")*((機器台帳!$B$2:$B$400="前面")+(機器台帳!$B$2:$B$400="両面")&gt;0)*(機器台帳!$F$2:$F$400&lt;&gt;"")*(機器台帳!$C$2:$C$400&lt;=28)*(機器台帳!$C$2:$C$400+機器台帳!$D$2:$D$400-1&gt;=28),0),0))&amp;IF(INDEX(機器台帳!$G$2:$G$400,MATCH(1,INDEX((機器台帳!$A$2:$A$400="E24-S8-5")*((機器台帳!$B$2:$B$400="前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-5")*((機器台帳!$B$2:$B$400="前面")+(機器台帳!$B$2:$B$400="両面")&gt;0)*(機器台帳!$F$2:$F$400&lt;&gt;"")*(機器台帳!$C$2:$C$400&lt;=28)*(機器台帳!$C$2:$C$400+機器台帳!$D$2:$D$400-1&gt;=28),0),0)))&amp;IF(SUMPRODUCT((機器台帳!$A$2:$A$400="E24-S8-5")*((機器台帳!$B$2:$B$400="前面")+(機器台帳!$B$2:$B$400="両面")&gt;0)*(機器台帳!$F$2:$F$400&lt;&gt;"")*(機器台帳!$C$2:$C$400&lt;=28)*(機器台帳!$C$2:$C$400+機器台帳!$D$2:$D$400-1&gt;=28))&gt;1," 他"&amp;(SUMPRODUCT((機器台帳!$A$2:$A$400="E24-S8-5")*((機器台帳!$B$2:$B$400="前面")+(機器台帳!$B$2:$B$400="両面")&gt;0)*(機器台帳!$F$2:$F$400&lt;&gt;"")*(機器台帳!$C$2:$C$400&lt;=28)*(機器台帳!$C$2:$C$400+機器台帳!$D$2:$D$400-1&gt;=28))-1)&amp;"台",""))</f>
        <v/>
      </c>
      <c r="S23">
        <f>IF(SUMPRODUCT((機器台帳!$A$2:$A$400="E24-S8-5")*((機器台帳!$B$2:$B$400="前面")+(機器台帳!$B$2:$B$400="両面")&gt;0)*(機器台帳!$F$2:$F$400&lt;&gt;"")*(機器台帳!$C$2:$C$400&lt;=28)*(機器台帳!$C$2:$C$400+機器台帳!$D$2:$D$400-1&gt;=28))=0,"",INDEX(機器台帳!$I$2:$I$400,MATCH(1,INDEX((機器台帳!$A$2:$A$400="E24-S8-5")*((機器台帳!$B$2:$B$400="前面")+(機器台帳!$B$2:$B$400="両面")&gt;0)*(機器台帳!$F$2:$F$400&lt;&gt;"")*(機器台帳!$C$2:$C$400&lt;=28)*(機器台帳!$C$2:$C$400+機器台帳!$D$2:$D$400-1&gt;=28),0),0))&amp;IF(INDEX(機器台帳!$Y$2:$Y$400,MATCH(1,INDEX((機器台帳!$A$2:$A$400="E24-S8-5")*((機器台帳!$B$2:$B$400="前面")+(機器台帳!$B$2:$B$400="両面")&gt;0)*(機器台帳!$F$2:$F$400&lt;&gt;"")*(機器台帳!$C$2:$C$400&lt;=28)*(機器台帳!$C$2:$C$400+機器台帳!$D$2:$D$400-1&gt;=28),0),0))=0,"|未記入",""))</f>
        <v/>
      </c>
      <c r="T23" s="12">
        <f>IF(SUMPRODUCT((機器台帳!$A$2:$A$400="E24-S8-5")*((機器台帳!$B$2:$B$400="背面")+(機器台帳!$B$2:$B$400="両面")&gt;0)*(機器台帳!$F$2:$F$400&lt;&gt;"")*(機器台帳!$C$2:$C$400&lt;=28)*(機器台帳!$C$2:$C$400+機器台帳!$D$2:$D$400-1&gt;=28))=0,"",INDEX(機器台帳!$F$2:$F$400,MATCH(1,INDEX((機器台帳!$A$2:$A$400="E24-S8-5")*((機器台帳!$B$2:$B$400="背面")+(機器台帳!$B$2:$B$400="両面")&gt;0)*(機器台帳!$F$2:$F$400&lt;&gt;"")*(機器台帳!$C$2:$C$400&lt;=28)*(機器台帳!$C$2:$C$400+機器台帳!$D$2:$D$400-1&gt;=28),0),0))&amp;IF(INDEX(機器台帳!$G$2:$G$400,MATCH(1,INDEX((機器台帳!$A$2:$A$400="E24-S8-5")*((機器台帳!$B$2:$B$400="背面")+(機器台帳!$B$2:$B$400="両面")&gt;0)*(機器台帳!$F$2:$F$400&lt;&gt;"")*(機器台帳!$C$2:$C$400&lt;=28)*(機器台帳!$C$2:$C$400+機器台帳!$D$2:$D$400-1&gt;=28),0),0))=""," "," "&amp;INDEX(機器台帳!$G$2:$G$400,MATCH(1,INDEX((機器台帳!$A$2:$A$400="E24-S8-5")*((機器台帳!$B$2:$B$400="背面")+(機器台帳!$B$2:$B$400="両面")&gt;0)*(機器台帳!$F$2:$F$400&lt;&gt;"")*(機器台帳!$C$2:$C$400&lt;=28)*(機器台帳!$C$2:$C$400+機器台帳!$D$2:$D$400-1&gt;=28),0),0)))&amp;IF(SUMPRODUCT((機器台帳!$A$2:$A$400="E24-S8-5")*((機器台帳!$B$2:$B$400="背面")+(機器台帳!$B$2:$B$400="両面")&gt;0)*(機器台帳!$F$2:$F$400&lt;&gt;"")*(機器台帳!$C$2:$C$400&lt;=28)*(機器台帳!$C$2:$C$400+機器台帳!$D$2:$D$400-1&gt;=28))&gt;1," 他"&amp;(SUMPRODUCT((機器台帳!$A$2:$A$400="E24-S8-5")*((機器台帳!$B$2:$B$400="背面")+(機器台帳!$B$2:$B$400="両面")&gt;0)*(機器台帳!$F$2:$F$400&lt;&gt;"")*(機器台帳!$C$2:$C$400&lt;=28)*(機器台帳!$C$2:$C$400+機器台帳!$D$2:$D$400-1&gt;=28))-1)&amp;"台",""))</f>
        <v/>
      </c>
      <c r="U23">
        <f>IF(SUMPRODUCT((機器台帳!$A$2:$A$400="E24-S8-5")*((機器台帳!$B$2:$B$400="背面")+(機器台帳!$B$2:$B$400="両面")&gt;0)*(機器台帳!$F$2:$F$400&lt;&gt;"")*(機器台帳!$C$2:$C$400&lt;=28)*(機器台帳!$C$2:$C$400+機器台帳!$D$2:$D$400-1&gt;=28))=0,"",INDEX(機器台帳!$I$2:$I$400,MATCH(1,INDEX((機器台帳!$A$2:$A$400="E24-S8-5")*((機器台帳!$B$2:$B$400="背面")+(機器台帳!$B$2:$B$400="両面")&gt;0)*(機器台帳!$F$2:$F$400&lt;&gt;"")*(機器台帳!$C$2:$C$400&lt;=28)*(機器台帳!$C$2:$C$400+機器台帳!$D$2:$D$400-1&gt;=28),0),0))&amp;IF(INDEX(機器台帳!$Y$2:$Y$400,MATCH(1,INDEX((機器台帳!$A$2:$A$400="E24-S8-5")*((機器台帳!$B$2:$B$400="背面")+(機器台帳!$B$2:$B$400="両面")&gt;0)*(機器台帳!$F$2:$F$400&lt;&gt;"")*(機器台帳!$C$2:$C$400&lt;=28)*(機器台帳!$C$2:$C$400+機器台帳!$D$2:$D$400-1&gt;=28),0),0))=0,"|未記入",""))</f>
        <v/>
      </c>
      <c r="V23" s="12">
        <f>IF(SUMPRODUCT((機器台帳!$A$2:$A$400="E24-S6-1")*((機器台帳!$B$2:$B$400="前面")+(機器台帳!$B$2:$B$400="両面")&gt;0)*(機器台帳!$F$2:$F$400&lt;&gt;"")*(機器台帳!$C$2:$C$400&lt;=28)*(機器台帳!$C$2:$C$400+機器台帳!$D$2:$D$400-1&gt;=28))=0,"",INDEX(機器台帳!$F$2:$F$400,MATCH(1,INDEX((機器台帳!$A$2:$A$400="E24-S6-1")*((機器台帳!$B$2:$B$400="前面")+(機器台帳!$B$2:$B$400="両面")&gt;0)*(機器台帳!$F$2:$F$400&lt;&gt;"")*(機器台帳!$C$2:$C$400&lt;=28)*(機器台帳!$C$2:$C$400+機器台帳!$D$2:$D$400-1&gt;=28),0),0))&amp;IF(INDEX(機器台帳!$G$2:$G$400,MATCH(1,INDEX((機器台帳!$A$2:$A$400="E24-S6-1")*((機器台帳!$B$2:$B$400="前面")+(機器台帳!$B$2:$B$400="両面")&gt;0)*(機器台帳!$F$2:$F$400&lt;&gt;"")*(機器台帳!$C$2:$C$400&lt;=28)*(機器台帳!$C$2:$C$400+機器台帳!$D$2:$D$400-1&gt;=28),0),0))=""," "," "&amp;INDEX(機器台帳!$G$2:$G$400,MATCH(1,INDEX((機器台帳!$A$2:$A$400="E24-S6-1")*((機器台帳!$B$2:$B$400="前面")+(機器台帳!$B$2:$B$400="両面")&gt;0)*(機器台帳!$F$2:$F$400&lt;&gt;"")*(機器台帳!$C$2:$C$400&lt;=28)*(機器台帳!$C$2:$C$400+機器台帳!$D$2:$D$400-1&gt;=28),0),0)))&amp;IF(SUMPRODUCT((機器台帳!$A$2:$A$400="E24-S6-1")*((機器台帳!$B$2:$B$400="前面")+(機器台帳!$B$2:$B$400="両面")&gt;0)*(機器台帳!$F$2:$F$400&lt;&gt;"")*(機器台帳!$C$2:$C$400&lt;=28)*(機器台帳!$C$2:$C$400+機器台帳!$D$2:$D$400-1&gt;=28))&gt;1," 他"&amp;(SUMPRODUCT((機器台帳!$A$2:$A$400="E24-S6-1")*((機器台帳!$B$2:$B$400="前面")+(機器台帳!$B$2:$B$400="両面")&gt;0)*(機器台帳!$F$2:$F$400&lt;&gt;"")*(機器台帳!$C$2:$C$400&lt;=28)*(機器台帳!$C$2:$C$400+機器台帳!$D$2:$D$400-1&gt;=28))-1)&amp;"台",""))</f>
        <v/>
      </c>
      <c r="W23">
        <f>IF(SUMPRODUCT((機器台帳!$A$2:$A$400="E24-S6-1")*((機器台帳!$B$2:$B$400="前面")+(機器台帳!$B$2:$B$400="両面")&gt;0)*(機器台帳!$F$2:$F$400&lt;&gt;"")*(機器台帳!$C$2:$C$400&lt;=28)*(機器台帳!$C$2:$C$400+機器台帳!$D$2:$D$400-1&gt;=28))=0,"",INDEX(機器台帳!$I$2:$I$400,MATCH(1,INDEX((機器台帳!$A$2:$A$400="E24-S6-1")*((機器台帳!$B$2:$B$400="前面")+(機器台帳!$B$2:$B$400="両面")&gt;0)*(機器台帳!$F$2:$F$400&lt;&gt;"")*(機器台帳!$C$2:$C$400&lt;=28)*(機器台帳!$C$2:$C$400+機器台帳!$D$2:$D$400-1&gt;=28),0),0))&amp;IF(INDEX(機器台帳!$Y$2:$Y$400,MATCH(1,INDEX((機器台帳!$A$2:$A$400="E24-S6-1")*((機器台帳!$B$2:$B$400="前面")+(機器台帳!$B$2:$B$400="両面")&gt;0)*(機器台帳!$F$2:$F$400&lt;&gt;"")*(機器台帳!$C$2:$C$400&lt;=28)*(機器台帳!$C$2:$C$400+機器台帳!$D$2:$D$400-1&gt;=28),0),0))=0,"|未記入",""))</f>
        <v/>
      </c>
      <c r="X23" s="12">
        <f>IF(SUMPRODUCT((機器台帳!$A$2:$A$400="E24-S6-1")*((機器台帳!$B$2:$B$400="背面")+(機器台帳!$B$2:$B$400="両面")&gt;0)*(機器台帳!$F$2:$F$400&lt;&gt;"")*(機器台帳!$C$2:$C$400&lt;=28)*(機器台帳!$C$2:$C$400+機器台帳!$D$2:$D$400-1&gt;=28))=0,"",INDEX(機器台帳!$F$2:$F$400,MATCH(1,INDEX((機器台帳!$A$2:$A$400="E24-S6-1")*((機器台帳!$B$2:$B$400="背面")+(機器台帳!$B$2:$B$400="両面")&gt;0)*(機器台帳!$F$2:$F$400&lt;&gt;"")*(機器台帳!$C$2:$C$400&lt;=28)*(機器台帳!$C$2:$C$400+機器台帳!$D$2:$D$400-1&gt;=28),0),0))&amp;IF(INDEX(機器台帳!$G$2:$G$400,MATCH(1,INDEX((機器台帳!$A$2:$A$400="E24-S6-1")*((機器台帳!$B$2:$B$400="背面")+(機器台帳!$B$2:$B$400="両面")&gt;0)*(機器台帳!$F$2:$F$400&lt;&gt;"")*(機器台帳!$C$2:$C$400&lt;=28)*(機器台帳!$C$2:$C$400+機器台帳!$D$2:$D$400-1&gt;=28),0),0))=""," "," "&amp;INDEX(機器台帳!$G$2:$G$400,MATCH(1,INDEX((機器台帳!$A$2:$A$400="E24-S6-1")*((機器台帳!$B$2:$B$400="背面")+(機器台帳!$B$2:$B$400="両面")&gt;0)*(機器台帳!$F$2:$F$400&lt;&gt;"")*(機器台帳!$C$2:$C$400&lt;=28)*(機器台帳!$C$2:$C$400+機器台帳!$D$2:$D$400-1&gt;=28),0),0)))&amp;IF(SUMPRODUCT((機器台帳!$A$2:$A$400="E24-S6-1")*((機器台帳!$B$2:$B$400="背面")+(機器台帳!$B$2:$B$400="両面")&gt;0)*(機器台帳!$F$2:$F$400&lt;&gt;"")*(機器台帳!$C$2:$C$400&lt;=28)*(機器台帳!$C$2:$C$400+機器台帳!$D$2:$D$400-1&gt;=28))&gt;1," 他"&amp;(SUMPRODUCT((機器台帳!$A$2:$A$400="E24-S6-1")*((機器台帳!$B$2:$B$400="背面")+(機器台帳!$B$2:$B$400="両面")&gt;0)*(機器台帳!$F$2:$F$400&lt;&gt;"")*(機器台帳!$C$2:$C$400&lt;=28)*(機器台帳!$C$2:$C$400+機器台帳!$D$2:$D$400-1&gt;=28))-1)&amp;"台",""))</f>
        <v/>
      </c>
      <c r="Y23">
        <f>IF(SUMPRODUCT((機器台帳!$A$2:$A$400="E24-S6-1")*((機器台帳!$B$2:$B$400="背面")+(機器台帳!$B$2:$B$400="両面")&gt;0)*(機器台帳!$F$2:$F$400&lt;&gt;"")*(機器台帳!$C$2:$C$400&lt;=28)*(機器台帳!$C$2:$C$400+機器台帳!$D$2:$D$400-1&gt;=28))=0,"",INDEX(機器台帳!$I$2:$I$400,MATCH(1,INDEX((機器台帳!$A$2:$A$400="E24-S6-1")*((機器台帳!$B$2:$B$400="背面")+(機器台帳!$B$2:$B$400="両面")&gt;0)*(機器台帳!$F$2:$F$400&lt;&gt;"")*(機器台帳!$C$2:$C$400&lt;=28)*(機器台帳!$C$2:$C$400+機器台帳!$D$2:$D$400-1&gt;=28),0),0))&amp;IF(INDEX(機器台帳!$Y$2:$Y$400,MATCH(1,INDEX((機器台帳!$A$2:$A$400="E24-S6-1")*((機器台帳!$B$2:$B$400="背面")+(機器台帳!$B$2:$B$400="両面")&gt;0)*(機器台帳!$F$2:$F$400&lt;&gt;"")*(機器台帳!$C$2:$C$400&lt;=28)*(機器台帳!$C$2:$C$400+機器台帳!$D$2:$D$400-1&gt;=28),0),0))=0,"|未記入",""))</f>
        <v/>
      </c>
    </row>
    <row r="24">
      <c r="A24" s="11" t="n">
        <v>27</v>
      </c>
      <c r="B24" s="12">
        <f>IF(SUMPRODUCT((機器台帳!$A$2:$A$400="E24-S8-1")*((機器台帳!$B$2:$B$400="前面")+(機器台帳!$B$2:$B$400="両面")&gt;0)*(機器台帳!$F$2:$F$400&lt;&gt;"")*(機器台帳!$C$2:$C$400&lt;=27)*(機器台帳!$C$2:$C$400+機器台帳!$D$2:$D$400-1&gt;=27))=0,"",INDEX(機器台帳!$F$2:$F$400,MATCH(1,INDEX((機器台帳!$A$2:$A$400="E24-S8-1")*((機器台帳!$B$2:$B$400="前面")+(機器台帳!$B$2:$B$400="両面")&gt;0)*(機器台帳!$F$2:$F$400&lt;&gt;"")*(機器台帳!$C$2:$C$400&lt;=27)*(機器台帳!$C$2:$C$400+機器台帳!$D$2:$D$400-1&gt;=27),0),0))&amp;IF(INDEX(機器台帳!$G$2:$G$400,MATCH(1,INDEX((機器台帳!$A$2:$A$400="E24-S8-1")*((機器台帳!$B$2:$B$400="前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-1")*((機器台帳!$B$2:$B$400="前面")+(機器台帳!$B$2:$B$400="両面")&gt;0)*(機器台帳!$F$2:$F$400&lt;&gt;"")*(機器台帳!$C$2:$C$400&lt;=27)*(機器台帳!$C$2:$C$400+機器台帳!$D$2:$D$400-1&gt;=27),0),0)))&amp;IF(SUMPRODUCT((機器台帳!$A$2:$A$400="E24-S8-1")*((機器台帳!$B$2:$B$400="前面")+(機器台帳!$B$2:$B$400="両面")&gt;0)*(機器台帳!$F$2:$F$400&lt;&gt;"")*(機器台帳!$C$2:$C$400&lt;=27)*(機器台帳!$C$2:$C$400+機器台帳!$D$2:$D$400-1&gt;=27))&gt;1," 他"&amp;(SUMPRODUCT((機器台帳!$A$2:$A$400="E24-S8-1")*((機器台帳!$B$2:$B$400="前面")+(機器台帳!$B$2:$B$400="両面")&gt;0)*(機器台帳!$F$2:$F$400&lt;&gt;"")*(機器台帳!$C$2:$C$400&lt;=27)*(機器台帳!$C$2:$C$400+機器台帳!$D$2:$D$400-1&gt;=27))-1)&amp;"台",""))</f>
        <v/>
      </c>
      <c r="C24">
        <f>IF(SUMPRODUCT((機器台帳!$A$2:$A$400="E24-S8-1")*((機器台帳!$B$2:$B$400="前面")+(機器台帳!$B$2:$B$400="両面")&gt;0)*(機器台帳!$F$2:$F$400&lt;&gt;"")*(機器台帳!$C$2:$C$400&lt;=27)*(機器台帳!$C$2:$C$400+機器台帳!$D$2:$D$400-1&gt;=27))=0,"",INDEX(機器台帳!$I$2:$I$400,MATCH(1,INDEX((機器台帳!$A$2:$A$400="E24-S8-1")*((機器台帳!$B$2:$B$400="前面")+(機器台帳!$B$2:$B$400="両面")&gt;0)*(機器台帳!$F$2:$F$400&lt;&gt;"")*(機器台帳!$C$2:$C$400&lt;=27)*(機器台帳!$C$2:$C$400+機器台帳!$D$2:$D$400-1&gt;=27),0),0))&amp;IF(INDEX(機器台帳!$Y$2:$Y$400,MATCH(1,INDEX((機器台帳!$A$2:$A$400="E24-S8-1")*((機器台帳!$B$2:$B$400="前面")+(機器台帳!$B$2:$B$400="両面")&gt;0)*(機器台帳!$F$2:$F$400&lt;&gt;"")*(機器台帳!$C$2:$C$400&lt;=27)*(機器台帳!$C$2:$C$400+機器台帳!$D$2:$D$400-1&gt;=27),0),0))=0,"|未記入",""))</f>
        <v/>
      </c>
      <c r="D24" s="12">
        <f>IF(SUMPRODUCT((機器台帳!$A$2:$A$400="E24-S8-1")*((機器台帳!$B$2:$B$400="背面")+(機器台帳!$B$2:$B$400="両面")&gt;0)*(機器台帳!$F$2:$F$400&lt;&gt;"")*(機器台帳!$C$2:$C$400&lt;=27)*(機器台帳!$C$2:$C$400+機器台帳!$D$2:$D$400-1&gt;=27))=0,"",INDEX(機器台帳!$F$2:$F$400,MATCH(1,INDEX((機器台帳!$A$2:$A$400="E24-S8-1")*((機器台帳!$B$2:$B$400="背面")+(機器台帳!$B$2:$B$400="両面")&gt;0)*(機器台帳!$F$2:$F$400&lt;&gt;"")*(機器台帳!$C$2:$C$400&lt;=27)*(機器台帳!$C$2:$C$400+機器台帳!$D$2:$D$400-1&gt;=27),0),0))&amp;IF(INDEX(機器台帳!$G$2:$G$400,MATCH(1,INDEX((機器台帳!$A$2:$A$400="E24-S8-1")*((機器台帳!$B$2:$B$400="背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-1")*((機器台帳!$B$2:$B$400="背面")+(機器台帳!$B$2:$B$400="両面")&gt;0)*(機器台帳!$F$2:$F$400&lt;&gt;"")*(機器台帳!$C$2:$C$400&lt;=27)*(機器台帳!$C$2:$C$400+機器台帳!$D$2:$D$400-1&gt;=27),0),0)))&amp;IF(SUMPRODUCT((機器台帳!$A$2:$A$400="E24-S8-1")*((機器台帳!$B$2:$B$400="背面")+(機器台帳!$B$2:$B$400="両面")&gt;0)*(機器台帳!$F$2:$F$400&lt;&gt;"")*(機器台帳!$C$2:$C$400&lt;=27)*(機器台帳!$C$2:$C$400+機器台帳!$D$2:$D$400-1&gt;=27))&gt;1," 他"&amp;(SUMPRODUCT((機器台帳!$A$2:$A$400="E24-S8-1")*((機器台帳!$B$2:$B$400="背面")+(機器台帳!$B$2:$B$400="両面")&gt;0)*(機器台帳!$F$2:$F$400&lt;&gt;"")*(機器台帳!$C$2:$C$400&lt;=27)*(機器台帳!$C$2:$C$400+機器台帳!$D$2:$D$400-1&gt;=27))-1)&amp;"台",""))</f>
        <v/>
      </c>
      <c r="E24">
        <f>IF(SUMPRODUCT((機器台帳!$A$2:$A$400="E24-S8-1")*((機器台帳!$B$2:$B$400="背面")+(機器台帳!$B$2:$B$400="両面")&gt;0)*(機器台帳!$F$2:$F$400&lt;&gt;"")*(機器台帳!$C$2:$C$400&lt;=27)*(機器台帳!$C$2:$C$400+機器台帳!$D$2:$D$400-1&gt;=27))=0,"",INDEX(機器台帳!$I$2:$I$400,MATCH(1,INDEX((機器台帳!$A$2:$A$400="E24-S8-1")*((機器台帳!$B$2:$B$400="背面")+(機器台帳!$B$2:$B$400="両面")&gt;0)*(機器台帳!$F$2:$F$400&lt;&gt;"")*(機器台帳!$C$2:$C$400&lt;=27)*(機器台帳!$C$2:$C$400+機器台帳!$D$2:$D$400-1&gt;=27),0),0))&amp;IF(INDEX(機器台帳!$Y$2:$Y$400,MATCH(1,INDEX((機器台帳!$A$2:$A$400="E24-S8-1")*((機器台帳!$B$2:$B$400="背面")+(機器台帳!$B$2:$B$400="両面")&gt;0)*(機器台帳!$F$2:$F$400&lt;&gt;"")*(機器台帳!$C$2:$C$400&lt;=27)*(機器台帳!$C$2:$C$400+機器台帳!$D$2:$D$400-1&gt;=27),0),0))=0,"|未記入",""))</f>
        <v/>
      </c>
      <c r="F24" s="12">
        <f>IF(SUMPRODUCT((機器台帳!$A$2:$A$400="E24-S8-2")*((機器台帳!$B$2:$B$400="前面")+(機器台帳!$B$2:$B$400="両面")&gt;0)*(機器台帳!$F$2:$F$400&lt;&gt;"")*(機器台帳!$C$2:$C$400&lt;=27)*(機器台帳!$C$2:$C$400+機器台帳!$D$2:$D$400-1&gt;=27))=0,"",INDEX(機器台帳!$F$2:$F$400,MATCH(1,INDEX((機器台帳!$A$2:$A$400="E24-S8-2")*((機器台帳!$B$2:$B$400="前面")+(機器台帳!$B$2:$B$400="両面")&gt;0)*(機器台帳!$F$2:$F$400&lt;&gt;"")*(機器台帳!$C$2:$C$400&lt;=27)*(機器台帳!$C$2:$C$400+機器台帳!$D$2:$D$400-1&gt;=27),0),0))&amp;IF(INDEX(機器台帳!$G$2:$G$400,MATCH(1,INDEX((機器台帳!$A$2:$A$400="E24-S8-2")*((機器台帳!$B$2:$B$400="前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-2")*((機器台帳!$B$2:$B$400="前面")+(機器台帳!$B$2:$B$400="両面")&gt;0)*(機器台帳!$F$2:$F$400&lt;&gt;"")*(機器台帳!$C$2:$C$400&lt;=27)*(機器台帳!$C$2:$C$400+機器台帳!$D$2:$D$400-1&gt;=27),0),0)))&amp;IF(SUMPRODUCT((機器台帳!$A$2:$A$400="E24-S8-2")*((機器台帳!$B$2:$B$400="前面")+(機器台帳!$B$2:$B$400="両面")&gt;0)*(機器台帳!$F$2:$F$400&lt;&gt;"")*(機器台帳!$C$2:$C$400&lt;=27)*(機器台帳!$C$2:$C$400+機器台帳!$D$2:$D$400-1&gt;=27))&gt;1," 他"&amp;(SUMPRODUCT((機器台帳!$A$2:$A$400="E24-S8-2")*((機器台帳!$B$2:$B$400="前面")+(機器台帳!$B$2:$B$400="両面")&gt;0)*(機器台帳!$F$2:$F$400&lt;&gt;"")*(機器台帳!$C$2:$C$400&lt;=27)*(機器台帳!$C$2:$C$400+機器台帳!$D$2:$D$400-1&gt;=27))-1)&amp;"台",""))</f>
        <v/>
      </c>
      <c r="G24">
        <f>IF(SUMPRODUCT((機器台帳!$A$2:$A$400="E24-S8-2")*((機器台帳!$B$2:$B$400="前面")+(機器台帳!$B$2:$B$400="両面")&gt;0)*(機器台帳!$F$2:$F$400&lt;&gt;"")*(機器台帳!$C$2:$C$400&lt;=27)*(機器台帳!$C$2:$C$400+機器台帳!$D$2:$D$400-1&gt;=27))=0,"",INDEX(機器台帳!$I$2:$I$400,MATCH(1,INDEX((機器台帳!$A$2:$A$400="E24-S8-2")*((機器台帳!$B$2:$B$400="前面")+(機器台帳!$B$2:$B$400="両面")&gt;0)*(機器台帳!$F$2:$F$400&lt;&gt;"")*(機器台帳!$C$2:$C$400&lt;=27)*(機器台帳!$C$2:$C$400+機器台帳!$D$2:$D$400-1&gt;=27),0),0))&amp;IF(INDEX(機器台帳!$Y$2:$Y$400,MATCH(1,INDEX((機器台帳!$A$2:$A$400="E24-S8-2")*((機器台帳!$B$2:$B$400="前面")+(機器台帳!$B$2:$B$400="両面")&gt;0)*(機器台帳!$F$2:$F$400&lt;&gt;"")*(機器台帳!$C$2:$C$400&lt;=27)*(機器台帳!$C$2:$C$400+機器台帳!$D$2:$D$400-1&gt;=27),0),0))=0,"|未記入",""))</f>
        <v/>
      </c>
      <c r="H24" s="12">
        <f>IF(SUMPRODUCT((機器台帳!$A$2:$A$400="E24-S8-2")*((機器台帳!$B$2:$B$400="背面")+(機器台帳!$B$2:$B$400="両面")&gt;0)*(機器台帳!$F$2:$F$400&lt;&gt;"")*(機器台帳!$C$2:$C$400&lt;=27)*(機器台帳!$C$2:$C$400+機器台帳!$D$2:$D$400-1&gt;=27))=0,"",INDEX(機器台帳!$F$2:$F$400,MATCH(1,INDEX((機器台帳!$A$2:$A$400="E24-S8-2")*((機器台帳!$B$2:$B$400="背面")+(機器台帳!$B$2:$B$400="両面")&gt;0)*(機器台帳!$F$2:$F$400&lt;&gt;"")*(機器台帳!$C$2:$C$400&lt;=27)*(機器台帳!$C$2:$C$400+機器台帳!$D$2:$D$400-1&gt;=27),0),0))&amp;IF(INDEX(機器台帳!$G$2:$G$400,MATCH(1,INDEX((機器台帳!$A$2:$A$400="E24-S8-2")*((機器台帳!$B$2:$B$400="背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-2")*((機器台帳!$B$2:$B$400="背面")+(機器台帳!$B$2:$B$400="両面")&gt;0)*(機器台帳!$F$2:$F$400&lt;&gt;"")*(機器台帳!$C$2:$C$400&lt;=27)*(機器台帳!$C$2:$C$400+機器台帳!$D$2:$D$400-1&gt;=27),0),0)))&amp;IF(SUMPRODUCT((機器台帳!$A$2:$A$400="E24-S8-2")*((機器台帳!$B$2:$B$400="背面")+(機器台帳!$B$2:$B$400="両面")&gt;0)*(機器台帳!$F$2:$F$400&lt;&gt;"")*(機器台帳!$C$2:$C$400&lt;=27)*(機器台帳!$C$2:$C$400+機器台帳!$D$2:$D$400-1&gt;=27))&gt;1," 他"&amp;(SUMPRODUCT((機器台帳!$A$2:$A$400="E24-S8-2")*((機器台帳!$B$2:$B$400="背面")+(機器台帳!$B$2:$B$400="両面")&gt;0)*(機器台帳!$F$2:$F$400&lt;&gt;"")*(機器台帳!$C$2:$C$400&lt;=27)*(機器台帳!$C$2:$C$400+機器台帳!$D$2:$D$400-1&gt;=27))-1)&amp;"台",""))</f>
        <v/>
      </c>
      <c r="I24">
        <f>IF(SUMPRODUCT((機器台帳!$A$2:$A$400="E24-S8-2")*((機器台帳!$B$2:$B$400="背面")+(機器台帳!$B$2:$B$400="両面")&gt;0)*(機器台帳!$F$2:$F$400&lt;&gt;"")*(機器台帳!$C$2:$C$400&lt;=27)*(機器台帳!$C$2:$C$400+機器台帳!$D$2:$D$400-1&gt;=27))=0,"",INDEX(機器台帳!$I$2:$I$400,MATCH(1,INDEX((機器台帳!$A$2:$A$400="E24-S8-2")*((機器台帳!$B$2:$B$400="背面")+(機器台帳!$B$2:$B$400="両面")&gt;0)*(機器台帳!$F$2:$F$400&lt;&gt;"")*(機器台帳!$C$2:$C$400&lt;=27)*(機器台帳!$C$2:$C$400+機器台帳!$D$2:$D$400-1&gt;=27),0),0))&amp;IF(INDEX(機器台帳!$Y$2:$Y$400,MATCH(1,INDEX((機器台帳!$A$2:$A$400="E24-S8-2")*((機器台帳!$B$2:$B$400="背面")+(機器台帳!$B$2:$B$400="両面")&gt;0)*(機器台帳!$F$2:$F$400&lt;&gt;"")*(機器台帳!$C$2:$C$400&lt;=27)*(機器台帳!$C$2:$C$400+機器台帳!$D$2:$D$400-1&gt;=27),0),0))=0,"|未記入",""))</f>
        <v/>
      </c>
      <c r="J24" s="12">
        <f>IF(SUMPRODUCT((機器台帳!$A$2:$A$400="E24-S8-3")*((機器台帳!$B$2:$B$400="前面")+(機器台帳!$B$2:$B$400="両面")&gt;0)*(機器台帳!$F$2:$F$400&lt;&gt;"")*(機器台帳!$C$2:$C$400&lt;=27)*(機器台帳!$C$2:$C$400+機器台帳!$D$2:$D$400-1&gt;=27))=0,"",INDEX(機器台帳!$F$2:$F$400,MATCH(1,INDEX((機器台帳!$A$2:$A$400="E24-S8-3")*((機器台帳!$B$2:$B$400="前面")+(機器台帳!$B$2:$B$400="両面")&gt;0)*(機器台帳!$F$2:$F$400&lt;&gt;"")*(機器台帳!$C$2:$C$400&lt;=27)*(機器台帳!$C$2:$C$400+機器台帳!$D$2:$D$400-1&gt;=27),0),0))&amp;IF(INDEX(機器台帳!$G$2:$G$400,MATCH(1,INDEX((機器台帳!$A$2:$A$400="E24-S8-3")*((機器台帳!$B$2:$B$400="前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-3")*((機器台帳!$B$2:$B$400="前面")+(機器台帳!$B$2:$B$400="両面")&gt;0)*(機器台帳!$F$2:$F$400&lt;&gt;"")*(機器台帳!$C$2:$C$400&lt;=27)*(機器台帳!$C$2:$C$400+機器台帳!$D$2:$D$400-1&gt;=27),0),0)))&amp;IF(SUMPRODUCT((機器台帳!$A$2:$A$400="E24-S8-3")*((機器台帳!$B$2:$B$400="前面")+(機器台帳!$B$2:$B$400="両面")&gt;0)*(機器台帳!$F$2:$F$400&lt;&gt;"")*(機器台帳!$C$2:$C$400&lt;=27)*(機器台帳!$C$2:$C$400+機器台帳!$D$2:$D$400-1&gt;=27))&gt;1," 他"&amp;(SUMPRODUCT((機器台帳!$A$2:$A$400="E24-S8-3")*((機器台帳!$B$2:$B$400="前面")+(機器台帳!$B$2:$B$400="両面")&gt;0)*(機器台帳!$F$2:$F$400&lt;&gt;"")*(機器台帳!$C$2:$C$400&lt;=27)*(機器台帳!$C$2:$C$400+機器台帳!$D$2:$D$400-1&gt;=27))-1)&amp;"台",""))</f>
        <v/>
      </c>
      <c r="K24">
        <f>IF(SUMPRODUCT((機器台帳!$A$2:$A$400="E24-S8-3")*((機器台帳!$B$2:$B$400="前面")+(機器台帳!$B$2:$B$400="両面")&gt;0)*(機器台帳!$F$2:$F$400&lt;&gt;"")*(機器台帳!$C$2:$C$400&lt;=27)*(機器台帳!$C$2:$C$400+機器台帳!$D$2:$D$400-1&gt;=27))=0,"",INDEX(機器台帳!$I$2:$I$400,MATCH(1,INDEX((機器台帳!$A$2:$A$400="E24-S8-3")*((機器台帳!$B$2:$B$400="前面")+(機器台帳!$B$2:$B$400="両面")&gt;0)*(機器台帳!$F$2:$F$400&lt;&gt;"")*(機器台帳!$C$2:$C$400&lt;=27)*(機器台帳!$C$2:$C$400+機器台帳!$D$2:$D$400-1&gt;=27),0),0))&amp;IF(INDEX(機器台帳!$Y$2:$Y$400,MATCH(1,INDEX((機器台帳!$A$2:$A$400="E24-S8-3")*((機器台帳!$B$2:$B$400="前面")+(機器台帳!$B$2:$B$400="両面")&gt;0)*(機器台帳!$F$2:$F$400&lt;&gt;"")*(機器台帳!$C$2:$C$400&lt;=27)*(機器台帳!$C$2:$C$400+機器台帳!$D$2:$D$400-1&gt;=27),0),0))=0,"|未記入",""))</f>
        <v/>
      </c>
      <c r="L24" s="12">
        <f>IF(SUMPRODUCT((機器台帳!$A$2:$A$400="E24-S8-3")*((機器台帳!$B$2:$B$400="背面")+(機器台帳!$B$2:$B$400="両面")&gt;0)*(機器台帳!$F$2:$F$400&lt;&gt;"")*(機器台帳!$C$2:$C$400&lt;=27)*(機器台帳!$C$2:$C$400+機器台帳!$D$2:$D$400-1&gt;=27))=0,"",INDEX(機器台帳!$F$2:$F$400,MATCH(1,INDEX((機器台帳!$A$2:$A$400="E24-S8-3")*((機器台帳!$B$2:$B$400="背面")+(機器台帳!$B$2:$B$400="両面")&gt;0)*(機器台帳!$F$2:$F$400&lt;&gt;"")*(機器台帳!$C$2:$C$400&lt;=27)*(機器台帳!$C$2:$C$400+機器台帳!$D$2:$D$400-1&gt;=27),0),0))&amp;IF(INDEX(機器台帳!$G$2:$G$400,MATCH(1,INDEX((機器台帳!$A$2:$A$400="E24-S8-3")*((機器台帳!$B$2:$B$400="背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-3")*((機器台帳!$B$2:$B$400="背面")+(機器台帳!$B$2:$B$400="両面")&gt;0)*(機器台帳!$F$2:$F$400&lt;&gt;"")*(機器台帳!$C$2:$C$400&lt;=27)*(機器台帳!$C$2:$C$400+機器台帳!$D$2:$D$400-1&gt;=27),0),0)))&amp;IF(SUMPRODUCT((機器台帳!$A$2:$A$400="E24-S8-3")*((機器台帳!$B$2:$B$400="背面")+(機器台帳!$B$2:$B$400="両面")&gt;0)*(機器台帳!$F$2:$F$400&lt;&gt;"")*(機器台帳!$C$2:$C$400&lt;=27)*(機器台帳!$C$2:$C$400+機器台帳!$D$2:$D$400-1&gt;=27))&gt;1," 他"&amp;(SUMPRODUCT((機器台帳!$A$2:$A$400="E24-S8-3")*((機器台帳!$B$2:$B$400="背面")+(機器台帳!$B$2:$B$400="両面")&gt;0)*(機器台帳!$F$2:$F$400&lt;&gt;"")*(機器台帳!$C$2:$C$400&lt;=27)*(機器台帳!$C$2:$C$400+機器台帳!$D$2:$D$400-1&gt;=27))-1)&amp;"台",""))</f>
        <v/>
      </c>
      <c r="M24">
        <f>IF(SUMPRODUCT((機器台帳!$A$2:$A$400="E24-S8-3")*((機器台帳!$B$2:$B$400="背面")+(機器台帳!$B$2:$B$400="両面")&gt;0)*(機器台帳!$F$2:$F$400&lt;&gt;"")*(機器台帳!$C$2:$C$400&lt;=27)*(機器台帳!$C$2:$C$400+機器台帳!$D$2:$D$400-1&gt;=27))=0,"",INDEX(機器台帳!$I$2:$I$400,MATCH(1,INDEX((機器台帳!$A$2:$A$400="E24-S8-3")*((機器台帳!$B$2:$B$400="背面")+(機器台帳!$B$2:$B$400="両面")&gt;0)*(機器台帳!$F$2:$F$400&lt;&gt;"")*(機器台帳!$C$2:$C$400&lt;=27)*(機器台帳!$C$2:$C$400+機器台帳!$D$2:$D$400-1&gt;=27),0),0))&amp;IF(INDEX(機器台帳!$Y$2:$Y$400,MATCH(1,INDEX((機器台帳!$A$2:$A$400="E24-S8-3")*((機器台帳!$B$2:$B$400="背面")+(機器台帳!$B$2:$B$400="両面")&gt;0)*(機器台帳!$F$2:$F$400&lt;&gt;"")*(機器台帳!$C$2:$C$400&lt;=27)*(機器台帳!$C$2:$C$400+機器台帳!$D$2:$D$400-1&gt;=27),0),0))=0,"|未記入",""))</f>
        <v/>
      </c>
      <c r="N24" s="12">
        <f>IF(SUMPRODUCT((機器台帳!$A$2:$A$400="E24-S8-4")*((機器台帳!$B$2:$B$400="前面")+(機器台帳!$B$2:$B$400="両面")&gt;0)*(機器台帳!$F$2:$F$400&lt;&gt;"")*(機器台帳!$C$2:$C$400&lt;=27)*(機器台帳!$C$2:$C$400+機器台帳!$D$2:$D$400-1&gt;=27))=0,"",INDEX(機器台帳!$F$2:$F$400,MATCH(1,INDEX((機器台帳!$A$2:$A$400="E24-S8-4")*((機器台帳!$B$2:$B$400="前面")+(機器台帳!$B$2:$B$400="両面")&gt;0)*(機器台帳!$F$2:$F$400&lt;&gt;"")*(機器台帳!$C$2:$C$400&lt;=27)*(機器台帳!$C$2:$C$400+機器台帳!$D$2:$D$400-1&gt;=27),0),0))&amp;IF(INDEX(機器台帳!$G$2:$G$400,MATCH(1,INDEX((機器台帳!$A$2:$A$400="E24-S8-4")*((機器台帳!$B$2:$B$400="前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-4")*((機器台帳!$B$2:$B$400="前面")+(機器台帳!$B$2:$B$400="両面")&gt;0)*(機器台帳!$F$2:$F$400&lt;&gt;"")*(機器台帳!$C$2:$C$400&lt;=27)*(機器台帳!$C$2:$C$400+機器台帳!$D$2:$D$400-1&gt;=27),0),0)))&amp;IF(SUMPRODUCT((機器台帳!$A$2:$A$400="E24-S8-4")*((機器台帳!$B$2:$B$400="前面")+(機器台帳!$B$2:$B$400="両面")&gt;0)*(機器台帳!$F$2:$F$400&lt;&gt;"")*(機器台帳!$C$2:$C$400&lt;=27)*(機器台帳!$C$2:$C$400+機器台帳!$D$2:$D$400-1&gt;=27))&gt;1," 他"&amp;(SUMPRODUCT((機器台帳!$A$2:$A$400="E24-S8-4")*((機器台帳!$B$2:$B$400="前面")+(機器台帳!$B$2:$B$400="両面")&gt;0)*(機器台帳!$F$2:$F$400&lt;&gt;"")*(機器台帳!$C$2:$C$400&lt;=27)*(機器台帳!$C$2:$C$400+機器台帳!$D$2:$D$400-1&gt;=27))-1)&amp;"台",""))</f>
        <v/>
      </c>
      <c r="O24">
        <f>IF(SUMPRODUCT((機器台帳!$A$2:$A$400="E24-S8-4")*((機器台帳!$B$2:$B$400="前面")+(機器台帳!$B$2:$B$400="両面")&gt;0)*(機器台帳!$F$2:$F$400&lt;&gt;"")*(機器台帳!$C$2:$C$400&lt;=27)*(機器台帳!$C$2:$C$400+機器台帳!$D$2:$D$400-1&gt;=27))=0,"",INDEX(機器台帳!$I$2:$I$400,MATCH(1,INDEX((機器台帳!$A$2:$A$400="E24-S8-4")*((機器台帳!$B$2:$B$400="前面")+(機器台帳!$B$2:$B$400="両面")&gt;0)*(機器台帳!$F$2:$F$400&lt;&gt;"")*(機器台帳!$C$2:$C$400&lt;=27)*(機器台帳!$C$2:$C$400+機器台帳!$D$2:$D$400-1&gt;=27),0),0))&amp;IF(INDEX(機器台帳!$Y$2:$Y$400,MATCH(1,INDEX((機器台帳!$A$2:$A$400="E24-S8-4")*((機器台帳!$B$2:$B$400="前面")+(機器台帳!$B$2:$B$400="両面")&gt;0)*(機器台帳!$F$2:$F$400&lt;&gt;"")*(機器台帳!$C$2:$C$400&lt;=27)*(機器台帳!$C$2:$C$400+機器台帳!$D$2:$D$400-1&gt;=27),0),0))=0,"|未記入",""))</f>
        <v/>
      </c>
      <c r="P24" s="12">
        <f>IF(SUMPRODUCT((機器台帳!$A$2:$A$400="E24-S8-4")*((機器台帳!$B$2:$B$400="背面")+(機器台帳!$B$2:$B$400="両面")&gt;0)*(機器台帳!$F$2:$F$400&lt;&gt;"")*(機器台帳!$C$2:$C$400&lt;=27)*(機器台帳!$C$2:$C$400+機器台帳!$D$2:$D$400-1&gt;=27))=0,"",INDEX(機器台帳!$F$2:$F$400,MATCH(1,INDEX((機器台帳!$A$2:$A$400="E24-S8-4")*((機器台帳!$B$2:$B$400="背面")+(機器台帳!$B$2:$B$400="両面")&gt;0)*(機器台帳!$F$2:$F$400&lt;&gt;"")*(機器台帳!$C$2:$C$400&lt;=27)*(機器台帳!$C$2:$C$400+機器台帳!$D$2:$D$400-1&gt;=27),0),0))&amp;IF(INDEX(機器台帳!$G$2:$G$400,MATCH(1,INDEX((機器台帳!$A$2:$A$400="E24-S8-4")*((機器台帳!$B$2:$B$400="背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-4")*((機器台帳!$B$2:$B$400="背面")+(機器台帳!$B$2:$B$400="両面")&gt;0)*(機器台帳!$F$2:$F$400&lt;&gt;"")*(機器台帳!$C$2:$C$400&lt;=27)*(機器台帳!$C$2:$C$400+機器台帳!$D$2:$D$400-1&gt;=27),0),0)))&amp;IF(SUMPRODUCT((機器台帳!$A$2:$A$400="E24-S8-4")*((機器台帳!$B$2:$B$400="背面")+(機器台帳!$B$2:$B$400="両面")&gt;0)*(機器台帳!$F$2:$F$400&lt;&gt;"")*(機器台帳!$C$2:$C$400&lt;=27)*(機器台帳!$C$2:$C$400+機器台帳!$D$2:$D$400-1&gt;=27))&gt;1," 他"&amp;(SUMPRODUCT((機器台帳!$A$2:$A$400="E24-S8-4")*((機器台帳!$B$2:$B$400="背面")+(機器台帳!$B$2:$B$400="両面")&gt;0)*(機器台帳!$F$2:$F$400&lt;&gt;"")*(機器台帳!$C$2:$C$400&lt;=27)*(機器台帳!$C$2:$C$400+機器台帳!$D$2:$D$400-1&gt;=27))-1)&amp;"台",""))</f>
        <v/>
      </c>
      <c r="Q24">
        <f>IF(SUMPRODUCT((機器台帳!$A$2:$A$400="E24-S8-4")*((機器台帳!$B$2:$B$400="背面")+(機器台帳!$B$2:$B$400="両面")&gt;0)*(機器台帳!$F$2:$F$400&lt;&gt;"")*(機器台帳!$C$2:$C$400&lt;=27)*(機器台帳!$C$2:$C$400+機器台帳!$D$2:$D$400-1&gt;=27))=0,"",INDEX(機器台帳!$I$2:$I$400,MATCH(1,INDEX((機器台帳!$A$2:$A$400="E24-S8-4")*((機器台帳!$B$2:$B$400="背面")+(機器台帳!$B$2:$B$400="両面")&gt;0)*(機器台帳!$F$2:$F$400&lt;&gt;"")*(機器台帳!$C$2:$C$400&lt;=27)*(機器台帳!$C$2:$C$400+機器台帳!$D$2:$D$400-1&gt;=27),0),0))&amp;IF(INDEX(機器台帳!$Y$2:$Y$400,MATCH(1,INDEX((機器台帳!$A$2:$A$400="E24-S8-4")*((機器台帳!$B$2:$B$400="背面")+(機器台帳!$B$2:$B$400="両面")&gt;0)*(機器台帳!$F$2:$F$400&lt;&gt;"")*(機器台帳!$C$2:$C$400&lt;=27)*(機器台帳!$C$2:$C$400+機器台帳!$D$2:$D$400-1&gt;=27),0),0))=0,"|未記入",""))</f>
        <v/>
      </c>
      <c r="R24" s="12">
        <f>IF(SUMPRODUCT((機器台帳!$A$2:$A$400="E24-S8-5")*((機器台帳!$B$2:$B$400="前面")+(機器台帳!$B$2:$B$400="両面")&gt;0)*(機器台帳!$F$2:$F$400&lt;&gt;"")*(機器台帳!$C$2:$C$400&lt;=27)*(機器台帳!$C$2:$C$400+機器台帳!$D$2:$D$400-1&gt;=27))=0,"",INDEX(機器台帳!$F$2:$F$400,MATCH(1,INDEX((機器台帳!$A$2:$A$400="E24-S8-5")*((機器台帳!$B$2:$B$400="前面")+(機器台帳!$B$2:$B$400="両面")&gt;0)*(機器台帳!$F$2:$F$400&lt;&gt;"")*(機器台帳!$C$2:$C$400&lt;=27)*(機器台帳!$C$2:$C$400+機器台帳!$D$2:$D$400-1&gt;=27),0),0))&amp;IF(INDEX(機器台帳!$G$2:$G$400,MATCH(1,INDEX((機器台帳!$A$2:$A$400="E24-S8-5")*((機器台帳!$B$2:$B$400="前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-5")*((機器台帳!$B$2:$B$400="前面")+(機器台帳!$B$2:$B$400="両面")&gt;0)*(機器台帳!$F$2:$F$400&lt;&gt;"")*(機器台帳!$C$2:$C$400&lt;=27)*(機器台帳!$C$2:$C$400+機器台帳!$D$2:$D$400-1&gt;=27),0),0)))&amp;IF(SUMPRODUCT((機器台帳!$A$2:$A$400="E24-S8-5")*((機器台帳!$B$2:$B$400="前面")+(機器台帳!$B$2:$B$400="両面")&gt;0)*(機器台帳!$F$2:$F$400&lt;&gt;"")*(機器台帳!$C$2:$C$400&lt;=27)*(機器台帳!$C$2:$C$400+機器台帳!$D$2:$D$400-1&gt;=27))&gt;1," 他"&amp;(SUMPRODUCT((機器台帳!$A$2:$A$400="E24-S8-5")*((機器台帳!$B$2:$B$400="前面")+(機器台帳!$B$2:$B$400="両面")&gt;0)*(機器台帳!$F$2:$F$400&lt;&gt;"")*(機器台帳!$C$2:$C$400&lt;=27)*(機器台帳!$C$2:$C$400+機器台帳!$D$2:$D$400-1&gt;=27))-1)&amp;"台",""))</f>
        <v/>
      </c>
      <c r="S24">
        <f>IF(SUMPRODUCT((機器台帳!$A$2:$A$400="E24-S8-5")*((機器台帳!$B$2:$B$400="前面")+(機器台帳!$B$2:$B$400="両面")&gt;0)*(機器台帳!$F$2:$F$400&lt;&gt;"")*(機器台帳!$C$2:$C$400&lt;=27)*(機器台帳!$C$2:$C$400+機器台帳!$D$2:$D$400-1&gt;=27))=0,"",INDEX(機器台帳!$I$2:$I$400,MATCH(1,INDEX((機器台帳!$A$2:$A$400="E24-S8-5")*((機器台帳!$B$2:$B$400="前面")+(機器台帳!$B$2:$B$400="両面")&gt;0)*(機器台帳!$F$2:$F$400&lt;&gt;"")*(機器台帳!$C$2:$C$400&lt;=27)*(機器台帳!$C$2:$C$400+機器台帳!$D$2:$D$400-1&gt;=27),0),0))&amp;IF(INDEX(機器台帳!$Y$2:$Y$400,MATCH(1,INDEX((機器台帳!$A$2:$A$400="E24-S8-5")*((機器台帳!$B$2:$B$400="前面")+(機器台帳!$B$2:$B$400="両面")&gt;0)*(機器台帳!$F$2:$F$400&lt;&gt;"")*(機器台帳!$C$2:$C$400&lt;=27)*(機器台帳!$C$2:$C$400+機器台帳!$D$2:$D$400-1&gt;=27),0),0))=0,"|未記入",""))</f>
        <v/>
      </c>
      <c r="T24" s="12">
        <f>IF(SUMPRODUCT((機器台帳!$A$2:$A$400="E24-S8-5")*((機器台帳!$B$2:$B$400="背面")+(機器台帳!$B$2:$B$400="両面")&gt;0)*(機器台帳!$F$2:$F$400&lt;&gt;"")*(機器台帳!$C$2:$C$400&lt;=27)*(機器台帳!$C$2:$C$400+機器台帳!$D$2:$D$400-1&gt;=27))=0,"",INDEX(機器台帳!$F$2:$F$400,MATCH(1,INDEX((機器台帳!$A$2:$A$400="E24-S8-5")*((機器台帳!$B$2:$B$400="背面")+(機器台帳!$B$2:$B$400="両面")&gt;0)*(機器台帳!$F$2:$F$400&lt;&gt;"")*(機器台帳!$C$2:$C$400&lt;=27)*(機器台帳!$C$2:$C$400+機器台帳!$D$2:$D$400-1&gt;=27),0),0))&amp;IF(INDEX(機器台帳!$G$2:$G$400,MATCH(1,INDEX((機器台帳!$A$2:$A$400="E24-S8-5")*((機器台帳!$B$2:$B$400="背面")+(機器台帳!$B$2:$B$400="両面")&gt;0)*(機器台帳!$F$2:$F$400&lt;&gt;"")*(機器台帳!$C$2:$C$400&lt;=27)*(機器台帳!$C$2:$C$400+機器台帳!$D$2:$D$400-1&gt;=27),0),0))=""," "," "&amp;INDEX(機器台帳!$G$2:$G$400,MATCH(1,INDEX((機器台帳!$A$2:$A$400="E24-S8-5")*((機器台帳!$B$2:$B$400="背面")+(機器台帳!$B$2:$B$400="両面")&gt;0)*(機器台帳!$F$2:$F$400&lt;&gt;"")*(機器台帳!$C$2:$C$400&lt;=27)*(機器台帳!$C$2:$C$400+機器台帳!$D$2:$D$400-1&gt;=27),0),0)))&amp;IF(SUMPRODUCT((機器台帳!$A$2:$A$400="E24-S8-5")*((機器台帳!$B$2:$B$400="背面")+(機器台帳!$B$2:$B$400="両面")&gt;0)*(機器台帳!$F$2:$F$400&lt;&gt;"")*(機器台帳!$C$2:$C$400&lt;=27)*(機器台帳!$C$2:$C$400+機器台帳!$D$2:$D$400-1&gt;=27))&gt;1," 他"&amp;(SUMPRODUCT((機器台帳!$A$2:$A$400="E24-S8-5")*((機器台帳!$B$2:$B$400="背面")+(機器台帳!$B$2:$B$400="両面")&gt;0)*(機器台帳!$F$2:$F$400&lt;&gt;"")*(機器台帳!$C$2:$C$400&lt;=27)*(機器台帳!$C$2:$C$400+機器台帳!$D$2:$D$400-1&gt;=27))-1)&amp;"台",""))</f>
        <v/>
      </c>
      <c r="U24">
        <f>IF(SUMPRODUCT((機器台帳!$A$2:$A$400="E24-S8-5")*((機器台帳!$B$2:$B$400="背面")+(機器台帳!$B$2:$B$400="両面")&gt;0)*(機器台帳!$F$2:$F$400&lt;&gt;"")*(機器台帳!$C$2:$C$400&lt;=27)*(機器台帳!$C$2:$C$400+機器台帳!$D$2:$D$400-1&gt;=27))=0,"",INDEX(機器台帳!$I$2:$I$400,MATCH(1,INDEX((機器台帳!$A$2:$A$400="E24-S8-5")*((機器台帳!$B$2:$B$400="背面")+(機器台帳!$B$2:$B$400="両面")&gt;0)*(機器台帳!$F$2:$F$400&lt;&gt;"")*(機器台帳!$C$2:$C$400&lt;=27)*(機器台帳!$C$2:$C$400+機器台帳!$D$2:$D$400-1&gt;=27),0),0))&amp;IF(INDEX(機器台帳!$Y$2:$Y$400,MATCH(1,INDEX((機器台帳!$A$2:$A$400="E24-S8-5")*((機器台帳!$B$2:$B$400="背面")+(機器台帳!$B$2:$B$400="両面")&gt;0)*(機器台帳!$F$2:$F$400&lt;&gt;"")*(機器台帳!$C$2:$C$400&lt;=27)*(機器台帳!$C$2:$C$400+機器台帳!$D$2:$D$400-1&gt;=27),0),0))=0,"|未記入",""))</f>
        <v/>
      </c>
      <c r="V24" s="12">
        <f>IF(SUMPRODUCT((機器台帳!$A$2:$A$400="E24-S6-1")*((機器台帳!$B$2:$B$400="前面")+(機器台帳!$B$2:$B$400="両面")&gt;0)*(機器台帳!$F$2:$F$400&lt;&gt;"")*(機器台帳!$C$2:$C$400&lt;=27)*(機器台帳!$C$2:$C$400+機器台帳!$D$2:$D$400-1&gt;=27))=0,"",INDEX(機器台帳!$F$2:$F$400,MATCH(1,INDEX((機器台帳!$A$2:$A$400="E24-S6-1")*((機器台帳!$B$2:$B$400="前面")+(機器台帳!$B$2:$B$400="両面")&gt;0)*(機器台帳!$F$2:$F$400&lt;&gt;"")*(機器台帳!$C$2:$C$400&lt;=27)*(機器台帳!$C$2:$C$400+機器台帳!$D$2:$D$400-1&gt;=27),0),0))&amp;IF(INDEX(機器台帳!$G$2:$G$400,MATCH(1,INDEX((機器台帳!$A$2:$A$400="E24-S6-1")*((機器台帳!$B$2:$B$400="前面")+(機器台帳!$B$2:$B$400="両面")&gt;0)*(機器台帳!$F$2:$F$400&lt;&gt;"")*(機器台帳!$C$2:$C$400&lt;=27)*(機器台帳!$C$2:$C$400+機器台帳!$D$2:$D$400-1&gt;=27),0),0))=""," "," "&amp;INDEX(機器台帳!$G$2:$G$400,MATCH(1,INDEX((機器台帳!$A$2:$A$400="E24-S6-1")*((機器台帳!$B$2:$B$400="前面")+(機器台帳!$B$2:$B$400="両面")&gt;0)*(機器台帳!$F$2:$F$400&lt;&gt;"")*(機器台帳!$C$2:$C$400&lt;=27)*(機器台帳!$C$2:$C$400+機器台帳!$D$2:$D$400-1&gt;=27),0),0)))&amp;IF(SUMPRODUCT((機器台帳!$A$2:$A$400="E24-S6-1")*((機器台帳!$B$2:$B$400="前面")+(機器台帳!$B$2:$B$400="両面")&gt;0)*(機器台帳!$F$2:$F$400&lt;&gt;"")*(機器台帳!$C$2:$C$400&lt;=27)*(機器台帳!$C$2:$C$400+機器台帳!$D$2:$D$400-1&gt;=27))&gt;1," 他"&amp;(SUMPRODUCT((機器台帳!$A$2:$A$400="E24-S6-1")*((機器台帳!$B$2:$B$400="前面")+(機器台帳!$B$2:$B$400="両面")&gt;0)*(機器台帳!$F$2:$F$400&lt;&gt;"")*(機器台帳!$C$2:$C$400&lt;=27)*(機器台帳!$C$2:$C$400+機器台帳!$D$2:$D$400-1&gt;=27))-1)&amp;"台",""))</f>
        <v/>
      </c>
      <c r="W24">
        <f>IF(SUMPRODUCT((機器台帳!$A$2:$A$400="E24-S6-1")*((機器台帳!$B$2:$B$400="前面")+(機器台帳!$B$2:$B$400="両面")&gt;0)*(機器台帳!$F$2:$F$400&lt;&gt;"")*(機器台帳!$C$2:$C$400&lt;=27)*(機器台帳!$C$2:$C$400+機器台帳!$D$2:$D$400-1&gt;=27))=0,"",INDEX(機器台帳!$I$2:$I$400,MATCH(1,INDEX((機器台帳!$A$2:$A$400="E24-S6-1")*((機器台帳!$B$2:$B$400="前面")+(機器台帳!$B$2:$B$400="両面")&gt;0)*(機器台帳!$F$2:$F$400&lt;&gt;"")*(機器台帳!$C$2:$C$400&lt;=27)*(機器台帳!$C$2:$C$400+機器台帳!$D$2:$D$400-1&gt;=27),0),0))&amp;IF(INDEX(機器台帳!$Y$2:$Y$400,MATCH(1,INDEX((機器台帳!$A$2:$A$400="E24-S6-1")*((機器台帳!$B$2:$B$400="前面")+(機器台帳!$B$2:$B$400="両面")&gt;0)*(機器台帳!$F$2:$F$400&lt;&gt;"")*(機器台帳!$C$2:$C$400&lt;=27)*(機器台帳!$C$2:$C$400+機器台帳!$D$2:$D$400-1&gt;=27),0),0))=0,"|未記入",""))</f>
        <v/>
      </c>
      <c r="X24" s="12">
        <f>IF(SUMPRODUCT((機器台帳!$A$2:$A$400="E24-S6-1")*((機器台帳!$B$2:$B$400="背面")+(機器台帳!$B$2:$B$400="両面")&gt;0)*(機器台帳!$F$2:$F$400&lt;&gt;"")*(機器台帳!$C$2:$C$400&lt;=27)*(機器台帳!$C$2:$C$400+機器台帳!$D$2:$D$400-1&gt;=27))=0,"",INDEX(機器台帳!$F$2:$F$400,MATCH(1,INDEX((機器台帳!$A$2:$A$400="E24-S6-1")*((機器台帳!$B$2:$B$400="背面")+(機器台帳!$B$2:$B$400="両面")&gt;0)*(機器台帳!$F$2:$F$400&lt;&gt;"")*(機器台帳!$C$2:$C$400&lt;=27)*(機器台帳!$C$2:$C$400+機器台帳!$D$2:$D$400-1&gt;=27),0),0))&amp;IF(INDEX(機器台帳!$G$2:$G$400,MATCH(1,INDEX((機器台帳!$A$2:$A$400="E24-S6-1")*((機器台帳!$B$2:$B$400="背面")+(機器台帳!$B$2:$B$400="両面")&gt;0)*(機器台帳!$F$2:$F$400&lt;&gt;"")*(機器台帳!$C$2:$C$400&lt;=27)*(機器台帳!$C$2:$C$400+機器台帳!$D$2:$D$400-1&gt;=27),0),0))=""," "," "&amp;INDEX(機器台帳!$G$2:$G$400,MATCH(1,INDEX((機器台帳!$A$2:$A$400="E24-S6-1")*((機器台帳!$B$2:$B$400="背面")+(機器台帳!$B$2:$B$400="両面")&gt;0)*(機器台帳!$F$2:$F$400&lt;&gt;"")*(機器台帳!$C$2:$C$400&lt;=27)*(機器台帳!$C$2:$C$400+機器台帳!$D$2:$D$400-1&gt;=27),0),0)))&amp;IF(SUMPRODUCT((機器台帳!$A$2:$A$400="E24-S6-1")*((機器台帳!$B$2:$B$400="背面")+(機器台帳!$B$2:$B$400="両面")&gt;0)*(機器台帳!$F$2:$F$400&lt;&gt;"")*(機器台帳!$C$2:$C$400&lt;=27)*(機器台帳!$C$2:$C$400+機器台帳!$D$2:$D$400-1&gt;=27))&gt;1," 他"&amp;(SUMPRODUCT((機器台帳!$A$2:$A$400="E24-S6-1")*((機器台帳!$B$2:$B$400="背面")+(機器台帳!$B$2:$B$400="両面")&gt;0)*(機器台帳!$F$2:$F$400&lt;&gt;"")*(機器台帳!$C$2:$C$400&lt;=27)*(機器台帳!$C$2:$C$400+機器台帳!$D$2:$D$400-1&gt;=27))-1)&amp;"台",""))</f>
        <v/>
      </c>
      <c r="Y24">
        <f>IF(SUMPRODUCT((機器台帳!$A$2:$A$400="E24-S6-1")*((機器台帳!$B$2:$B$400="背面")+(機器台帳!$B$2:$B$400="両面")&gt;0)*(機器台帳!$F$2:$F$400&lt;&gt;"")*(機器台帳!$C$2:$C$400&lt;=27)*(機器台帳!$C$2:$C$400+機器台帳!$D$2:$D$400-1&gt;=27))=0,"",INDEX(機器台帳!$I$2:$I$400,MATCH(1,INDEX((機器台帳!$A$2:$A$400="E24-S6-1")*((機器台帳!$B$2:$B$400="背面")+(機器台帳!$B$2:$B$400="両面")&gt;0)*(機器台帳!$F$2:$F$400&lt;&gt;"")*(機器台帳!$C$2:$C$400&lt;=27)*(機器台帳!$C$2:$C$400+機器台帳!$D$2:$D$400-1&gt;=27),0),0))&amp;IF(INDEX(機器台帳!$Y$2:$Y$400,MATCH(1,INDEX((機器台帳!$A$2:$A$400="E24-S6-1")*((機器台帳!$B$2:$B$400="背面")+(機器台帳!$B$2:$B$400="両面")&gt;0)*(機器台帳!$F$2:$F$400&lt;&gt;"")*(機器台帳!$C$2:$C$400&lt;=27)*(機器台帳!$C$2:$C$400+機器台帳!$D$2:$D$400-1&gt;=27),0),0))=0,"|未記入",""))</f>
        <v/>
      </c>
    </row>
    <row r="25">
      <c r="A25" s="11" t="n">
        <v>26</v>
      </c>
      <c r="B25" s="12">
        <f>IF(SUMPRODUCT((機器台帳!$A$2:$A$400="E24-S8-1")*((機器台帳!$B$2:$B$400="前面")+(機器台帳!$B$2:$B$400="両面")&gt;0)*(機器台帳!$F$2:$F$400&lt;&gt;"")*(機器台帳!$C$2:$C$400&lt;=26)*(機器台帳!$C$2:$C$400+機器台帳!$D$2:$D$400-1&gt;=26))=0,"",INDEX(機器台帳!$F$2:$F$400,MATCH(1,INDEX((機器台帳!$A$2:$A$400="E24-S8-1")*((機器台帳!$B$2:$B$400="前面")+(機器台帳!$B$2:$B$400="両面")&gt;0)*(機器台帳!$F$2:$F$400&lt;&gt;"")*(機器台帳!$C$2:$C$400&lt;=26)*(機器台帳!$C$2:$C$400+機器台帳!$D$2:$D$400-1&gt;=26),0),0))&amp;IF(INDEX(機器台帳!$G$2:$G$400,MATCH(1,INDEX((機器台帳!$A$2:$A$400="E24-S8-1")*((機器台帳!$B$2:$B$400="前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-1")*((機器台帳!$B$2:$B$400="前面")+(機器台帳!$B$2:$B$400="両面")&gt;0)*(機器台帳!$F$2:$F$400&lt;&gt;"")*(機器台帳!$C$2:$C$400&lt;=26)*(機器台帳!$C$2:$C$400+機器台帳!$D$2:$D$400-1&gt;=26),0),0)))&amp;IF(SUMPRODUCT((機器台帳!$A$2:$A$400="E24-S8-1")*((機器台帳!$B$2:$B$400="前面")+(機器台帳!$B$2:$B$400="両面")&gt;0)*(機器台帳!$F$2:$F$400&lt;&gt;"")*(機器台帳!$C$2:$C$400&lt;=26)*(機器台帳!$C$2:$C$400+機器台帳!$D$2:$D$400-1&gt;=26))&gt;1," 他"&amp;(SUMPRODUCT((機器台帳!$A$2:$A$400="E24-S8-1")*((機器台帳!$B$2:$B$400="前面")+(機器台帳!$B$2:$B$400="両面")&gt;0)*(機器台帳!$F$2:$F$400&lt;&gt;"")*(機器台帳!$C$2:$C$400&lt;=26)*(機器台帳!$C$2:$C$400+機器台帳!$D$2:$D$400-1&gt;=26))-1)&amp;"台",""))</f>
        <v/>
      </c>
      <c r="C25">
        <f>IF(SUMPRODUCT((機器台帳!$A$2:$A$400="E24-S8-1")*((機器台帳!$B$2:$B$400="前面")+(機器台帳!$B$2:$B$400="両面")&gt;0)*(機器台帳!$F$2:$F$400&lt;&gt;"")*(機器台帳!$C$2:$C$400&lt;=26)*(機器台帳!$C$2:$C$400+機器台帳!$D$2:$D$400-1&gt;=26))=0,"",INDEX(機器台帳!$I$2:$I$400,MATCH(1,INDEX((機器台帳!$A$2:$A$400="E24-S8-1")*((機器台帳!$B$2:$B$400="前面")+(機器台帳!$B$2:$B$400="両面")&gt;0)*(機器台帳!$F$2:$F$400&lt;&gt;"")*(機器台帳!$C$2:$C$400&lt;=26)*(機器台帳!$C$2:$C$400+機器台帳!$D$2:$D$400-1&gt;=26),0),0))&amp;IF(INDEX(機器台帳!$Y$2:$Y$400,MATCH(1,INDEX((機器台帳!$A$2:$A$400="E24-S8-1")*((機器台帳!$B$2:$B$400="前面")+(機器台帳!$B$2:$B$400="両面")&gt;0)*(機器台帳!$F$2:$F$400&lt;&gt;"")*(機器台帳!$C$2:$C$400&lt;=26)*(機器台帳!$C$2:$C$400+機器台帳!$D$2:$D$400-1&gt;=26),0),0))=0,"|未記入",""))</f>
        <v/>
      </c>
      <c r="D25" s="12">
        <f>IF(SUMPRODUCT((機器台帳!$A$2:$A$400="E24-S8-1")*((機器台帳!$B$2:$B$400="背面")+(機器台帳!$B$2:$B$400="両面")&gt;0)*(機器台帳!$F$2:$F$400&lt;&gt;"")*(機器台帳!$C$2:$C$400&lt;=26)*(機器台帳!$C$2:$C$400+機器台帳!$D$2:$D$400-1&gt;=26))=0,"",INDEX(機器台帳!$F$2:$F$400,MATCH(1,INDEX((機器台帳!$A$2:$A$400="E24-S8-1")*((機器台帳!$B$2:$B$400="背面")+(機器台帳!$B$2:$B$400="両面")&gt;0)*(機器台帳!$F$2:$F$400&lt;&gt;"")*(機器台帳!$C$2:$C$400&lt;=26)*(機器台帳!$C$2:$C$400+機器台帳!$D$2:$D$400-1&gt;=26),0),0))&amp;IF(INDEX(機器台帳!$G$2:$G$400,MATCH(1,INDEX((機器台帳!$A$2:$A$400="E24-S8-1")*((機器台帳!$B$2:$B$400="背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-1")*((機器台帳!$B$2:$B$400="背面")+(機器台帳!$B$2:$B$400="両面")&gt;0)*(機器台帳!$F$2:$F$400&lt;&gt;"")*(機器台帳!$C$2:$C$400&lt;=26)*(機器台帳!$C$2:$C$400+機器台帳!$D$2:$D$400-1&gt;=26),0),0)))&amp;IF(SUMPRODUCT((機器台帳!$A$2:$A$400="E24-S8-1")*((機器台帳!$B$2:$B$400="背面")+(機器台帳!$B$2:$B$400="両面")&gt;0)*(機器台帳!$F$2:$F$400&lt;&gt;"")*(機器台帳!$C$2:$C$400&lt;=26)*(機器台帳!$C$2:$C$400+機器台帳!$D$2:$D$400-1&gt;=26))&gt;1," 他"&amp;(SUMPRODUCT((機器台帳!$A$2:$A$400="E24-S8-1")*((機器台帳!$B$2:$B$400="背面")+(機器台帳!$B$2:$B$400="両面")&gt;0)*(機器台帳!$F$2:$F$400&lt;&gt;"")*(機器台帳!$C$2:$C$400&lt;=26)*(機器台帳!$C$2:$C$400+機器台帳!$D$2:$D$400-1&gt;=26))-1)&amp;"台",""))</f>
        <v/>
      </c>
      <c r="E25">
        <f>IF(SUMPRODUCT((機器台帳!$A$2:$A$400="E24-S8-1")*((機器台帳!$B$2:$B$400="背面")+(機器台帳!$B$2:$B$400="両面")&gt;0)*(機器台帳!$F$2:$F$400&lt;&gt;"")*(機器台帳!$C$2:$C$400&lt;=26)*(機器台帳!$C$2:$C$400+機器台帳!$D$2:$D$400-1&gt;=26))=0,"",INDEX(機器台帳!$I$2:$I$400,MATCH(1,INDEX((機器台帳!$A$2:$A$400="E24-S8-1")*((機器台帳!$B$2:$B$400="背面")+(機器台帳!$B$2:$B$400="両面")&gt;0)*(機器台帳!$F$2:$F$400&lt;&gt;"")*(機器台帳!$C$2:$C$400&lt;=26)*(機器台帳!$C$2:$C$400+機器台帳!$D$2:$D$400-1&gt;=26),0),0))&amp;IF(INDEX(機器台帳!$Y$2:$Y$400,MATCH(1,INDEX((機器台帳!$A$2:$A$400="E24-S8-1")*((機器台帳!$B$2:$B$400="背面")+(機器台帳!$B$2:$B$400="両面")&gt;0)*(機器台帳!$F$2:$F$400&lt;&gt;"")*(機器台帳!$C$2:$C$400&lt;=26)*(機器台帳!$C$2:$C$400+機器台帳!$D$2:$D$400-1&gt;=26),0),0))=0,"|未記入",""))</f>
        <v/>
      </c>
      <c r="F25" s="12">
        <f>IF(SUMPRODUCT((機器台帳!$A$2:$A$400="E24-S8-2")*((機器台帳!$B$2:$B$400="前面")+(機器台帳!$B$2:$B$400="両面")&gt;0)*(機器台帳!$F$2:$F$400&lt;&gt;"")*(機器台帳!$C$2:$C$400&lt;=26)*(機器台帳!$C$2:$C$400+機器台帳!$D$2:$D$400-1&gt;=26))=0,"",INDEX(機器台帳!$F$2:$F$400,MATCH(1,INDEX((機器台帳!$A$2:$A$400="E24-S8-2")*((機器台帳!$B$2:$B$400="前面")+(機器台帳!$B$2:$B$400="両面")&gt;0)*(機器台帳!$F$2:$F$400&lt;&gt;"")*(機器台帳!$C$2:$C$400&lt;=26)*(機器台帳!$C$2:$C$400+機器台帳!$D$2:$D$400-1&gt;=26),0),0))&amp;IF(INDEX(機器台帳!$G$2:$G$400,MATCH(1,INDEX((機器台帳!$A$2:$A$400="E24-S8-2")*((機器台帳!$B$2:$B$400="前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-2")*((機器台帳!$B$2:$B$400="前面")+(機器台帳!$B$2:$B$400="両面")&gt;0)*(機器台帳!$F$2:$F$400&lt;&gt;"")*(機器台帳!$C$2:$C$400&lt;=26)*(機器台帳!$C$2:$C$400+機器台帳!$D$2:$D$400-1&gt;=26),0),0)))&amp;IF(SUMPRODUCT((機器台帳!$A$2:$A$400="E24-S8-2")*((機器台帳!$B$2:$B$400="前面")+(機器台帳!$B$2:$B$400="両面")&gt;0)*(機器台帳!$F$2:$F$400&lt;&gt;"")*(機器台帳!$C$2:$C$400&lt;=26)*(機器台帳!$C$2:$C$400+機器台帳!$D$2:$D$400-1&gt;=26))&gt;1," 他"&amp;(SUMPRODUCT((機器台帳!$A$2:$A$400="E24-S8-2")*((機器台帳!$B$2:$B$400="前面")+(機器台帳!$B$2:$B$400="両面")&gt;0)*(機器台帳!$F$2:$F$400&lt;&gt;"")*(機器台帳!$C$2:$C$400&lt;=26)*(機器台帳!$C$2:$C$400+機器台帳!$D$2:$D$400-1&gt;=26))-1)&amp;"台",""))</f>
        <v/>
      </c>
      <c r="G25">
        <f>IF(SUMPRODUCT((機器台帳!$A$2:$A$400="E24-S8-2")*((機器台帳!$B$2:$B$400="前面")+(機器台帳!$B$2:$B$400="両面")&gt;0)*(機器台帳!$F$2:$F$400&lt;&gt;"")*(機器台帳!$C$2:$C$400&lt;=26)*(機器台帳!$C$2:$C$400+機器台帳!$D$2:$D$400-1&gt;=26))=0,"",INDEX(機器台帳!$I$2:$I$400,MATCH(1,INDEX((機器台帳!$A$2:$A$400="E24-S8-2")*((機器台帳!$B$2:$B$400="前面")+(機器台帳!$B$2:$B$400="両面")&gt;0)*(機器台帳!$F$2:$F$400&lt;&gt;"")*(機器台帳!$C$2:$C$400&lt;=26)*(機器台帳!$C$2:$C$400+機器台帳!$D$2:$D$400-1&gt;=26),0),0))&amp;IF(INDEX(機器台帳!$Y$2:$Y$400,MATCH(1,INDEX((機器台帳!$A$2:$A$400="E24-S8-2")*((機器台帳!$B$2:$B$400="前面")+(機器台帳!$B$2:$B$400="両面")&gt;0)*(機器台帳!$F$2:$F$400&lt;&gt;"")*(機器台帳!$C$2:$C$400&lt;=26)*(機器台帳!$C$2:$C$400+機器台帳!$D$2:$D$400-1&gt;=26),0),0))=0,"|未記入",""))</f>
        <v/>
      </c>
      <c r="H25" s="12">
        <f>IF(SUMPRODUCT((機器台帳!$A$2:$A$400="E24-S8-2")*((機器台帳!$B$2:$B$400="背面")+(機器台帳!$B$2:$B$400="両面")&gt;0)*(機器台帳!$F$2:$F$400&lt;&gt;"")*(機器台帳!$C$2:$C$400&lt;=26)*(機器台帳!$C$2:$C$400+機器台帳!$D$2:$D$400-1&gt;=26))=0,"",INDEX(機器台帳!$F$2:$F$400,MATCH(1,INDEX((機器台帳!$A$2:$A$400="E24-S8-2")*((機器台帳!$B$2:$B$400="背面")+(機器台帳!$B$2:$B$400="両面")&gt;0)*(機器台帳!$F$2:$F$400&lt;&gt;"")*(機器台帳!$C$2:$C$400&lt;=26)*(機器台帳!$C$2:$C$400+機器台帳!$D$2:$D$400-1&gt;=26),0),0))&amp;IF(INDEX(機器台帳!$G$2:$G$400,MATCH(1,INDEX((機器台帳!$A$2:$A$400="E24-S8-2")*((機器台帳!$B$2:$B$400="背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-2")*((機器台帳!$B$2:$B$400="背面")+(機器台帳!$B$2:$B$400="両面")&gt;0)*(機器台帳!$F$2:$F$400&lt;&gt;"")*(機器台帳!$C$2:$C$400&lt;=26)*(機器台帳!$C$2:$C$400+機器台帳!$D$2:$D$400-1&gt;=26),0),0)))&amp;IF(SUMPRODUCT((機器台帳!$A$2:$A$400="E24-S8-2")*((機器台帳!$B$2:$B$400="背面")+(機器台帳!$B$2:$B$400="両面")&gt;0)*(機器台帳!$F$2:$F$400&lt;&gt;"")*(機器台帳!$C$2:$C$400&lt;=26)*(機器台帳!$C$2:$C$400+機器台帳!$D$2:$D$400-1&gt;=26))&gt;1," 他"&amp;(SUMPRODUCT((機器台帳!$A$2:$A$400="E24-S8-2")*((機器台帳!$B$2:$B$400="背面")+(機器台帳!$B$2:$B$400="両面")&gt;0)*(機器台帳!$F$2:$F$400&lt;&gt;"")*(機器台帳!$C$2:$C$400&lt;=26)*(機器台帳!$C$2:$C$400+機器台帳!$D$2:$D$400-1&gt;=26))-1)&amp;"台",""))</f>
        <v/>
      </c>
      <c r="I25">
        <f>IF(SUMPRODUCT((機器台帳!$A$2:$A$400="E24-S8-2")*((機器台帳!$B$2:$B$400="背面")+(機器台帳!$B$2:$B$400="両面")&gt;0)*(機器台帳!$F$2:$F$400&lt;&gt;"")*(機器台帳!$C$2:$C$400&lt;=26)*(機器台帳!$C$2:$C$400+機器台帳!$D$2:$D$400-1&gt;=26))=0,"",INDEX(機器台帳!$I$2:$I$400,MATCH(1,INDEX((機器台帳!$A$2:$A$400="E24-S8-2")*((機器台帳!$B$2:$B$400="背面")+(機器台帳!$B$2:$B$400="両面")&gt;0)*(機器台帳!$F$2:$F$400&lt;&gt;"")*(機器台帳!$C$2:$C$400&lt;=26)*(機器台帳!$C$2:$C$400+機器台帳!$D$2:$D$400-1&gt;=26),0),0))&amp;IF(INDEX(機器台帳!$Y$2:$Y$400,MATCH(1,INDEX((機器台帳!$A$2:$A$400="E24-S8-2")*((機器台帳!$B$2:$B$400="背面")+(機器台帳!$B$2:$B$400="両面")&gt;0)*(機器台帳!$F$2:$F$400&lt;&gt;"")*(機器台帳!$C$2:$C$400&lt;=26)*(機器台帳!$C$2:$C$400+機器台帳!$D$2:$D$400-1&gt;=26),0),0))=0,"|未記入",""))</f>
        <v/>
      </c>
      <c r="J25" s="12">
        <f>IF(SUMPRODUCT((機器台帳!$A$2:$A$400="E24-S8-3")*((機器台帳!$B$2:$B$400="前面")+(機器台帳!$B$2:$B$400="両面")&gt;0)*(機器台帳!$F$2:$F$400&lt;&gt;"")*(機器台帳!$C$2:$C$400&lt;=26)*(機器台帳!$C$2:$C$400+機器台帳!$D$2:$D$400-1&gt;=26))=0,"",INDEX(機器台帳!$F$2:$F$400,MATCH(1,INDEX((機器台帳!$A$2:$A$400="E24-S8-3")*((機器台帳!$B$2:$B$400="前面")+(機器台帳!$B$2:$B$400="両面")&gt;0)*(機器台帳!$F$2:$F$400&lt;&gt;"")*(機器台帳!$C$2:$C$400&lt;=26)*(機器台帳!$C$2:$C$400+機器台帳!$D$2:$D$400-1&gt;=26),0),0))&amp;IF(INDEX(機器台帳!$G$2:$G$400,MATCH(1,INDEX((機器台帳!$A$2:$A$400="E24-S8-3")*((機器台帳!$B$2:$B$400="前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-3")*((機器台帳!$B$2:$B$400="前面")+(機器台帳!$B$2:$B$400="両面")&gt;0)*(機器台帳!$F$2:$F$400&lt;&gt;"")*(機器台帳!$C$2:$C$400&lt;=26)*(機器台帳!$C$2:$C$400+機器台帳!$D$2:$D$400-1&gt;=26),0),0)))&amp;IF(SUMPRODUCT((機器台帳!$A$2:$A$400="E24-S8-3")*((機器台帳!$B$2:$B$400="前面")+(機器台帳!$B$2:$B$400="両面")&gt;0)*(機器台帳!$F$2:$F$400&lt;&gt;"")*(機器台帳!$C$2:$C$400&lt;=26)*(機器台帳!$C$2:$C$400+機器台帳!$D$2:$D$400-1&gt;=26))&gt;1," 他"&amp;(SUMPRODUCT((機器台帳!$A$2:$A$400="E24-S8-3")*((機器台帳!$B$2:$B$400="前面")+(機器台帳!$B$2:$B$400="両面")&gt;0)*(機器台帳!$F$2:$F$400&lt;&gt;"")*(機器台帳!$C$2:$C$400&lt;=26)*(機器台帳!$C$2:$C$400+機器台帳!$D$2:$D$400-1&gt;=26))-1)&amp;"台",""))</f>
        <v/>
      </c>
      <c r="K25">
        <f>IF(SUMPRODUCT((機器台帳!$A$2:$A$400="E24-S8-3")*((機器台帳!$B$2:$B$400="前面")+(機器台帳!$B$2:$B$400="両面")&gt;0)*(機器台帳!$F$2:$F$400&lt;&gt;"")*(機器台帳!$C$2:$C$400&lt;=26)*(機器台帳!$C$2:$C$400+機器台帳!$D$2:$D$400-1&gt;=26))=0,"",INDEX(機器台帳!$I$2:$I$400,MATCH(1,INDEX((機器台帳!$A$2:$A$400="E24-S8-3")*((機器台帳!$B$2:$B$400="前面")+(機器台帳!$B$2:$B$400="両面")&gt;0)*(機器台帳!$F$2:$F$400&lt;&gt;"")*(機器台帳!$C$2:$C$400&lt;=26)*(機器台帳!$C$2:$C$400+機器台帳!$D$2:$D$400-1&gt;=26),0),0))&amp;IF(INDEX(機器台帳!$Y$2:$Y$400,MATCH(1,INDEX((機器台帳!$A$2:$A$400="E24-S8-3")*((機器台帳!$B$2:$B$400="前面")+(機器台帳!$B$2:$B$400="両面")&gt;0)*(機器台帳!$F$2:$F$400&lt;&gt;"")*(機器台帳!$C$2:$C$400&lt;=26)*(機器台帳!$C$2:$C$400+機器台帳!$D$2:$D$400-1&gt;=26),0),0))=0,"|未記入",""))</f>
        <v/>
      </c>
      <c r="L25" s="12">
        <f>IF(SUMPRODUCT((機器台帳!$A$2:$A$400="E24-S8-3")*((機器台帳!$B$2:$B$400="背面")+(機器台帳!$B$2:$B$400="両面")&gt;0)*(機器台帳!$F$2:$F$400&lt;&gt;"")*(機器台帳!$C$2:$C$400&lt;=26)*(機器台帳!$C$2:$C$400+機器台帳!$D$2:$D$400-1&gt;=26))=0,"",INDEX(機器台帳!$F$2:$F$400,MATCH(1,INDEX((機器台帳!$A$2:$A$400="E24-S8-3")*((機器台帳!$B$2:$B$400="背面")+(機器台帳!$B$2:$B$400="両面")&gt;0)*(機器台帳!$F$2:$F$400&lt;&gt;"")*(機器台帳!$C$2:$C$400&lt;=26)*(機器台帳!$C$2:$C$400+機器台帳!$D$2:$D$400-1&gt;=26),0),0))&amp;IF(INDEX(機器台帳!$G$2:$G$400,MATCH(1,INDEX((機器台帳!$A$2:$A$400="E24-S8-3")*((機器台帳!$B$2:$B$400="背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-3")*((機器台帳!$B$2:$B$400="背面")+(機器台帳!$B$2:$B$400="両面")&gt;0)*(機器台帳!$F$2:$F$400&lt;&gt;"")*(機器台帳!$C$2:$C$400&lt;=26)*(機器台帳!$C$2:$C$400+機器台帳!$D$2:$D$400-1&gt;=26),0),0)))&amp;IF(SUMPRODUCT((機器台帳!$A$2:$A$400="E24-S8-3")*((機器台帳!$B$2:$B$400="背面")+(機器台帳!$B$2:$B$400="両面")&gt;0)*(機器台帳!$F$2:$F$400&lt;&gt;"")*(機器台帳!$C$2:$C$400&lt;=26)*(機器台帳!$C$2:$C$400+機器台帳!$D$2:$D$400-1&gt;=26))&gt;1," 他"&amp;(SUMPRODUCT((機器台帳!$A$2:$A$400="E24-S8-3")*((機器台帳!$B$2:$B$400="背面")+(機器台帳!$B$2:$B$400="両面")&gt;0)*(機器台帳!$F$2:$F$400&lt;&gt;"")*(機器台帳!$C$2:$C$400&lt;=26)*(機器台帳!$C$2:$C$400+機器台帳!$D$2:$D$400-1&gt;=26))-1)&amp;"台",""))</f>
        <v/>
      </c>
      <c r="M25">
        <f>IF(SUMPRODUCT((機器台帳!$A$2:$A$400="E24-S8-3")*((機器台帳!$B$2:$B$400="背面")+(機器台帳!$B$2:$B$400="両面")&gt;0)*(機器台帳!$F$2:$F$400&lt;&gt;"")*(機器台帳!$C$2:$C$400&lt;=26)*(機器台帳!$C$2:$C$400+機器台帳!$D$2:$D$400-1&gt;=26))=0,"",INDEX(機器台帳!$I$2:$I$400,MATCH(1,INDEX((機器台帳!$A$2:$A$400="E24-S8-3")*((機器台帳!$B$2:$B$400="背面")+(機器台帳!$B$2:$B$400="両面")&gt;0)*(機器台帳!$F$2:$F$400&lt;&gt;"")*(機器台帳!$C$2:$C$400&lt;=26)*(機器台帳!$C$2:$C$400+機器台帳!$D$2:$D$400-1&gt;=26),0),0))&amp;IF(INDEX(機器台帳!$Y$2:$Y$400,MATCH(1,INDEX((機器台帳!$A$2:$A$400="E24-S8-3")*((機器台帳!$B$2:$B$400="背面")+(機器台帳!$B$2:$B$400="両面")&gt;0)*(機器台帳!$F$2:$F$400&lt;&gt;"")*(機器台帳!$C$2:$C$400&lt;=26)*(機器台帳!$C$2:$C$400+機器台帳!$D$2:$D$400-1&gt;=26),0),0))=0,"|未記入",""))</f>
        <v/>
      </c>
      <c r="N25" s="12">
        <f>IF(SUMPRODUCT((機器台帳!$A$2:$A$400="E24-S8-4")*((機器台帳!$B$2:$B$400="前面")+(機器台帳!$B$2:$B$400="両面")&gt;0)*(機器台帳!$F$2:$F$400&lt;&gt;"")*(機器台帳!$C$2:$C$400&lt;=26)*(機器台帳!$C$2:$C$400+機器台帳!$D$2:$D$400-1&gt;=26))=0,"",INDEX(機器台帳!$F$2:$F$400,MATCH(1,INDEX((機器台帳!$A$2:$A$400="E24-S8-4")*((機器台帳!$B$2:$B$400="前面")+(機器台帳!$B$2:$B$400="両面")&gt;0)*(機器台帳!$F$2:$F$400&lt;&gt;"")*(機器台帳!$C$2:$C$400&lt;=26)*(機器台帳!$C$2:$C$400+機器台帳!$D$2:$D$400-1&gt;=26),0),0))&amp;IF(INDEX(機器台帳!$G$2:$G$400,MATCH(1,INDEX((機器台帳!$A$2:$A$400="E24-S8-4")*((機器台帳!$B$2:$B$400="前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-4")*((機器台帳!$B$2:$B$400="前面")+(機器台帳!$B$2:$B$400="両面")&gt;0)*(機器台帳!$F$2:$F$400&lt;&gt;"")*(機器台帳!$C$2:$C$400&lt;=26)*(機器台帳!$C$2:$C$400+機器台帳!$D$2:$D$400-1&gt;=26),0),0)))&amp;IF(SUMPRODUCT((機器台帳!$A$2:$A$400="E24-S8-4")*((機器台帳!$B$2:$B$400="前面")+(機器台帳!$B$2:$B$400="両面")&gt;0)*(機器台帳!$F$2:$F$400&lt;&gt;"")*(機器台帳!$C$2:$C$400&lt;=26)*(機器台帳!$C$2:$C$400+機器台帳!$D$2:$D$400-1&gt;=26))&gt;1," 他"&amp;(SUMPRODUCT((機器台帳!$A$2:$A$400="E24-S8-4")*((機器台帳!$B$2:$B$400="前面")+(機器台帳!$B$2:$B$400="両面")&gt;0)*(機器台帳!$F$2:$F$400&lt;&gt;"")*(機器台帳!$C$2:$C$400&lt;=26)*(機器台帳!$C$2:$C$400+機器台帳!$D$2:$D$400-1&gt;=26))-1)&amp;"台",""))</f>
        <v/>
      </c>
      <c r="O25">
        <f>IF(SUMPRODUCT((機器台帳!$A$2:$A$400="E24-S8-4")*((機器台帳!$B$2:$B$400="前面")+(機器台帳!$B$2:$B$400="両面")&gt;0)*(機器台帳!$F$2:$F$400&lt;&gt;"")*(機器台帳!$C$2:$C$400&lt;=26)*(機器台帳!$C$2:$C$400+機器台帳!$D$2:$D$400-1&gt;=26))=0,"",INDEX(機器台帳!$I$2:$I$400,MATCH(1,INDEX((機器台帳!$A$2:$A$400="E24-S8-4")*((機器台帳!$B$2:$B$400="前面")+(機器台帳!$B$2:$B$400="両面")&gt;0)*(機器台帳!$F$2:$F$400&lt;&gt;"")*(機器台帳!$C$2:$C$400&lt;=26)*(機器台帳!$C$2:$C$400+機器台帳!$D$2:$D$400-1&gt;=26),0),0))&amp;IF(INDEX(機器台帳!$Y$2:$Y$400,MATCH(1,INDEX((機器台帳!$A$2:$A$400="E24-S8-4")*((機器台帳!$B$2:$B$400="前面")+(機器台帳!$B$2:$B$400="両面")&gt;0)*(機器台帳!$F$2:$F$400&lt;&gt;"")*(機器台帳!$C$2:$C$400&lt;=26)*(機器台帳!$C$2:$C$400+機器台帳!$D$2:$D$400-1&gt;=26),0),0))=0,"|未記入",""))</f>
        <v/>
      </c>
      <c r="P25" s="12">
        <f>IF(SUMPRODUCT((機器台帳!$A$2:$A$400="E24-S8-4")*((機器台帳!$B$2:$B$400="背面")+(機器台帳!$B$2:$B$400="両面")&gt;0)*(機器台帳!$F$2:$F$400&lt;&gt;"")*(機器台帳!$C$2:$C$400&lt;=26)*(機器台帳!$C$2:$C$400+機器台帳!$D$2:$D$400-1&gt;=26))=0,"",INDEX(機器台帳!$F$2:$F$400,MATCH(1,INDEX((機器台帳!$A$2:$A$400="E24-S8-4")*((機器台帳!$B$2:$B$400="背面")+(機器台帳!$B$2:$B$400="両面")&gt;0)*(機器台帳!$F$2:$F$400&lt;&gt;"")*(機器台帳!$C$2:$C$400&lt;=26)*(機器台帳!$C$2:$C$400+機器台帳!$D$2:$D$400-1&gt;=26),0),0))&amp;IF(INDEX(機器台帳!$G$2:$G$400,MATCH(1,INDEX((機器台帳!$A$2:$A$400="E24-S8-4")*((機器台帳!$B$2:$B$400="背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-4")*((機器台帳!$B$2:$B$400="背面")+(機器台帳!$B$2:$B$400="両面")&gt;0)*(機器台帳!$F$2:$F$400&lt;&gt;"")*(機器台帳!$C$2:$C$400&lt;=26)*(機器台帳!$C$2:$C$400+機器台帳!$D$2:$D$400-1&gt;=26),0),0)))&amp;IF(SUMPRODUCT((機器台帳!$A$2:$A$400="E24-S8-4")*((機器台帳!$B$2:$B$400="背面")+(機器台帳!$B$2:$B$400="両面")&gt;0)*(機器台帳!$F$2:$F$400&lt;&gt;"")*(機器台帳!$C$2:$C$400&lt;=26)*(機器台帳!$C$2:$C$400+機器台帳!$D$2:$D$400-1&gt;=26))&gt;1," 他"&amp;(SUMPRODUCT((機器台帳!$A$2:$A$400="E24-S8-4")*((機器台帳!$B$2:$B$400="背面")+(機器台帳!$B$2:$B$400="両面")&gt;0)*(機器台帳!$F$2:$F$400&lt;&gt;"")*(機器台帳!$C$2:$C$400&lt;=26)*(機器台帳!$C$2:$C$400+機器台帳!$D$2:$D$400-1&gt;=26))-1)&amp;"台",""))</f>
        <v/>
      </c>
      <c r="Q25">
        <f>IF(SUMPRODUCT((機器台帳!$A$2:$A$400="E24-S8-4")*((機器台帳!$B$2:$B$400="背面")+(機器台帳!$B$2:$B$400="両面")&gt;0)*(機器台帳!$F$2:$F$400&lt;&gt;"")*(機器台帳!$C$2:$C$400&lt;=26)*(機器台帳!$C$2:$C$400+機器台帳!$D$2:$D$400-1&gt;=26))=0,"",INDEX(機器台帳!$I$2:$I$400,MATCH(1,INDEX((機器台帳!$A$2:$A$400="E24-S8-4")*((機器台帳!$B$2:$B$400="背面")+(機器台帳!$B$2:$B$400="両面")&gt;0)*(機器台帳!$F$2:$F$400&lt;&gt;"")*(機器台帳!$C$2:$C$400&lt;=26)*(機器台帳!$C$2:$C$400+機器台帳!$D$2:$D$400-1&gt;=26),0),0))&amp;IF(INDEX(機器台帳!$Y$2:$Y$400,MATCH(1,INDEX((機器台帳!$A$2:$A$400="E24-S8-4")*((機器台帳!$B$2:$B$400="背面")+(機器台帳!$B$2:$B$400="両面")&gt;0)*(機器台帳!$F$2:$F$400&lt;&gt;"")*(機器台帳!$C$2:$C$400&lt;=26)*(機器台帳!$C$2:$C$400+機器台帳!$D$2:$D$400-1&gt;=26),0),0))=0,"|未記入",""))</f>
        <v/>
      </c>
      <c r="R25" s="12">
        <f>IF(SUMPRODUCT((機器台帳!$A$2:$A$400="E24-S8-5")*((機器台帳!$B$2:$B$400="前面")+(機器台帳!$B$2:$B$400="両面")&gt;0)*(機器台帳!$F$2:$F$400&lt;&gt;"")*(機器台帳!$C$2:$C$400&lt;=26)*(機器台帳!$C$2:$C$400+機器台帳!$D$2:$D$400-1&gt;=26))=0,"",INDEX(機器台帳!$F$2:$F$400,MATCH(1,INDEX((機器台帳!$A$2:$A$400="E24-S8-5")*((機器台帳!$B$2:$B$400="前面")+(機器台帳!$B$2:$B$400="両面")&gt;0)*(機器台帳!$F$2:$F$400&lt;&gt;"")*(機器台帳!$C$2:$C$400&lt;=26)*(機器台帳!$C$2:$C$400+機器台帳!$D$2:$D$400-1&gt;=26),0),0))&amp;IF(INDEX(機器台帳!$G$2:$G$400,MATCH(1,INDEX((機器台帳!$A$2:$A$400="E24-S8-5")*((機器台帳!$B$2:$B$400="前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-5")*((機器台帳!$B$2:$B$400="前面")+(機器台帳!$B$2:$B$400="両面")&gt;0)*(機器台帳!$F$2:$F$400&lt;&gt;"")*(機器台帳!$C$2:$C$400&lt;=26)*(機器台帳!$C$2:$C$400+機器台帳!$D$2:$D$400-1&gt;=26),0),0)))&amp;IF(SUMPRODUCT((機器台帳!$A$2:$A$400="E24-S8-5")*((機器台帳!$B$2:$B$400="前面")+(機器台帳!$B$2:$B$400="両面")&gt;0)*(機器台帳!$F$2:$F$400&lt;&gt;"")*(機器台帳!$C$2:$C$400&lt;=26)*(機器台帳!$C$2:$C$400+機器台帳!$D$2:$D$400-1&gt;=26))&gt;1," 他"&amp;(SUMPRODUCT((機器台帳!$A$2:$A$400="E24-S8-5")*((機器台帳!$B$2:$B$400="前面")+(機器台帳!$B$2:$B$400="両面")&gt;0)*(機器台帳!$F$2:$F$400&lt;&gt;"")*(機器台帳!$C$2:$C$400&lt;=26)*(機器台帳!$C$2:$C$400+機器台帳!$D$2:$D$400-1&gt;=26))-1)&amp;"台",""))</f>
        <v/>
      </c>
      <c r="S25">
        <f>IF(SUMPRODUCT((機器台帳!$A$2:$A$400="E24-S8-5")*((機器台帳!$B$2:$B$400="前面")+(機器台帳!$B$2:$B$400="両面")&gt;0)*(機器台帳!$F$2:$F$400&lt;&gt;"")*(機器台帳!$C$2:$C$400&lt;=26)*(機器台帳!$C$2:$C$400+機器台帳!$D$2:$D$400-1&gt;=26))=0,"",INDEX(機器台帳!$I$2:$I$400,MATCH(1,INDEX((機器台帳!$A$2:$A$400="E24-S8-5")*((機器台帳!$B$2:$B$400="前面")+(機器台帳!$B$2:$B$400="両面")&gt;0)*(機器台帳!$F$2:$F$400&lt;&gt;"")*(機器台帳!$C$2:$C$400&lt;=26)*(機器台帳!$C$2:$C$400+機器台帳!$D$2:$D$400-1&gt;=26),0),0))&amp;IF(INDEX(機器台帳!$Y$2:$Y$400,MATCH(1,INDEX((機器台帳!$A$2:$A$400="E24-S8-5")*((機器台帳!$B$2:$B$400="前面")+(機器台帳!$B$2:$B$400="両面")&gt;0)*(機器台帳!$F$2:$F$400&lt;&gt;"")*(機器台帳!$C$2:$C$400&lt;=26)*(機器台帳!$C$2:$C$400+機器台帳!$D$2:$D$400-1&gt;=26),0),0))=0,"|未記入",""))</f>
        <v/>
      </c>
      <c r="T25" s="12">
        <f>IF(SUMPRODUCT((機器台帳!$A$2:$A$400="E24-S8-5")*((機器台帳!$B$2:$B$400="背面")+(機器台帳!$B$2:$B$400="両面")&gt;0)*(機器台帳!$F$2:$F$400&lt;&gt;"")*(機器台帳!$C$2:$C$400&lt;=26)*(機器台帳!$C$2:$C$400+機器台帳!$D$2:$D$400-1&gt;=26))=0,"",INDEX(機器台帳!$F$2:$F$400,MATCH(1,INDEX((機器台帳!$A$2:$A$400="E24-S8-5")*((機器台帳!$B$2:$B$400="背面")+(機器台帳!$B$2:$B$400="両面")&gt;0)*(機器台帳!$F$2:$F$400&lt;&gt;"")*(機器台帳!$C$2:$C$400&lt;=26)*(機器台帳!$C$2:$C$400+機器台帳!$D$2:$D$400-1&gt;=26),0),0))&amp;IF(INDEX(機器台帳!$G$2:$G$400,MATCH(1,INDEX((機器台帳!$A$2:$A$400="E24-S8-5")*((機器台帳!$B$2:$B$400="背面")+(機器台帳!$B$2:$B$400="両面")&gt;0)*(機器台帳!$F$2:$F$400&lt;&gt;"")*(機器台帳!$C$2:$C$400&lt;=26)*(機器台帳!$C$2:$C$400+機器台帳!$D$2:$D$400-1&gt;=26),0),0))=""," "," "&amp;INDEX(機器台帳!$G$2:$G$400,MATCH(1,INDEX((機器台帳!$A$2:$A$400="E24-S8-5")*((機器台帳!$B$2:$B$400="背面")+(機器台帳!$B$2:$B$400="両面")&gt;0)*(機器台帳!$F$2:$F$400&lt;&gt;"")*(機器台帳!$C$2:$C$400&lt;=26)*(機器台帳!$C$2:$C$400+機器台帳!$D$2:$D$400-1&gt;=26),0),0)))&amp;IF(SUMPRODUCT((機器台帳!$A$2:$A$400="E24-S8-5")*((機器台帳!$B$2:$B$400="背面")+(機器台帳!$B$2:$B$400="両面")&gt;0)*(機器台帳!$F$2:$F$400&lt;&gt;"")*(機器台帳!$C$2:$C$400&lt;=26)*(機器台帳!$C$2:$C$400+機器台帳!$D$2:$D$400-1&gt;=26))&gt;1," 他"&amp;(SUMPRODUCT((機器台帳!$A$2:$A$400="E24-S8-5")*((機器台帳!$B$2:$B$400="背面")+(機器台帳!$B$2:$B$400="両面")&gt;0)*(機器台帳!$F$2:$F$400&lt;&gt;"")*(機器台帳!$C$2:$C$400&lt;=26)*(機器台帳!$C$2:$C$400+機器台帳!$D$2:$D$400-1&gt;=26))-1)&amp;"台",""))</f>
        <v/>
      </c>
      <c r="U25">
        <f>IF(SUMPRODUCT((機器台帳!$A$2:$A$400="E24-S8-5")*((機器台帳!$B$2:$B$400="背面")+(機器台帳!$B$2:$B$400="両面")&gt;0)*(機器台帳!$F$2:$F$400&lt;&gt;"")*(機器台帳!$C$2:$C$400&lt;=26)*(機器台帳!$C$2:$C$400+機器台帳!$D$2:$D$400-1&gt;=26))=0,"",INDEX(機器台帳!$I$2:$I$400,MATCH(1,INDEX((機器台帳!$A$2:$A$400="E24-S8-5")*((機器台帳!$B$2:$B$400="背面")+(機器台帳!$B$2:$B$400="両面")&gt;0)*(機器台帳!$F$2:$F$400&lt;&gt;"")*(機器台帳!$C$2:$C$400&lt;=26)*(機器台帳!$C$2:$C$400+機器台帳!$D$2:$D$400-1&gt;=26),0),0))&amp;IF(INDEX(機器台帳!$Y$2:$Y$400,MATCH(1,INDEX((機器台帳!$A$2:$A$400="E24-S8-5")*((機器台帳!$B$2:$B$400="背面")+(機器台帳!$B$2:$B$400="両面")&gt;0)*(機器台帳!$F$2:$F$400&lt;&gt;"")*(機器台帳!$C$2:$C$400&lt;=26)*(機器台帳!$C$2:$C$400+機器台帳!$D$2:$D$400-1&gt;=26),0),0))=0,"|未記入",""))</f>
        <v/>
      </c>
      <c r="V25" s="12">
        <f>IF(SUMPRODUCT((機器台帳!$A$2:$A$400="E24-S6-1")*((機器台帳!$B$2:$B$400="前面")+(機器台帳!$B$2:$B$400="両面")&gt;0)*(機器台帳!$F$2:$F$400&lt;&gt;"")*(機器台帳!$C$2:$C$400&lt;=26)*(機器台帳!$C$2:$C$400+機器台帳!$D$2:$D$400-1&gt;=26))=0,"",INDEX(機器台帳!$F$2:$F$400,MATCH(1,INDEX((機器台帳!$A$2:$A$400="E24-S6-1")*((機器台帳!$B$2:$B$400="前面")+(機器台帳!$B$2:$B$400="両面")&gt;0)*(機器台帳!$F$2:$F$400&lt;&gt;"")*(機器台帳!$C$2:$C$400&lt;=26)*(機器台帳!$C$2:$C$400+機器台帳!$D$2:$D$400-1&gt;=26),0),0))&amp;IF(INDEX(機器台帳!$G$2:$G$400,MATCH(1,INDEX((機器台帳!$A$2:$A$400="E24-S6-1")*((機器台帳!$B$2:$B$400="前面")+(機器台帳!$B$2:$B$400="両面")&gt;0)*(機器台帳!$F$2:$F$400&lt;&gt;"")*(機器台帳!$C$2:$C$400&lt;=26)*(機器台帳!$C$2:$C$400+機器台帳!$D$2:$D$400-1&gt;=26),0),0))=""," "," "&amp;INDEX(機器台帳!$G$2:$G$400,MATCH(1,INDEX((機器台帳!$A$2:$A$400="E24-S6-1")*((機器台帳!$B$2:$B$400="前面")+(機器台帳!$B$2:$B$400="両面")&gt;0)*(機器台帳!$F$2:$F$400&lt;&gt;"")*(機器台帳!$C$2:$C$400&lt;=26)*(機器台帳!$C$2:$C$400+機器台帳!$D$2:$D$400-1&gt;=26),0),0)))&amp;IF(SUMPRODUCT((機器台帳!$A$2:$A$400="E24-S6-1")*((機器台帳!$B$2:$B$400="前面")+(機器台帳!$B$2:$B$400="両面")&gt;0)*(機器台帳!$F$2:$F$400&lt;&gt;"")*(機器台帳!$C$2:$C$400&lt;=26)*(機器台帳!$C$2:$C$400+機器台帳!$D$2:$D$400-1&gt;=26))&gt;1," 他"&amp;(SUMPRODUCT((機器台帳!$A$2:$A$400="E24-S6-1")*((機器台帳!$B$2:$B$400="前面")+(機器台帳!$B$2:$B$400="両面")&gt;0)*(機器台帳!$F$2:$F$400&lt;&gt;"")*(機器台帳!$C$2:$C$400&lt;=26)*(機器台帳!$C$2:$C$400+機器台帳!$D$2:$D$400-1&gt;=26))-1)&amp;"台",""))</f>
        <v/>
      </c>
      <c r="W25">
        <f>IF(SUMPRODUCT((機器台帳!$A$2:$A$400="E24-S6-1")*((機器台帳!$B$2:$B$400="前面")+(機器台帳!$B$2:$B$400="両面")&gt;0)*(機器台帳!$F$2:$F$400&lt;&gt;"")*(機器台帳!$C$2:$C$400&lt;=26)*(機器台帳!$C$2:$C$400+機器台帳!$D$2:$D$400-1&gt;=26))=0,"",INDEX(機器台帳!$I$2:$I$400,MATCH(1,INDEX((機器台帳!$A$2:$A$400="E24-S6-1")*((機器台帳!$B$2:$B$400="前面")+(機器台帳!$B$2:$B$400="両面")&gt;0)*(機器台帳!$F$2:$F$400&lt;&gt;"")*(機器台帳!$C$2:$C$400&lt;=26)*(機器台帳!$C$2:$C$400+機器台帳!$D$2:$D$400-1&gt;=26),0),0))&amp;IF(INDEX(機器台帳!$Y$2:$Y$400,MATCH(1,INDEX((機器台帳!$A$2:$A$400="E24-S6-1")*((機器台帳!$B$2:$B$400="前面")+(機器台帳!$B$2:$B$400="両面")&gt;0)*(機器台帳!$F$2:$F$400&lt;&gt;"")*(機器台帳!$C$2:$C$400&lt;=26)*(機器台帳!$C$2:$C$400+機器台帳!$D$2:$D$400-1&gt;=26),0),0))=0,"|未記入",""))</f>
        <v/>
      </c>
      <c r="X25" s="12">
        <f>IF(SUMPRODUCT((機器台帳!$A$2:$A$400="E24-S6-1")*((機器台帳!$B$2:$B$400="背面")+(機器台帳!$B$2:$B$400="両面")&gt;0)*(機器台帳!$F$2:$F$400&lt;&gt;"")*(機器台帳!$C$2:$C$400&lt;=26)*(機器台帳!$C$2:$C$400+機器台帳!$D$2:$D$400-1&gt;=26))=0,"",INDEX(機器台帳!$F$2:$F$400,MATCH(1,INDEX((機器台帳!$A$2:$A$400="E24-S6-1")*((機器台帳!$B$2:$B$400="背面")+(機器台帳!$B$2:$B$400="両面")&gt;0)*(機器台帳!$F$2:$F$400&lt;&gt;"")*(機器台帳!$C$2:$C$400&lt;=26)*(機器台帳!$C$2:$C$400+機器台帳!$D$2:$D$400-1&gt;=26),0),0))&amp;IF(INDEX(機器台帳!$G$2:$G$400,MATCH(1,INDEX((機器台帳!$A$2:$A$400="E24-S6-1")*((機器台帳!$B$2:$B$400="背面")+(機器台帳!$B$2:$B$400="両面")&gt;0)*(機器台帳!$F$2:$F$400&lt;&gt;"")*(機器台帳!$C$2:$C$400&lt;=26)*(機器台帳!$C$2:$C$400+機器台帳!$D$2:$D$400-1&gt;=26),0),0))=""," "," "&amp;INDEX(機器台帳!$G$2:$G$400,MATCH(1,INDEX((機器台帳!$A$2:$A$400="E24-S6-1")*((機器台帳!$B$2:$B$400="背面")+(機器台帳!$B$2:$B$400="両面")&gt;0)*(機器台帳!$F$2:$F$400&lt;&gt;"")*(機器台帳!$C$2:$C$400&lt;=26)*(機器台帳!$C$2:$C$400+機器台帳!$D$2:$D$400-1&gt;=26),0),0)))&amp;IF(SUMPRODUCT((機器台帳!$A$2:$A$400="E24-S6-1")*((機器台帳!$B$2:$B$400="背面")+(機器台帳!$B$2:$B$400="両面")&gt;0)*(機器台帳!$F$2:$F$400&lt;&gt;"")*(機器台帳!$C$2:$C$400&lt;=26)*(機器台帳!$C$2:$C$400+機器台帳!$D$2:$D$400-1&gt;=26))&gt;1," 他"&amp;(SUMPRODUCT((機器台帳!$A$2:$A$400="E24-S6-1")*((機器台帳!$B$2:$B$400="背面")+(機器台帳!$B$2:$B$400="両面")&gt;0)*(機器台帳!$F$2:$F$400&lt;&gt;"")*(機器台帳!$C$2:$C$400&lt;=26)*(機器台帳!$C$2:$C$400+機器台帳!$D$2:$D$400-1&gt;=26))-1)&amp;"台",""))</f>
        <v/>
      </c>
      <c r="Y25">
        <f>IF(SUMPRODUCT((機器台帳!$A$2:$A$400="E24-S6-1")*((機器台帳!$B$2:$B$400="背面")+(機器台帳!$B$2:$B$400="両面")&gt;0)*(機器台帳!$F$2:$F$400&lt;&gt;"")*(機器台帳!$C$2:$C$400&lt;=26)*(機器台帳!$C$2:$C$400+機器台帳!$D$2:$D$400-1&gt;=26))=0,"",INDEX(機器台帳!$I$2:$I$400,MATCH(1,INDEX((機器台帳!$A$2:$A$400="E24-S6-1")*((機器台帳!$B$2:$B$400="背面")+(機器台帳!$B$2:$B$400="両面")&gt;0)*(機器台帳!$F$2:$F$400&lt;&gt;"")*(機器台帳!$C$2:$C$400&lt;=26)*(機器台帳!$C$2:$C$400+機器台帳!$D$2:$D$400-1&gt;=26),0),0))&amp;IF(INDEX(機器台帳!$Y$2:$Y$400,MATCH(1,INDEX((機器台帳!$A$2:$A$400="E24-S6-1")*((機器台帳!$B$2:$B$400="背面")+(機器台帳!$B$2:$B$400="両面")&gt;0)*(機器台帳!$F$2:$F$400&lt;&gt;"")*(機器台帳!$C$2:$C$400&lt;=26)*(機器台帳!$C$2:$C$400+機器台帳!$D$2:$D$400-1&gt;=26),0),0))=0,"|未記入",""))</f>
        <v/>
      </c>
    </row>
    <row r="26">
      <c r="A26" s="11" t="n">
        <v>25</v>
      </c>
      <c r="B26" s="12">
        <f>IF(SUMPRODUCT((機器台帳!$A$2:$A$400="E24-S8-1")*((機器台帳!$B$2:$B$400="前面")+(機器台帳!$B$2:$B$400="両面")&gt;0)*(機器台帳!$F$2:$F$400&lt;&gt;"")*(機器台帳!$C$2:$C$400&lt;=25)*(機器台帳!$C$2:$C$400+機器台帳!$D$2:$D$400-1&gt;=25))=0,"",INDEX(機器台帳!$F$2:$F$400,MATCH(1,INDEX((機器台帳!$A$2:$A$400="E24-S8-1")*((機器台帳!$B$2:$B$400="前面")+(機器台帳!$B$2:$B$400="両面")&gt;0)*(機器台帳!$F$2:$F$400&lt;&gt;"")*(機器台帳!$C$2:$C$400&lt;=25)*(機器台帳!$C$2:$C$400+機器台帳!$D$2:$D$400-1&gt;=25),0),0))&amp;IF(INDEX(機器台帳!$G$2:$G$400,MATCH(1,INDEX((機器台帳!$A$2:$A$400="E24-S8-1")*((機器台帳!$B$2:$B$400="前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-1")*((機器台帳!$B$2:$B$400="前面")+(機器台帳!$B$2:$B$400="両面")&gt;0)*(機器台帳!$F$2:$F$400&lt;&gt;"")*(機器台帳!$C$2:$C$400&lt;=25)*(機器台帳!$C$2:$C$400+機器台帳!$D$2:$D$400-1&gt;=25),0),0)))&amp;IF(SUMPRODUCT((機器台帳!$A$2:$A$400="E24-S8-1")*((機器台帳!$B$2:$B$400="前面")+(機器台帳!$B$2:$B$400="両面")&gt;0)*(機器台帳!$F$2:$F$400&lt;&gt;"")*(機器台帳!$C$2:$C$400&lt;=25)*(機器台帳!$C$2:$C$400+機器台帳!$D$2:$D$400-1&gt;=25))&gt;1," 他"&amp;(SUMPRODUCT((機器台帳!$A$2:$A$400="E24-S8-1")*((機器台帳!$B$2:$B$400="前面")+(機器台帳!$B$2:$B$400="両面")&gt;0)*(機器台帳!$F$2:$F$400&lt;&gt;"")*(機器台帳!$C$2:$C$400&lt;=25)*(機器台帳!$C$2:$C$400+機器台帳!$D$2:$D$400-1&gt;=25))-1)&amp;"台",""))</f>
        <v/>
      </c>
      <c r="C26">
        <f>IF(SUMPRODUCT((機器台帳!$A$2:$A$400="E24-S8-1")*((機器台帳!$B$2:$B$400="前面")+(機器台帳!$B$2:$B$400="両面")&gt;0)*(機器台帳!$F$2:$F$400&lt;&gt;"")*(機器台帳!$C$2:$C$400&lt;=25)*(機器台帳!$C$2:$C$400+機器台帳!$D$2:$D$400-1&gt;=25))=0,"",INDEX(機器台帳!$I$2:$I$400,MATCH(1,INDEX((機器台帳!$A$2:$A$400="E24-S8-1")*((機器台帳!$B$2:$B$400="前面")+(機器台帳!$B$2:$B$400="両面")&gt;0)*(機器台帳!$F$2:$F$400&lt;&gt;"")*(機器台帳!$C$2:$C$400&lt;=25)*(機器台帳!$C$2:$C$400+機器台帳!$D$2:$D$400-1&gt;=25),0),0))&amp;IF(INDEX(機器台帳!$Y$2:$Y$400,MATCH(1,INDEX((機器台帳!$A$2:$A$400="E24-S8-1")*((機器台帳!$B$2:$B$400="前面")+(機器台帳!$B$2:$B$400="両面")&gt;0)*(機器台帳!$F$2:$F$400&lt;&gt;"")*(機器台帳!$C$2:$C$400&lt;=25)*(機器台帳!$C$2:$C$400+機器台帳!$D$2:$D$400-1&gt;=25),0),0))=0,"|未記入",""))</f>
        <v/>
      </c>
      <c r="D26" s="12">
        <f>IF(SUMPRODUCT((機器台帳!$A$2:$A$400="E24-S8-1")*((機器台帳!$B$2:$B$400="背面")+(機器台帳!$B$2:$B$400="両面")&gt;0)*(機器台帳!$F$2:$F$400&lt;&gt;"")*(機器台帳!$C$2:$C$400&lt;=25)*(機器台帳!$C$2:$C$400+機器台帳!$D$2:$D$400-1&gt;=25))=0,"",INDEX(機器台帳!$F$2:$F$400,MATCH(1,INDEX((機器台帳!$A$2:$A$400="E24-S8-1")*((機器台帳!$B$2:$B$400="背面")+(機器台帳!$B$2:$B$400="両面")&gt;0)*(機器台帳!$F$2:$F$400&lt;&gt;"")*(機器台帳!$C$2:$C$400&lt;=25)*(機器台帳!$C$2:$C$400+機器台帳!$D$2:$D$400-1&gt;=25),0),0))&amp;IF(INDEX(機器台帳!$G$2:$G$400,MATCH(1,INDEX((機器台帳!$A$2:$A$400="E24-S8-1")*((機器台帳!$B$2:$B$400="背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-1")*((機器台帳!$B$2:$B$400="背面")+(機器台帳!$B$2:$B$400="両面")&gt;0)*(機器台帳!$F$2:$F$400&lt;&gt;"")*(機器台帳!$C$2:$C$400&lt;=25)*(機器台帳!$C$2:$C$400+機器台帳!$D$2:$D$400-1&gt;=25),0),0)))&amp;IF(SUMPRODUCT((機器台帳!$A$2:$A$400="E24-S8-1")*((機器台帳!$B$2:$B$400="背面")+(機器台帳!$B$2:$B$400="両面")&gt;0)*(機器台帳!$F$2:$F$400&lt;&gt;"")*(機器台帳!$C$2:$C$400&lt;=25)*(機器台帳!$C$2:$C$400+機器台帳!$D$2:$D$400-1&gt;=25))&gt;1," 他"&amp;(SUMPRODUCT((機器台帳!$A$2:$A$400="E24-S8-1")*((機器台帳!$B$2:$B$400="背面")+(機器台帳!$B$2:$B$400="両面")&gt;0)*(機器台帳!$F$2:$F$400&lt;&gt;"")*(機器台帳!$C$2:$C$400&lt;=25)*(機器台帳!$C$2:$C$400+機器台帳!$D$2:$D$400-1&gt;=25))-1)&amp;"台",""))</f>
        <v/>
      </c>
      <c r="E26">
        <f>IF(SUMPRODUCT((機器台帳!$A$2:$A$400="E24-S8-1")*((機器台帳!$B$2:$B$400="背面")+(機器台帳!$B$2:$B$400="両面")&gt;0)*(機器台帳!$F$2:$F$400&lt;&gt;"")*(機器台帳!$C$2:$C$400&lt;=25)*(機器台帳!$C$2:$C$400+機器台帳!$D$2:$D$400-1&gt;=25))=0,"",INDEX(機器台帳!$I$2:$I$400,MATCH(1,INDEX((機器台帳!$A$2:$A$400="E24-S8-1")*((機器台帳!$B$2:$B$400="背面")+(機器台帳!$B$2:$B$400="両面")&gt;0)*(機器台帳!$F$2:$F$400&lt;&gt;"")*(機器台帳!$C$2:$C$400&lt;=25)*(機器台帳!$C$2:$C$400+機器台帳!$D$2:$D$400-1&gt;=25),0),0))&amp;IF(INDEX(機器台帳!$Y$2:$Y$400,MATCH(1,INDEX((機器台帳!$A$2:$A$400="E24-S8-1")*((機器台帳!$B$2:$B$400="背面")+(機器台帳!$B$2:$B$400="両面")&gt;0)*(機器台帳!$F$2:$F$400&lt;&gt;"")*(機器台帳!$C$2:$C$400&lt;=25)*(機器台帳!$C$2:$C$400+機器台帳!$D$2:$D$400-1&gt;=25),0),0))=0,"|未記入",""))</f>
        <v/>
      </c>
      <c r="F26" s="12">
        <f>IF(SUMPRODUCT((機器台帳!$A$2:$A$400="E24-S8-2")*((機器台帳!$B$2:$B$400="前面")+(機器台帳!$B$2:$B$400="両面")&gt;0)*(機器台帳!$F$2:$F$400&lt;&gt;"")*(機器台帳!$C$2:$C$400&lt;=25)*(機器台帳!$C$2:$C$400+機器台帳!$D$2:$D$400-1&gt;=25))=0,"",INDEX(機器台帳!$F$2:$F$400,MATCH(1,INDEX((機器台帳!$A$2:$A$400="E24-S8-2")*((機器台帳!$B$2:$B$400="前面")+(機器台帳!$B$2:$B$400="両面")&gt;0)*(機器台帳!$F$2:$F$400&lt;&gt;"")*(機器台帳!$C$2:$C$400&lt;=25)*(機器台帳!$C$2:$C$400+機器台帳!$D$2:$D$400-1&gt;=25),0),0))&amp;IF(INDEX(機器台帳!$G$2:$G$400,MATCH(1,INDEX((機器台帳!$A$2:$A$400="E24-S8-2")*((機器台帳!$B$2:$B$400="前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-2")*((機器台帳!$B$2:$B$400="前面")+(機器台帳!$B$2:$B$400="両面")&gt;0)*(機器台帳!$F$2:$F$400&lt;&gt;"")*(機器台帳!$C$2:$C$400&lt;=25)*(機器台帳!$C$2:$C$400+機器台帳!$D$2:$D$400-1&gt;=25),0),0)))&amp;IF(SUMPRODUCT((機器台帳!$A$2:$A$400="E24-S8-2")*((機器台帳!$B$2:$B$400="前面")+(機器台帳!$B$2:$B$400="両面")&gt;0)*(機器台帳!$F$2:$F$400&lt;&gt;"")*(機器台帳!$C$2:$C$400&lt;=25)*(機器台帳!$C$2:$C$400+機器台帳!$D$2:$D$400-1&gt;=25))&gt;1," 他"&amp;(SUMPRODUCT((機器台帳!$A$2:$A$400="E24-S8-2")*((機器台帳!$B$2:$B$400="前面")+(機器台帳!$B$2:$B$400="両面")&gt;0)*(機器台帳!$F$2:$F$400&lt;&gt;"")*(機器台帳!$C$2:$C$400&lt;=25)*(機器台帳!$C$2:$C$400+機器台帳!$D$2:$D$400-1&gt;=25))-1)&amp;"台",""))</f>
        <v/>
      </c>
      <c r="G26">
        <f>IF(SUMPRODUCT((機器台帳!$A$2:$A$400="E24-S8-2")*((機器台帳!$B$2:$B$400="前面")+(機器台帳!$B$2:$B$400="両面")&gt;0)*(機器台帳!$F$2:$F$400&lt;&gt;"")*(機器台帳!$C$2:$C$400&lt;=25)*(機器台帳!$C$2:$C$400+機器台帳!$D$2:$D$400-1&gt;=25))=0,"",INDEX(機器台帳!$I$2:$I$400,MATCH(1,INDEX((機器台帳!$A$2:$A$400="E24-S8-2")*((機器台帳!$B$2:$B$400="前面")+(機器台帳!$B$2:$B$400="両面")&gt;0)*(機器台帳!$F$2:$F$400&lt;&gt;"")*(機器台帳!$C$2:$C$400&lt;=25)*(機器台帳!$C$2:$C$400+機器台帳!$D$2:$D$400-1&gt;=25),0),0))&amp;IF(INDEX(機器台帳!$Y$2:$Y$400,MATCH(1,INDEX((機器台帳!$A$2:$A$400="E24-S8-2")*((機器台帳!$B$2:$B$400="前面")+(機器台帳!$B$2:$B$400="両面")&gt;0)*(機器台帳!$F$2:$F$400&lt;&gt;"")*(機器台帳!$C$2:$C$400&lt;=25)*(機器台帳!$C$2:$C$400+機器台帳!$D$2:$D$400-1&gt;=25),0),0))=0,"|未記入",""))</f>
        <v/>
      </c>
      <c r="H26" s="12">
        <f>IF(SUMPRODUCT((機器台帳!$A$2:$A$400="E24-S8-2")*((機器台帳!$B$2:$B$400="背面")+(機器台帳!$B$2:$B$400="両面")&gt;0)*(機器台帳!$F$2:$F$400&lt;&gt;"")*(機器台帳!$C$2:$C$400&lt;=25)*(機器台帳!$C$2:$C$400+機器台帳!$D$2:$D$400-1&gt;=25))=0,"",INDEX(機器台帳!$F$2:$F$400,MATCH(1,INDEX((機器台帳!$A$2:$A$400="E24-S8-2")*((機器台帳!$B$2:$B$400="背面")+(機器台帳!$B$2:$B$400="両面")&gt;0)*(機器台帳!$F$2:$F$400&lt;&gt;"")*(機器台帳!$C$2:$C$400&lt;=25)*(機器台帳!$C$2:$C$400+機器台帳!$D$2:$D$400-1&gt;=25),0),0))&amp;IF(INDEX(機器台帳!$G$2:$G$400,MATCH(1,INDEX((機器台帳!$A$2:$A$400="E24-S8-2")*((機器台帳!$B$2:$B$400="背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-2")*((機器台帳!$B$2:$B$400="背面")+(機器台帳!$B$2:$B$400="両面")&gt;0)*(機器台帳!$F$2:$F$400&lt;&gt;"")*(機器台帳!$C$2:$C$400&lt;=25)*(機器台帳!$C$2:$C$400+機器台帳!$D$2:$D$400-1&gt;=25),0),0)))&amp;IF(SUMPRODUCT((機器台帳!$A$2:$A$400="E24-S8-2")*((機器台帳!$B$2:$B$400="背面")+(機器台帳!$B$2:$B$400="両面")&gt;0)*(機器台帳!$F$2:$F$400&lt;&gt;"")*(機器台帳!$C$2:$C$400&lt;=25)*(機器台帳!$C$2:$C$400+機器台帳!$D$2:$D$400-1&gt;=25))&gt;1," 他"&amp;(SUMPRODUCT((機器台帳!$A$2:$A$400="E24-S8-2")*((機器台帳!$B$2:$B$400="背面")+(機器台帳!$B$2:$B$400="両面")&gt;0)*(機器台帳!$F$2:$F$400&lt;&gt;"")*(機器台帳!$C$2:$C$400&lt;=25)*(機器台帳!$C$2:$C$400+機器台帳!$D$2:$D$400-1&gt;=25))-1)&amp;"台",""))</f>
        <v/>
      </c>
      <c r="I26">
        <f>IF(SUMPRODUCT((機器台帳!$A$2:$A$400="E24-S8-2")*((機器台帳!$B$2:$B$400="背面")+(機器台帳!$B$2:$B$400="両面")&gt;0)*(機器台帳!$F$2:$F$400&lt;&gt;"")*(機器台帳!$C$2:$C$400&lt;=25)*(機器台帳!$C$2:$C$400+機器台帳!$D$2:$D$400-1&gt;=25))=0,"",INDEX(機器台帳!$I$2:$I$400,MATCH(1,INDEX((機器台帳!$A$2:$A$400="E24-S8-2")*((機器台帳!$B$2:$B$400="背面")+(機器台帳!$B$2:$B$400="両面")&gt;0)*(機器台帳!$F$2:$F$400&lt;&gt;"")*(機器台帳!$C$2:$C$400&lt;=25)*(機器台帳!$C$2:$C$400+機器台帳!$D$2:$D$400-1&gt;=25),0),0))&amp;IF(INDEX(機器台帳!$Y$2:$Y$400,MATCH(1,INDEX((機器台帳!$A$2:$A$400="E24-S8-2")*((機器台帳!$B$2:$B$400="背面")+(機器台帳!$B$2:$B$400="両面")&gt;0)*(機器台帳!$F$2:$F$400&lt;&gt;"")*(機器台帳!$C$2:$C$400&lt;=25)*(機器台帳!$C$2:$C$400+機器台帳!$D$2:$D$400-1&gt;=25),0),0))=0,"|未記入",""))</f>
        <v/>
      </c>
      <c r="J26" s="12">
        <f>IF(SUMPRODUCT((機器台帳!$A$2:$A$400="E24-S8-3")*((機器台帳!$B$2:$B$400="前面")+(機器台帳!$B$2:$B$400="両面")&gt;0)*(機器台帳!$F$2:$F$400&lt;&gt;"")*(機器台帳!$C$2:$C$400&lt;=25)*(機器台帳!$C$2:$C$400+機器台帳!$D$2:$D$400-1&gt;=25))=0,"",INDEX(機器台帳!$F$2:$F$400,MATCH(1,INDEX((機器台帳!$A$2:$A$400="E24-S8-3")*((機器台帳!$B$2:$B$400="前面")+(機器台帳!$B$2:$B$400="両面")&gt;0)*(機器台帳!$F$2:$F$400&lt;&gt;"")*(機器台帳!$C$2:$C$400&lt;=25)*(機器台帳!$C$2:$C$400+機器台帳!$D$2:$D$400-1&gt;=25),0),0))&amp;IF(INDEX(機器台帳!$G$2:$G$400,MATCH(1,INDEX((機器台帳!$A$2:$A$400="E24-S8-3")*((機器台帳!$B$2:$B$400="前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-3")*((機器台帳!$B$2:$B$400="前面")+(機器台帳!$B$2:$B$400="両面")&gt;0)*(機器台帳!$F$2:$F$400&lt;&gt;"")*(機器台帳!$C$2:$C$400&lt;=25)*(機器台帳!$C$2:$C$400+機器台帳!$D$2:$D$400-1&gt;=25),0),0)))&amp;IF(SUMPRODUCT((機器台帳!$A$2:$A$400="E24-S8-3")*((機器台帳!$B$2:$B$400="前面")+(機器台帳!$B$2:$B$400="両面")&gt;0)*(機器台帳!$F$2:$F$400&lt;&gt;"")*(機器台帳!$C$2:$C$400&lt;=25)*(機器台帳!$C$2:$C$400+機器台帳!$D$2:$D$400-1&gt;=25))&gt;1," 他"&amp;(SUMPRODUCT((機器台帳!$A$2:$A$400="E24-S8-3")*((機器台帳!$B$2:$B$400="前面")+(機器台帳!$B$2:$B$400="両面")&gt;0)*(機器台帳!$F$2:$F$400&lt;&gt;"")*(機器台帳!$C$2:$C$400&lt;=25)*(機器台帳!$C$2:$C$400+機器台帳!$D$2:$D$400-1&gt;=25))-1)&amp;"台",""))</f>
        <v/>
      </c>
      <c r="K26">
        <f>IF(SUMPRODUCT((機器台帳!$A$2:$A$400="E24-S8-3")*((機器台帳!$B$2:$B$400="前面")+(機器台帳!$B$2:$B$400="両面")&gt;0)*(機器台帳!$F$2:$F$400&lt;&gt;"")*(機器台帳!$C$2:$C$400&lt;=25)*(機器台帳!$C$2:$C$400+機器台帳!$D$2:$D$400-1&gt;=25))=0,"",INDEX(機器台帳!$I$2:$I$400,MATCH(1,INDEX((機器台帳!$A$2:$A$400="E24-S8-3")*((機器台帳!$B$2:$B$400="前面")+(機器台帳!$B$2:$B$400="両面")&gt;0)*(機器台帳!$F$2:$F$400&lt;&gt;"")*(機器台帳!$C$2:$C$400&lt;=25)*(機器台帳!$C$2:$C$400+機器台帳!$D$2:$D$400-1&gt;=25),0),0))&amp;IF(INDEX(機器台帳!$Y$2:$Y$400,MATCH(1,INDEX((機器台帳!$A$2:$A$400="E24-S8-3")*((機器台帳!$B$2:$B$400="前面")+(機器台帳!$B$2:$B$400="両面")&gt;0)*(機器台帳!$F$2:$F$400&lt;&gt;"")*(機器台帳!$C$2:$C$400&lt;=25)*(機器台帳!$C$2:$C$400+機器台帳!$D$2:$D$400-1&gt;=25),0),0))=0,"|未記入",""))</f>
        <v/>
      </c>
      <c r="L26" s="12">
        <f>IF(SUMPRODUCT((機器台帳!$A$2:$A$400="E24-S8-3")*((機器台帳!$B$2:$B$400="背面")+(機器台帳!$B$2:$B$400="両面")&gt;0)*(機器台帳!$F$2:$F$400&lt;&gt;"")*(機器台帳!$C$2:$C$400&lt;=25)*(機器台帳!$C$2:$C$400+機器台帳!$D$2:$D$400-1&gt;=25))=0,"",INDEX(機器台帳!$F$2:$F$400,MATCH(1,INDEX((機器台帳!$A$2:$A$400="E24-S8-3")*((機器台帳!$B$2:$B$400="背面")+(機器台帳!$B$2:$B$400="両面")&gt;0)*(機器台帳!$F$2:$F$400&lt;&gt;"")*(機器台帳!$C$2:$C$400&lt;=25)*(機器台帳!$C$2:$C$400+機器台帳!$D$2:$D$400-1&gt;=25),0),0))&amp;IF(INDEX(機器台帳!$G$2:$G$400,MATCH(1,INDEX((機器台帳!$A$2:$A$400="E24-S8-3")*((機器台帳!$B$2:$B$400="背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-3")*((機器台帳!$B$2:$B$400="背面")+(機器台帳!$B$2:$B$400="両面")&gt;0)*(機器台帳!$F$2:$F$400&lt;&gt;"")*(機器台帳!$C$2:$C$400&lt;=25)*(機器台帳!$C$2:$C$400+機器台帳!$D$2:$D$400-1&gt;=25),0),0)))&amp;IF(SUMPRODUCT((機器台帳!$A$2:$A$400="E24-S8-3")*((機器台帳!$B$2:$B$400="背面")+(機器台帳!$B$2:$B$400="両面")&gt;0)*(機器台帳!$F$2:$F$400&lt;&gt;"")*(機器台帳!$C$2:$C$400&lt;=25)*(機器台帳!$C$2:$C$400+機器台帳!$D$2:$D$400-1&gt;=25))&gt;1," 他"&amp;(SUMPRODUCT((機器台帳!$A$2:$A$400="E24-S8-3")*((機器台帳!$B$2:$B$400="背面")+(機器台帳!$B$2:$B$400="両面")&gt;0)*(機器台帳!$F$2:$F$400&lt;&gt;"")*(機器台帳!$C$2:$C$400&lt;=25)*(機器台帳!$C$2:$C$400+機器台帳!$D$2:$D$400-1&gt;=25))-1)&amp;"台",""))</f>
        <v/>
      </c>
      <c r="M26">
        <f>IF(SUMPRODUCT((機器台帳!$A$2:$A$400="E24-S8-3")*((機器台帳!$B$2:$B$400="背面")+(機器台帳!$B$2:$B$400="両面")&gt;0)*(機器台帳!$F$2:$F$400&lt;&gt;"")*(機器台帳!$C$2:$C$400&lt;=25)*(機器台帳!$C$2:$C$400+機器台帳!$D$2:$D$400-1&gt;=25))=0,"",INDEX(機器台帳!$I$2:$I$400,MATCH(1,INDEX((機器台帳!$A$2:$A$400="E24-S8-3")*((機器台帳!$B$2:$B$400="背面")+(機器台帳!$B$2:$B$400="両面")&gt;0)*(機器台帳!$F$2:$F$400&lt;&gt;"")*(機器台帳!$C$2:$C$400&lt;=25)*(機器台帳!$C$2:$C$400+機器台帳!$D$2:$D$400-1&gt;=25),0),0))&amp;IF(INDEX(機器台帳!$Y$2:$Y$400,MATCH(1,INDEX((機器台帳!$A$2:$A$400="E24-S8-3")*((機器台帳!$B$2:$B$400="背面")+(機器台帳!$B$2:$B$400="両面")&gt;0)*(機器台帳!$F$2:$F$400&lt;&gt;"")*(機器台帳!$C$2:$C$400&lt;=25)*(機器台帳!$C$2:$C$400+機器台帳!$D$2:$D$400-1&gt;=25),0),0))=0,"|未記入",""))</f>
        <v/>
      </c>
      <c r="N26" s="12">
        <f>IF(SUMPRODUCT((機器台帳!$A$2:$A$400="E24-S8-4")*((機器台帳!$B$2:$B$400="前面")+(機器台帳!$B$2:$B$400="両面")&gt;0)*(機器台帳!$F$2:$F$400&lt;&gt;"")*(機器台帳!$C$2:$C$400&lt;=25)*(機器台帳!$C$2:$C$400+機器台帳!$D$2:$D$400-1&gt;=25))=0,"",INDEX(機器台帳!$F$2:$F$400,MATCH(1,INDEX((機器台帳!$A$2:$A$400="E24-S8-4")*((機器台帳!$B$2:$B$400="前面")+(機器台帳!$B$2:$B$400="両面")&gt;0)*(機器台帳!$F$2:$F$400&lt;&gt;"")*(機器台帳!$C$2:$C$400&lt;=25)*(機器台帳!$C$2:$C$400+機器台帳!$D$2:$D$400-1&gt;=25),0),0))&amp;IF(INDEX(機器台帳!$G$2:$G$400,MATCH(1,INDEX((機器台帳!$A$2:$A$400="E24-S8-4")*((機器台帳!$B$2:$B$400="前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-4")*((機器台帳!$B$2:$B$400="前面")+(機器台帳!$B$2:$B$400="両面")&gt;0)*(機器台帳!$F$2:$F$400&lt;&gt;"")*(機器台帳!$C$2:$C$400&lt;=25)*(機器台帳!$C$2:$C$400+機器台帳!$D$2:$D$400-1&gt;=25),0),0)))&amp;IF(SUMPRODUCT((機器台帳!$A$2:$A$400="E24-S8-4")*((機器台帳!$B$2:$B$400="前面")+(機器台帳!$B$2:$B$400="両面")&gt;0)*(機器台帳!$F$2:$F$400&lt;&gt;"")*(機器台帳!$C$2:$C$400&lt;=25)*(機器台帳!$C$2:$C$400+機器台帳!$D$2:$D$400-1&gt;=25))&gt;1," 他"&amp;(SUMPRODUCT((機器台帳!$A$2:$A$400="E24-S8-4")*((機器台帳!$B$2:$B$400="前面")+(機器台帳!$B$2:$B$400="両面")&gt;0)*(機器台帳!$F$2:$F$400&lt;&gt;"")*(機器台帳!$C$2:$C$400&lt;=25)*(機器台帳!$C$2:$C$400+機器台帳!$D$2:$D$400-1&gt;=25))-1)&amp;"台",""))</f>
        <v/>
      </c>
      <c r="O26">
        <f>IF(SUMPRODUCT((機器台帳!$A$2:$A$400="E24-S8-4")*((機器台帳!$B$2:$B$400="前面")+(機器台帳!$B$2:$B$400="両面")&gt;0)*(機器台帳!$F$2:$F$400&lt;&gt;"")*(機器台帳!$C$2:$C$400&lt;=25)*(機器台帳!$C$2:$C$400+機器台帳!$D$2:$D$400-1&gt;=25))=0,"",INDEX(機器台帳!$I$2:$I$400,MATCH(1,INDEX((機器台帳!$A$2:$A$400="E24-S8-4")*((機器台帳!$B$2:$B$400="前面")+(機器台帳!$B$2:$B$400="両面")&gt;0)*(機器台帳!$F$2:$F$400&lt;&gt;"")*(機器台帳!$C$2:$C$400&lt;=25)*(機器台帳!$C$2:$C$400+機器台帳!$D$2:$D$400-1&gt;=25),0),0))&amp;IF(INDEX(機器台帳!$Y$2:$Y$400,MATCH(1,INDEX((機器台帳!$A$2:$A$400="E24-S8-4")*((機器台帳!$B$2:$B$400="前面")+(機器台帳!$B$2:$B$400="両面")&gt;0)*(機器台帳!$F$2:$F$400&lt;&gt;"")*(機器台帳!$C$2:$C$400&lt;=25)*(機器台帳!$C$2:$C$400+機器台帳!$D$2:$D$400-1&gt;=25),0),0))=0,"|未記入",""))</f>
        <v/>
      </c>
      <c r="P26" s="12">
        <f>IF(SUMPRODUCT((機器台帳!$A$2:$A$400="E24-S8-4")*((機器台帳!$B$2:$B$400="背面")+(機器台帳!$B$2:$B$400="両面")&gt;0)*(機器台帳!$F$2:$F$400&lt;&gt;"")*(機器台帳!$C$2:$C$400&lt;=25)*(機器台帳!$C$2:$C$400+機器台帳!$D$2:$D$400-1&gt;=25))=0,"",INDEX(機器台帳!$F$2:$F$400,MATCH(1,INDEX((機器台帳!$A$2:$A$400="E24-S8-4")*((機器台帳!$B$2:$B$400="背面")+(機器台帳!$B$2:$B$400="両面")&gt;0)*(機器台帳!$F$2:$F$400&lt;&gt;"")*(機器台帳!$C$2:$C$400&lt;=25)*(機器台帳!$C$2:$C$400+機器台帳!$D$2:$D$400-1&gt;=25),0),0))&amp;IF(INDEX(機器台帳!$G$2:$G$400,MATCH(1,INDEX((機器台帳!$A$2:$A$400="E24-S8-4")*((機器台帳!$B$2:$B$400="背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-4")*((機器台帳!$B$2:$B$400="背面")+(機器台帳!$B$2:$B$400="両面")&gt;0)*(機器台帳!$F$2:$F$400&lt;&gt;"")*(機器台帳!$C$2:$C$400&lt;=25)*(機器台帳!$C$2:$C$400+機器台帳!$D$2:$D$400-1&gt;=25),0),0)))&amp;IF(SUMPRODUCT((機器台帳!$A$2:$A$400="E24-S8-4")*((機器台帳!$B$2:$B$400="背面")+(機器台帳!$B$2:$B$400="両面")&gt;0)*(機器台帳!$F$2:$F$400&lt;&gt;"")*(機器台帳!$C$2:$C$400&lt;=25)*(機器台帳!$C$2:$C$400+機器台帳!$D$2:$D$400-1&gt;=25))&gt;1," 他"&amp;(SUMPRODUCT((機器台帳!$A$2:$A$400="E24-S8-4")*((機器台帳!$B$2:$B$400="背面")+(機器台帳!$B$2:$B$400="両面")&gt;0)*(機器台帳!$F$2:$F$400&lt;&gt;"")*(機器台帳!$C$2:$C$400&lt;=25)*(機器台帳!$C$2:$C$400+機器台帳!$D$2:$D$400-1&gt;=25))-1)&amp;"台",""))</f>
        <v/>
      </c>
      <c r="Q26">
        <f>IF(SUMPRODUCT((機器台帳!$A$2:$A$400="E24-S8-4")*((機器台帳!$B$2:$B$400="背面")+(機器台帳!$B$2:$B$400="両面")&gt;0)*(機器台帳!$F$2:$F$400&lt;&gt;"")*(機器台帳!$C$2:$C$400&lt;=25)*(機器台帳!$C$2:$C$400+機器台帳!$D$2:$D$400-1&gt;=25))=0,"",INDEX(機器台帳!$I$2:$I$400,MATCH(1,INDEX((機器台帳!$A$2:$A$400="E24-S8-4")*((機器台帳!$B$2:$B$400="背面")+(機器台帳!$B$2:$B$400="両面")&gt;0)*(機器台帳!$F$2:$F$400&lt;&gt;"")*(機器台帳!$C$2:$C$400&lt;=25)*(機器台帳!$C$2:$C$400+機器台帳!$D$2:$D$400-1&gt;=25),0),0))&amp;IF(INDEX(機器台帳!$Y$2:$Y$400,MATCH(1,INDEX((機器台帳!$A$2:$A$400="E24-S8-4")*((機器台帳!$B$2:$B$400="背面")+(機器台帳!$B$2:$B$400="両面")&gt;0)*(機器台帳!$F$2:$F$400&lt;&gt;"")*(機器台帳!$C$2:$C$400&lt;=25)*(機器台帳!$C$2:$C$400+機器台帳!$D$2:$D$400-1&gt;=25),0),0))=0,"|未記入",""))</f>
        <v/>
      </c>
      <c r="R26" s="12">
        <f>IF(SUMPRODUCT((機器台帳!$A$2:$A$400="E24-S8-5")*((機器台帳!$B$2:$B$400="前面")+(機器台帳!$B$2:$B$400="両面")&gt;0)*(機器台帳!$F$2:$F$400&lt;&gt;"")*(機器台帳!$C$2:$C$400&lt;=25)*(機器台帳!$C$2:$C$400+機器台帳!$D$2:$D$400-1&gt;=25))=0,"",INDEX(機器台帳!$F$2:$F$400,MATCH(1,INDEX((機器台帳!$A$2:$A$400="E24-S8-5")*((機器台帳!$B$2:$B$400="前面")+(機器台帳!$B$2:$B$400="両面")&gt;0)*(機器台帳!$F$2:$F$400&lt;&gt;"")*(機器台帳!$C$2:$C$400&lt;=25)*(機器台帳!$C$2:$C$400+機器台帳!$D$2:$D$400-1&gt;=25),0),0))&amp;IF(INDEX(機器台帳!$G$2:$G$400,MATCH(1,INDEX((機器台帳!$A$2:$A$400="E24-S8-5")*((機器台帳!$B$2:$B$400="前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-5")*((機器台帳!$B$2:$B$400="前面")+(機器台帳!$B$2:$B$400="両面")&gt;0)*(機器台帳!$F$2:$F$400&lt;&gt;"")*(機器台帳!$C$2:$C$400&lt;=25)*(機器台帳!$C$2:$C$400+機器台帳!$D$2:$D$400-1&gt;=25),0),0)))&amp;IF(SUMPRODUCT((機器台帳!$A$2:$A$400="E24-S8-5")*((機器台帳!$B$2:$B$400="前面")+(機器台帳!$B$2:$B$400="両面")&gt;0)*(機器台帳!$F$2:$F$400&lt;&gt;"")*(機器台帳!$C$2:$C$400&lt;=25)*(機器台帳!$C$2:$C$400+機器台帳!$D$2:$D$400-1&gt;=25))&gt;1," 他"&amp;(SUMPRODUCT((機器台帳!$A$2:$A$400="E24-S8-5")*((機器台帳!$B$2:$B$400="前面")+(機器台帳!$B$2:$B$400="両面")&gt;0)*(機器台帳!$F$2:$F$400&lt;&gt;"")*(機器台帳!$C$2:$C$400&lt;=25)*(機器台帳!$C$2:$C$400+機器台帳!$D$2:$D$400-1&gt;=25))-1)&amp;"台",""))</f>
        <v/>
      </c>
      <c r="S26">
        <f>IF(SUMPRODUCT((機器台帳!$A$2:$A$400="E24-S8-5")*((機器台帳!$B$2:$B$400="前面")+(機器台帳!$B$2:$B$400="両面")&gt;0)*(機器台帳!$F$2:$F$400&lt;&gt;"")*(機器台帳!$C$2:$C$400&lt;=25)*(機器台帳!$C$2:$C$400+機器台帳!$D$2:$D$400-1&gt;=25))=0,"",INDEX(機器台帳!$I$2:$I$400,MATCH(1,INDEX((機器台帳!$A$2:$A$400="E24-S8-5")*((機器台帳!$B$2:$B$400="前面")+(機器台帳!$B$2:$B$400="両面")&gt;0)*(機器台帳!$F$2:$F$400&lt;&gt;"")*(機器台帳!$C$2:$C$400&lt;=25)*(機器台帳!$C$2:$C$400+機器台帳!$D$2:$D$400-1&gt;=25),0),0))&amp;IF(INDEX(機器台帳!$Y$2:$Y$400,MATCH(1,INDEX((機器台帳!$A$2:$A$400="E24-S8-5")*((機器台帳!$B$2:$B$400="前面")+(機器台帳!$B$2:$B$400="両面")&gt;0)*(機器台帳!$F$2:$F$400&lt;&gt;"")*(機器台帳!$C$2:$C$400&lt;=25)*(機器台帳!$C$2:$C$400+機器台帳!$D$2:$D$400-1&gt;=25),0),0))=0,"|未記入",""))</f>
        <v/>
      </c>
      <c r="T26" s="12">
        <f>IF(SUMPRODUCT((機器台帳!$A$2:$A$400="E24-S8-5")*((機器台帳!$B$2:$B$400="背面")+(機器台帳!$B$2:$B$400="両面")&gt;0)*(機器台帳!$F$2:$F$400&lt;&gt;"")*(機器台帳!$C$2:$C$400&lt;=25)*(機器台帳!$C$2:$C$400+機器台帳!$D$2:$D$400-1&gt;=25))=0,"",INDEX(機器台帳!$F$2:$F$400,MATCH(1,INDEX((機器台帳!$A$2:$A$400="E24-S8-5")*((機器台帳!$B$2:$B$400="背面")+(機器台帳!$B$2:$B$400="両面")&gt;0)*(機器台帳!$F$2:$F$400&lt;&gt;"")*(機器台帳!$C$2:$C$400&lt;=25)*(機器台帳!$C$2:$C$400+機器台帳!$D$2:$D$400-1&gt;=25),0),0))&amp;IF(INDEX(機器台帳!$G$2:$G$400,MATCH(1,INDEX((機器台帳!$A$2:$A$400="E24-S8-5")*((機器台帳!$B$2:$B$400="背面")+(機器台帳!$B$2:$B$400="両面")&gt;0)*(機器台帳!$F$2:$F$400&lt;&gt;"")*(機器台帳!$C$2:$C$400&lt;=25)*(機器台帳!$C$2:$C$400+機器台帳!$D$2:$D$400-1&gt;=25),0),0))=""," "," "&amp;INDEX(機器台帳!$G$2:$G$400,MATCH(1,INDEX((機器台帳!$A$2:$A$400="E24-S8-5")*((機器台帳!$B$2:$B$400="背面")+(機器台帳!$B$2:$B$400="両面")&gt;0)*(機器台帳!$F$2:$F$400&lt;&gt;"")*(機器台帳!$C$2:$C$400&lt;=25)*(機器台帳!$C$2:$C$400+機器台帳!$D$2:$D$400-1&gt;=25),0),0)))&amp;IF(SUMPRODUCT((機器台帳!$A$2:$A$400="E24-S8-5")*((機器台帳!$B$2:$B$400="背面")+(機器台帳!$B$2:$B$400="両面")&gt;0)*(機器台帳!$F$2:$F$400&lt;&gt;"")*(機器台帳!$C$2:$C$400&lt;=25)*(機器台帳!$C$2:$C$400+機器台帳!$D$2:$D$400-1&gt;=25))&gt;1," 他"&amp;(SUMPRODUCT((機器台帳!$A$2:$A$400="E24-S8-5")*((機器台帳!$B$2:$B$400="背面")+(機器台帳!$B$2:$B$400="両面")&gt;0)*(機器台帳!$F$2:$F$400&lt;&gt;"")*(機器台帳!$C$2:$C$400&lt;=25)*(機器台帳!$C$2:$C$400+機器台帳!$D$2:$D$400-1&gt;=25))-1)&amp;"台",""))</f>
        <v/>
      </c>
      <c r="U26">
        <f>IF(SUMPRODUCT((機器台帳!$A$2:$A$400="E24-S8-5")*((機器台帳!$B$2:$B$400="背面")+(機器台帳!$B$2:$B$400="両面")&gt;0)*(機器台帳!$F$2:$F$400&lt;&gt;"")*(機器台帳!$C$2:$C$400&lt;=25)*(機器台帳!$C$2:$C$400+機器台帳!$D$2:$D$400-1&gt;=25))=0,"",INDEX(機器台帳!$I$2:$I$400,MATCH(1,INDEX((機器台帳!$A$2:$A$400="E24-S8-5")*((機器台帳!$B$2:$B$400="背面")+(機器台帳!$B$2:$B$400="両面")&gt;0)*(機器台帳!$F$2:$F$400&lt;&gt;"")*(機器台帳!$C$2:$C$400&lt;=25)*(機器台帳!$C$2:$C$400+機器台帳!$D$2:$D$400-1&gt;=25),0),0))&amp;IF(INDEX(機器台帳!$Y$2:$Y$400,MATCH(1,INDEX((機器台帳!$A$2:$A$400="E24-S8-5")*((機器台帳!$B$2:$B$400="背面")+(機器台帳!$B$2:$B$400="両面")&gt;0)*(機器台帳!$F$2:$F$400&lt;&gt;"")*(機器台帳!$C$2:$C$400&lt;=25)*(機器台帳!$C$2:$C$400+機器台帳!$D$2:$D$400-1&gt;=25),0),0))=0,"|未記入",""))</f>
        <v/>
      </c>
      <c r="V26" s="12">
        <f>IF(SUMPRODUCT((機器台帳!$A$2:$A$400="E24-S6-1")*((機器台帳!$B$2:$B$400="前面")+(機器台帳!$B$2:$B$400="両面")&gt;0)*(機器台帳!$F$2:$F$400&lt;&gt;"")*(機器台帳!$C$2:$C$400&lt;=25)*(機器台帳!$C$2:$C$400+機器台帳!$D$2:$D$400-1&gt;=25))=0,"",INDEX(機器台帳!$F$2:$F$400,MATCH(1,INDEX((機器台帳!$A$2:$A$400="E24-S6-1")*((機器台帳!$B$2:$B$400="前面")+(機器台帳!$B$2:$B$400="両面")&gt;0)*(機器台帳!$F$2:$F$400&lt;&gt;"")*(機器台帳!$C$2:$C$400&lt;=25)*(機器台帳!$C$2:$C$400+機器台帳!$D$2:$D$400-1&gt;=25),0),0))&amp;IF(INDEX(機器台帳!$G$2:$G$400,MATCH(1,INDEX((機器台帳!$A$2:$A$400="E24-S6-1")*((機器台帳!$B$2:$B$400="前面")+(機器台帳!$B$2:$B$400="両面")&gt;0)*(機器台帳!$F$2:$F$400&lt;&gt;"")*(機器台帳!$C$2:$C$400&lt;=25)*(機器台帳!$C$2:$C$400+機器台帳!$D$2:$D$400-1&gt;=25),0),0))=""," "," "&amp;INDEX(機器台帳!$G$2:$G$400,MATCH(1,INDEX((機器台帳!$A$2:$A$400="E24-S6-1")*((機器台帳!$B$2:$B$400="前面")+(機器台帳!$B$2:$B$400="両面")&gt;0)*(機器台帳!$F$2:$F$400&lt;&gt;"")*(機器台帳!$C$2:$C$400&lt;=25)*(機器台帳!$C$2:$C$400+機器台帳!$D$2:$D$400-1&gt;=25),0),0)))&amp;IF(SUMPRODUCT((機器台帳!$A$2:$A$400="E24-S6-1")*((機器台帳!$B$2:$B$400="前面")+(機器台帳!$B$2:$B$400="両面")&gt;0)*(機器台帳!$F$2:$F$400&lt;&gt;"")*(機器台帳!$C$2:$C$400&lt;=25)*(機器台帳!$C$2:$C$400+機器台帳!$D$2:$D$400-1&gt;=25))&gt;1," 他"&amp;(SUMPRODUCT((機器台帳!$A$2:$A$400="E24-S6-1")*((機器台帳!$B$2:$B$400="前面")+(機器台帳!$B$2:$B$400="両面")&gt;0)*(機器台帳!$F$2:$F$400&lt;&gt;"")*(機器台帳!$C$2:$C$400&lt;=25)*(機器台帳!$C$2:$C$400+機器台帳!$D$2:$D$400-1&gt;=25))-1)&amp;"台",""))</f>
        <v/>
      </c>
      <c r="W26">
        <f>IF(SUMPRODUCT((機器台帳!$A$2:$A$400="E24-S6-1")*((機器台帳!$B$2:$B$400="前面")+(機器台帳!$B$2:$B$400="両面")&gt;0)*(機器台帳!$F$2:$F$400&lt;&gt;"")*(機器台帳!$C$2:$C$400&lt;=25)*(機器台帳!$C$2:$C$400+機器台帳!$D$2:$D$400-1&gt;=25))=0,"",INDEX(機器台帳!$I$2:$I$400,MATCH(1,INDEX((機器台帳!$A$2:$A$400="E24-S6-1")*((機器台帳!$B$2:$B$400="前面")+(機器台帳!$B$2:$B$400="両面")&gt;0)*(機器台帳!$F$2:$F$400&lt;&gt;"")*(機器台帳!$C$2:$C$400&lt;=25)*(機器台帳!$C$2:$C$400+機器台帳!$D$2:$D$400-1&gt;=25),0),0))&amp;IF(INDEX(機器台帳!$Y$2:$Y$400,MATCH(1,INDEX((機器台帳!$A$2:$A$400="E24-S6-1")*((機器台帳!$B$2:$B$400="前面")+(機器台帳!$B$2:$B$400="両面")&gt;0)*(機器台帳!$F$2:$F$400&lt;&gt;"")*(機器台帳!$C$2:$C$400&lt;=25)*(機器台帳!$C$2:$C$400+機器台帳!$D$2:$D$400-1&gt;=25),0),0))=0,"|未記入",""))</f>
        <v/>
      </c>
      <c r="X26" s="12">
        <f>IF(SUMPRODUCT((機器台帳!$A$2:$A$400="E24-S6-1")*((機器台帳!$B$2:$B$400="背面")+(機器台帳!$B$2:$B$400="両面")&gt;0)*(機器台帳!$F$2:$F$400&lt;&gt;"")*(機器台帳!$C$2:$C$400&lt;=25)*(機器台帳!$C$2:$C$400+機器台帳!$D$2:$D$400-1&gt;=25))=0,"",INDEX(機器台帳!$F$2:$F$400,MATCH(1,INDEX((機器台帳!$A$2:$A$400="E24-S6-1")*((機器台帳!$B$2:$B$400="背面")+(機器台帳!$B$2:$B$400="両面")&gt;0)*(機器台帳!$F$2:$F$400&lt;&gt;"")*(機器台帳!$C$2:$C$400&lt;=25)*(機器台帳!$C$2:$C$400+機器台帳!$D$2:$D$400-1&gt;=25),0),0))&amp;IF(INDEX(機器台帳!$G$2:$G$400,MATCH(1,INDEX((機器台帳!$A$2:$A$400="E24-S6-1")*((機器台帳!$B$2:$B$400="背面")+(機器台帳!$B$2:$B$400="両面")&gt;0)*(機器台帳!$F$2:$F$400&lt;&gt;"")*(機器台帳!$C$2:$C$400&lt;=25)*(機器台帳!$C$2:$C$400+機器台帳!$D$2:$D$400-1&gt;=25),0),0))=""," "," "&amp;INDEX(機器台帳!$G$2:$G$400,MATCH(1,INDEX((機器台帳!$A$2:$A$400="E24-S6-1")*((機器台帳!$B$2:$B$400="背面")+(機器台帳!$B$2:$B$400="両面")&gt;0)*(機器台帳!$F$2:$F$400&lt;&gt;"")*(機器台帳!$C$2:$C$400&lt;=25)*(機器台帳!$C$2:$C$400+機器台帳!$D$2:$D$400-1&gt;=25),0),0)))&amp;IF(SUMPRODUCT((機器台帳!$A$2:$A$400="E24-S6-1")*((機器台帳!$B$2:$B$400="背面")+(機器台帳!$B$2:$B$400="両面")&gt;0)*(機器台帳!$F$2:$F$400&lt;&gt;"")*(機器台帳!$C$2:$C$400&lt;=25)*(機器台帳!$C$2:$C$400+機器台帳!$D$2:$D$400-1&gt;=25))&gt;1," 他"&amp;(SUMPRODUCT((機器台帳!$A$2:$A$400="E24-S6-1")*((機器台帳!$B$2:$B$400="背面")+(機器台帳!$B$2:$B$400="両面")&gt;0)*(機器台帳!$F$2:$F$400&lt;&gt;"")*(機器台帳!$C$2:$C$400&lt;=25)*(機器台帳!$C$2:$C$400+機器台帳!$D$2:$D$400-1&gt;=25))-1)&amp;"台",""))</f>
        <v/>
      </c>
      <c r="Y26">
        <f>IF(SUMPRODUCT((機器台帳!$A$2:$A$400="E24-S6-1")*((機器台帳!$B$2:$B$400="背面")+(機器台帳!$B$2:$B$400="両面")&gt;0)*(機器台帳!$F$2:$F$400&lt;&gt;"")*(機器台帳!$C$2:$C$400&lt;=25)*(機器台帳!$C$2:$C$400+機器台帳!$D$2:$D$400-1&gt;=25))=0,"",INDEX(機器台帳!$I$2:$I$400,MATCH(1,INDEX((機器台帳!$A$2:$A$400="E24-S6-1")*((機器台帳!$B$2:$B$400="背面")+(機器台帳!$B$2:$B$400="両面")&gt;0)*(機器台帳!$F$2:$F$400&lt;&gt;"")*(機器台帳!$C$2:$C$400&lt;=25)*(機器台帳!$C$2:$C$400+機器台帳!$D$2:$D$400-1&gt;=25),0),0))&amp;IF(INDEX(機器台帳!$Y$2:$Y$400,MATCH(1,INDEX((機器台帳!$A$2:$A$400="E24-S6-1")*((機器台帳!$B$2:$B$400="背面")+(機器台帳!$B$2:$B$400="両面")&gt;0)*(機器台帳!$F$2:$F$400&lt;&gt;"")*(機器台帳!$C$2:$C$400&lt;=25)*(機器台帳!$C$2:$C$400+機器台帳!$D$2:$D$400-1&gt;=25),0),0))=0,"|未記入",""))</f>
        <v/>
      </c>
    </row>
    <row r="27">
      <c r="A27" s="11" t="n">
        <v>24</v>
      </c>
      <c r="B27" s="12">
        <f>IF(SUMPRODUCT((機器台帳!$A$2:$A$400="E24-S8-1")*((機器台帳!$B$2:$B$400="前面")+(機器台帳!$B$2:$B$400="両面")&gt;0)*(機器台帳!$F$2:$F$400&lt;&gt;"")*(機器台帳!$C$2:$C$400&lt;=24)*(機器台帳!$C$2:$C$400+機器台帳!$D$2:$D$400-1&gt;=24))=0,"",INDEX(機器台帳!$F$2:$F$400,MATCH(1,INDEX((機器台帳!$A$2:$A$400="E24-S8-1")*((機器台帳!$B$2:$B$400="前面")+(機器台帳!$B$2:$B$400="両面")&gt;0)*(機器台帳!$F$2:$F$400&lt;&gt;"")*(機器台帳!$C$2:$C$400&lt;=24)*(機器台帳!$C$2:$C$400+機器台帳!$D$2:$D$400-1&gt;=24),0),0))&amp;IF(INDEX(機器台帳!$G$2:$G$400,MATCH(1,INDEX((機器台帳!$A$2:$A$400="E24-S8-1")*((機器台帳!$B$2:$B$400="前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-1")*((機器台帳!$B$2:$B$400="前面")+(機器台帳!$B$2:$B$400="両面")&gt;0)*(機器台帳!$F$2:$F$400&lt;&gt;"")*(機器台帳!$C$2:$C$400&lt;=24)*(機器台帳!$C$2:$C$400+機器台帳!$D$2:$D$400-1&gt;=24),0),0)))&amp;IF(SUMPRODUCT((機器台帳!$A$2:$A$400="E24-S8-1")*((機器台帳!$B$2:$B$400="前面")+(機器台帳!$B$2:$B$400="両面")&gt;0)*(機器台帳!$F$2:$F$400&lt;&gt;"")*(機器台帳!$C$2:$C$400&lt;=24)*(機器台帳!$C$2:$C$400+機器台帳!$D$2:$D$400-1&gt;=24))&gt;1," 他"&amp;(SUMPRODUCT((機器台帳!$A$2:$A$400="E24-S8-1")*((機器台帳!$B$2:$B$400="前面")+(機器台帳!$B$2:$B$400="両面")&gt;0)*(機器台帳!$F$2:$F$400&lt;&gt;"")*(機器台帳!$C$2:$C$400&lt;=24)*(機器台帳!$C$2:$C$400+機器台帳!$D$2:$D$400-1&gt;=24))-1)&amp;"台",""))</f>
        <v/>
      </c>
      <c r="C27">
        <f>IF(SUMPRODUCT((機器台帳!$A$2:$A$400="E24-S8-1")*((機器台帳!$B$2:$B$400="前面")+(機器台帳!$B$2:$B$400="両面")&gt;0)*(機器台帳!$F$2:$F$400&lt;&gt;"")*(機器台帳!$C$2:$C$400&lt;=24)*(機器台帳!$C$2:$C$400+機器台帳!$D$2:$D$400-1&gt;=24))=0,"",INDEX(機器台帳!$I$2:$I$400,MATCH(1,INDEX((機器台帳!$A$2:$A$400="E24-S8-1")*((機器台帳!$B$2:$B$400="前面")+(機器台帳!$B$2:$B$400="両面")&gt;0)*(機器台帳!$F$2:$F$400&lt;&gt;"")*(機器台帳!$C$2:$C$400&lt;=24)*(機器台帳!$C$2:$C$400+機器台帳!$D$2:$D$400-1&gt;=24),0),0))&amp;IF(INDEX(機器台帳!$Y$2:$Y$400,MATCH(1,INDEX((機器台帳!$A$2:$A$400="E24-S8-1")*((機器台帳!$B$2:$B$400="前面")+(機器台帳!$B$2:$B$400="両面")&gt;0)*(機器台帳!$F$2:$F$400&lt;&gt;"")*(機器台帳!$C$2:$C$400&lt;=24)*(機器台帳!$C$2:$C$400+機器台帳!$D$2:$D$400-1&gt;=24),0),0))=0,"|未記入",""))</f>
        <v/>
      </c>
      <c r="D27" s="12">
        <f>IF(SUMPRODUCT((機器台帳!$A$2:$A$400="E24-S8-1")*((機器台帳!$B$2:$B$400="背面")+(機器台帳!$B$2:$B$400="両面")&gt;0)*(機器台帳!$F$2:$F$400&lt;&gt;"")*(機器台帳!$C$2:$C$400&lt;=24)*(機器台帳!$C$2:$C$400+機器台帳!$D$2:$D$400-1&gt;=24))=0,"",INDEX(機器台帳!$F$2:$F$400,MATCH(1,INDEX((機器台帳!$A$2:$A$400="E24-S8-1")*((機器台帳!$B$2:$B$400="背面")+(機器台帳!$B$2:$B$400="両面")&gt;0)*(機器台帳!$F$2:$F$400&lt;&gt;"")*(機器台帳!$C$2:$C$400&lt;=24)*(機器台帳!$C$2:$C$400+機器台帳!$D$2:$D$400-1&gt;=24),0),0))&amp;IF(INDEX(機器台帳!$G$2:$G$400,MATCH(1,INDEX((機器台帳!$A$2:$A$400="E24-S8-1")*((機器台帳!$B$2:$B$400="背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-1")*((機器台帳!$B$2:$B$400="背面")+(機器台帳!$B$2:$B$400="両面")&gt;0)*(機器台帳!$F$2:$F$400&lt;&gt;"")*(機器台帳!$C$2:$C$400&lt;=24)*(機器台帳!$C$2:$C$400+機器台帳!$D$2:$D$400-1&gt;=24),0),0)))&amp;IF(SUMPRODUCT((機器台帳!$A$2:$A$400="E24-S8-1")*((機器台帳!$B$2:$B$400="背面")+(機器台帳!$B$2:$B$400="両面")&gt;0)*(機器台帳!$F$2:$F$400&lt;&gt;"")*(機器台帳!$C$2:$C$400&lt;=24)*(機器台帳!$C$2:$C$400+機器台帳!$D$2:$D$400-1&gt;=24))&gt;1," 他"&amp;(SUMPRODUCT((機器台帳!$A$2:$A$400="E24-S8-1")*((機器台帳!$B$2:$B$400="背面")+(機器台帳!$B$2:$B$400="両面")&gt;0)*(機器台帳!$F$2:$F$400&lt;&gt;"")*(機器台帳!$C$2:$C$400&lt;=24)*(機器台帳!$C$2:$C$400+機器台帳!$D$2:$D$400-1&gt;=24))-1)&amp;"台",""))</f>
        <v/>
      </c>
      <c r="E27">
        <f>IF(SUMPRODUCT((機器台帳!$A$2:$A$400="E24-S8-1")*((機器台帳!$B$2:$B$400="背面")+(機器台帳!$B$2:$B$400="両面")&gt;0)*(機器台帳!$F$2:$F$400&lt;&gt;"")*(機器台帳!$C$2:$C$400&lt;=24)*(機器台帳!$C$2:$C$400+機器台帳!$D$2:$D$400-1&gt;=24))=0,"",INDEX(機器台帳!$I$2:$I$400,MATCH(1,INDEX((機器台帳!$A$2:$A$400="E24-S8-1")*((機器台帳!$B$2:$B$400="背面")+(機器台帳!$B$2:$B$400="両面")&gt;0)*(機器台帳!$F$2:$F$400&lt;&gt;"")*(機器台帳!$C$2:$C$400&lt;=24)*(機器台帳!$C$2:$C$400+機器台帳!$D$2:$D$400-1&gt;=24),0),0))&amp;IF(INDEX(機器台帳!$Y$2:$Y$400,MATCH(1,INDEX((機器台帳!$A$2:$A$400="E24-S8-1")*((機器台帳!$B$2:$B$400="背面")+(機器台帳!$B$2:$B$400="両面")&gt;0)*(機器台帳!$F$2:$F$400&lt;&gt;"")*(機器台帳!$C$2:$C$400&lt;=24)*(機器台帳!$C$2:$C$400+機器台帳!$D$2:$D$400-1&gt;=24),0),0))=0,"|未記入",""))</f>
        <v/>
      </c>
      <c r="F27" s="12">
        <f>IF(SUMPRODUCT((機器台帳!$A$2:$A$400="E24-S8-2")*((機器台帳!$B$2:$B$400="前面")+(機器台帳!$B$2:$B$400="両面")&gt;0)*(機器台帳!$F$2:$F$400&lt;&gt;"")*(機器台帳!$C$2:$C$400&lt;=24)*(機器台帳!$C$2:$C$400+機器台帳!$D$2:$D$400-1&gt;=24))=0,"",INDEX(機器台帳!$F$2:$F$400,MATCH(1,INDEX((機器台帳!$A$2:$A$400="E24-S8-2")*((機器台帳!$B$2:$B$400="前面")+(機器台帳!$B$2:$B$400="両面")&gt;0)*(機器台帳!$F$2:$F$400&lt;&gt;"")*(機器台帳!$C$2:$C$400&lt;=24)*(機器台帳!$C$2:$C$400+機器台帳!$D$2:$D$400-1&gt;=24),0),0))&amp;IF(INDEX(機器台帳!$G$2:$G$400,MATCH(1,INDEX((機器台帳!$A$2:$A$400="E24-S8-2")*((機器台帳!$B$2:$B$400="前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-2")*((機器台帳!$B$2:$B$400="前面")+(機器台帳!$B$2:$B$400="両面")&gt;0)*(機器台帳!$F$2:$F$400&lt;&gt;"")*(機器台帳!$C$2:$C$400&lt;=24)*(機器台帳!$C$2:$C$400+機器台帳!$D$2:$D$400-1&gt;=24),0),0)))&amp;IF(SUMPRODUCT((機器台帳!$A$2:$A$400="E24-S8-2")*((機器台帳!$B$2:$B$400="前面")+(機器台帳!$B$2:$B$400="両面")&gt;0)*(機器台帳!$F$2:$F$400&lt;&gt;"")*(機器台帳!$C$2:$C$400&lt;=24)*(機器台帳!$C$2:$C$400+機器台帳!$D$2:$D$400-1&gt;=24))&gt;1," 他"&amp;(SUMPRODUCT((機器台帳!$A$2:$A$400="E24-S8-2")*((機器台帳!$B$2:$B$400="前面")+(機器台帳!$B$2:$B$400="両面")&gt;0)*(機器台帳!$F$2:$F$400&lt;&gt;"")*(機器台帳!$C$2:$C$400&lt;=24)*(機器台帳!$C$2:$C$400+機器台帳!$D$2:$D$400-1&gt;=24))-1)&amp;"台",""))</f>
        <v/>
      </c>
      <c r="G27">
        <f>IF(SUMPRODUCT((機器台帳!$A$2:$A$400="E24-S8-2")*((機器台帳!$B$2:$B$400="前面")+(機器台帳!$B$2:$B$400="両面")&gt;0)*(機器台帳!$F$2:$F$400&lt;&gt;"")*(機器台帳!$C$2:$C$400&lt;=24)*(機器台帳!$C$2:$C$400+機器台帳!$D$2:$D$400-1&gt;=24))=0,"",INDEX(機器台帳!$I$2:$I$400,MATCH(1,INDEX((機器台帳!$A$2:$A$400="E24-S8-2")*((機器台帳!$B$2:$B$400="前面")+(機器台帳!$B$2:$B$400="両面")&gt;0)*(機器台帳!$F$2:$F$400&lt;&gt;"")*(機器台帳!$C$2:$C$400&lt;=24)*(機器台帳!$C$2:$C$400+機器台帳!$D$2:$D$400-1&gt;=24),0),0))&amp;IF(INDEX(機器台帳!$Y$2:$Y$400,MATCH(1,INDEX((機器台帳!$A$2:$A$400="E24-S8-2")*((機器台帳!$B$2:$B$400="前面")+(機器台帳!$B$2:$B$400="両面")&gt;0)*(機器台帳!$F$2:$F$400&lt;&gt;"")*(機器台帳!$C$2:$C$400&lt;=24)*(機器台帳!$C$2:$C$400+機器台帳!$D$2:$D$400-1&gt;=24),0),0))=0,"|未記入",""))</f>
        <v/>
      </c>
      <c r="H27" s="12">
        <f>IF(SUMPRODUCT((機器台帳!$A$2:$A$400="E24-S8-2")*((機器台帳!$B$2:$B$400="背面")+(機器台帳!$B$2:$B$400="両面")&gt;0)*(機器台帳!$F$2:$F$400&lt;&gt;"")*(機器台帳!$C$2:$C$400&lt;=24)*(機器台帳!$C$2:$C$400+機器台帳!$D$2:$D$400-1&gt;=24))=0,"",INDEX(機器台帳!$F$2:$F$400,MATCH(1,INDEX((機器台帳!$A$2:$A$400="E24-S8-2")*((機器台帳!$B$2:$B$400="背面")+(機器台帳!$B$2:$B$400="両面")&gt;0)*(機器台帳!$F$2:$F$400&lt;&gt;"")*(機器台帳!$C$2:$C$400&lt;=24)*(機器台帳!$C$2:$C$400+機器台帳!$D$2:$D$400-1&gt;=24),0),0))&amp;IF(INDEX(機器台帳!$G$2:$G$400,MATCH(1,INDEX((機器台帳!$A$2:$A$400="E24-S8-2")*((機器台帳!$B$2:$B$400="背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-2")*((機器台帳!$B$2:$B$400="背面")+(機器台帳!$B$2:$B$400="両面")&gt;0)*(機器台帳!$F$2:$F$400&lt;&gt;"")*(機器台帳!$C$2:$C$400&lt;=24)*(機器台帳!$C$2:$C$400+機器台帳!$D$2:$D$400-1&gt;=24),0),0)))&amp;IF(SUMPRODUCT((機器台帳!$A$2:$A$400="E24-S8-2")*((機器台帳!$B$2:$B$400="背面")+(機器台帳!$B$2:$B$400="両面")&gt;0)*(機器台帳!$F$2:$F$400&lt;&gt;"")*(機器台帳!$C$2:$C$400&lt;=24)*(機器台帳!$C$2:$C$400+機器台帳!$D$2:$D$400-1&gt;=24))&gt;1," 他"&amp;(SUMPRODUCT((機器台帳!$A$2:$A$400="E24-S8-2")*((機器台帳!$B$2:$B$400="背面")+(機器台帳!$B$2:$B$400="両面")&gt;0)*(機器台帳!$F$2:$F$400&lt;&gt;"")*(機器台帳!$C$2:$C$400&lt;=24)*(機器台帳!$C$2:$C$400+機器台帳!$D$2:$D$400-1&gt;=24))-1)&amp;"台",""))</f>
        <v/>
      </c>
      <c r="I27">
        <f>IF(SUMPRODUCT((機器台帳!$A$2:$A$400="E24-S8-2")*((機器台帳!$B$2:$B$400="背面")+(機器台帳!$B$2:$B$400="両面")&gt;0)*(機器台帳!$F$2:$F$400&lt;&gt;"")*(機器台帳!$C$2:$C$400&lt;=24)*(機器台帳!$C$2:$C$400+機器台帳!$D$2:$D$400-1&gt;=24))=0,"",INDEX(機器台帳!$I$2:$I$400,MATCH(1,INDEX((機器台帳!$A$2:$A$400="E24-S8-2")*((機器台帳!$B$2:$B$400="背面")+(機器台帳!$B$2:$B$400="両面")&gt;0)*(機器台帳!$F$2:$F$400&lt;&gt;"")*(機器台帳!$C$2:$C$400&lt;=24)*(機器台帳!$C$2:$C$400+機器台帳!$D$2:$D$400-1&gt;=24),0),0))&amp;IF(INDEX(機器台帳!$Y$2:$Y$400,MATCH(1,INDEX((機器台帳!$A$2:$A$400="E24-S8-2")*((機器台帳!$B$2:$B$400="背面")+(機器台帳!$B$2:$B$400="両面")&gt;0)*(機器台帳!$F$2:$F$400&lt;&gt;"")*(機器台帳!$C$2:$C$400&lt;=24)*(機器台帳!$C$2:$C$400+機器台帳!$D$2:$D$400-1&gt;=24),0),0))=0,"|未記入",""))</f>
        <v/>
      </c>
      <c r="J27" s="12">
        <f>IF(SUMPRODUCT((機器台帳!$A$2:$A$400="E24-S8-3")*((機器台帳!$B$2:$B$400="前面")+(機器台帳!$B$2:$B$400="両面")&gt;0)*(機器台帳!$F$2:$F$400&lt;&gt;"")*(機器台帳!$C$2:$C$400&lt;=24)*(機器台帳!$C$2:$C$400+機器台帳!$D$2:$D$400-1&gt;=24))=0,"",INDEX(機器台帳!$F$2:$F$400,MATCH(1,INDEX((機器台帳!$A$2:$A$400="E24-S8-3")*((機器台帳!$B$2:$B$400="前面")+(機器台帳!$B$2:$B$400="両面")&gt;0)*(機器台帳!$F$2:$F$400&lt;&gt;"")*(機器台帳!$C$2:$C$400&lt;=24)*(機器台帳!$C$2:$C$400+機器台帳!$D$2:$D$400-1&gt;=24),0),0))&amp;IF(INDEX(機器台帳!$G$2:$G$400,MATCH(1,INDEX((機器台帳!$A$2:$A$400="E24-S8-3")*((機器台帳!$B$2:$B$400="前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-3")*((機器台帳!$B$2:$B$400="前面")+(機器台帳!$B$2:$B$400="両面")&gt;0)*(機器台帳!$F$2:$F$400&lt;&gt;"")*(機器台帳!$C$2:$C$400&lt;=24)*(機器台帳!$C$2:$C$400+機器台帳!$D$2:$D$400-1&gt;=24),0),0)))&amp;IF(SUMPRODUCT((機器台帳!$A$2:$A$400="E24-S8-3")*((機器台帳!$B$2:$B$400="前面")+(機器台帳!$B$2:$B$400="両面")&gt;0)*(機器台帳!$F$2:$F$400&lt;&gt;"")*(機器台帳!$C$2:$C$400&lt;=24)*(機器台帳!$C$2:$C$400+機器台帳!$D$2:$D$400-1&gt;=24))&gt;1," 他"&amp;(SUMPRODUCT((機器台帳!$A$2:$A$400="E24-S8-3")*((機器台帳!$B$2:$B$400="前面")+(機器台帳!$B$2:$B$400="両面")&gt;0)*(機器台帳!$F$2:$F$400&lt;&gt;"")*(機器台帳!$C$2:$C$400&lt;=24)*(機器台帳!$C$2:$C$400+機器台帳!$D$2:$D$400-1&gt;=24))-1)&amp;"台",""))</f>
        <v/>
      </c>
      <c r="K27">
        <f>IF(SUMPRODUCT((機器台帳!$A$2:$A$400="E24-S8-3")*((機器台帳!$B$2:$B$400="前面")+(機器台帳!$B$2:$B$400="両面")&gt;0)*(機器台帳!$F$2:$F$400&lt;&gt;"")*(機器台帳!$C$2:$C$400&lt;=24)*(機器台帳!$C$2:$C$400+機器台帳!$D$2:$D$400-1&gt;=24))=0,"",INDEX(機器台帳!$I$2:$I$400,MATCH(1,INDEX((機器台帳!$A$2:$A$400="E24-S8-3")*((機器台帳!$B$2:$B$400="前面")+(機器台帳!$B$2:$B$400="両面")&gt;0)*(機器台帳!$F$2:$F$400&lt;&gt;"")*(機器台帳!$C$2:$C$400&lt;=24)*(機器台帳!$C$2:$C$400+機器台帳!$D$2:$D$400-1&gt;=24),0),0))&amp;IF(INDEX(機器台帳!$Y$2:$Y$400,MATCH(1,INDEX((機器台帳!$A$2:$A$400="E24-S8-3")*((機器台帳!$B$2:$B$400="前面")+(機器台帳!$B$2:$B$400="両面")&gt;0)*(機器台帳!$F$2:$F$400&lt;&gt;"")*(機器台帳!$C$2:$C$400&lt;=24)*(機器台帳!$C$2:$C$400+機器台帳!$D$2:$D$400-1&gt;=24),0),0))=0,"|未記入",""))</f>
        <v/>
      </c>
      <c r="L27" s="12">
        <f>IF(SUMPRODUCT((機器台帳!$A$2:$A$400="E24-S8-3")*((機器台帳!$B$2:$B$400="背面")+(機器台帳!$B$2:$B$400="両面")&gt;0)*(機器台帳!$F$2:$F$400&lt;&gt;"")*(機器台帳!$C$2:$C$400&lt;=24)*(機器台帳!$C$2:$C$400+機器台帳!$D$2:$D$400-1&gt;=24))=0,"",INDEX(機器台帳!$F$2:$F$400,MATCH(1,INDEX((機器台帳!$A$2:$A$400="E24-S8-3")*((機器台帳!$B$2:$B$400="背面")+(機器台帳!$B$2:$B$400="両面")&gt;0)*(機器台帳!$F$2:$F$400&lt;&gt;"")*(機器台帳!$C$2:$C$400&lt;=24)*(機器台帳!$C$2:$C$400+機器台帳!$D$2:$D$400-1&gt;=24),0),0))&amp;IF(INDEX(機器台帳!$G$2:$G$400,MATCH(1,INDEX((機器台帳!$A$2:$A$400="E24-S8-3")*((機器台帳!$B$2:$B$400="背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-3")*((機器台帳!$B$2:$B$400="背面")+(機器台帳!$B$2:$B$400="両面")&gt;0)*(機器台帳!$F$2:$F$400&lt;&gt;"")*(機器台帳!$C$2:$C$400&lt;=24)*(機器台帳!$C$2:$C$400+機器台帳!$D$2:$D$400-1&gt;=24),0),0)))&amp;IF(SUMPRODUCT((機器台帳!$A$2:$A$400="E24-S8-3")*((機器台帳!$B$2:$B$400="背面")+(機器台帳!$B$2:$B$400="両面")&gt;0)*(機器台帳!$F$2:$F$400&lt;&gt;"")*(機器台帳!$C$2:$C$400&lt;=24)*(機器台帳!$C$2:$C$400+機器台帳!$D$2:$D$400-1&gt;=24))&gt;1," 他"&amp;(SUMPRODUCT((機器台帳!$A$2:$A$400="E24-S8-3")*((機器台帳!$B$2:$B$400="背面")+(機器台帳!$B$2:$B$400="両面")&gt;0)*(機器台帳!$F$2:$F$400&lt;&gt;"")*(機器台帳!$C$2:$C$400&lt;=24)*(機器台帳!$C$2:$C$400+機器台帳!$D$2:$D$400-1&gt;=24))-1)&amp;"台",""))</f>
        <v/>
      </c>
      <c r="M27">
        <f>IF(SUMPRODUCT((機器台帳!$A$2:$A$400="E24-S8-3")*((機器台帳!$B$2:$B$400="背面")+(機器台帳!$B$2:$B$400="両面")&gt;0)*(機器台帳!$F$2:$F$400&lt;&gt;"")*(機器台帳!$C$2:$C$400&lt;=24)*(機器台帳!$C$2:$C$400+機器台帳!$D$2:$D$400-1&gt;=24))=0,"",INDEX(機器台帳!$I$2:$I$400,MATCH(1,INDEX((機器台帳!$A$2:$A$400="E24-S8-3")*((機器台帳!$B$2:$B$400="背面")+(機器台帳!$B$2:$B$400="両面")&gt;0)*(機器台帳!$F$2:$F$400&lt;&gt;"")*(機器台帳!$C$2:$C$400&lt;=24)*(機器台帳!$C$2:$C$400+機器台帳!$D$2:$D$400-1&gt;=24),0),0))&amp;IF(INDEX(機器台帳!$Y$2:$Y$400,MATCH(1,INDEX((機器台帳!$A$2:$A$400="E24-S8-3")*((機器台帳!$B$2:$B$400="背面")+(機器台帳!$B$2:$B$400="両面")&gt;0)*(機器台帳!$F$2:$F$400&lt;&gt;"")*(機器台帳!$C$2:$C$400&lt;=24)*(機器台帳!$C$2:$C$400+機器台帳!$D$2:$D$400-1&gt;=24),0),0))=0,"|未記入",""))</f>
        <v/>
      </c>
      <c r="N27" s="12">
        <f>IF(SUMPRODUCT((機器台帳!$A$2:$A$400="E24-S8-4")*((機器台帳!$B$2:$B$400="前面")+(機器台帳!$B$2:$B$400="両面")&gt;0)*(機器台帳!$F$2:$F$400&lt;&gt;"")*(機器台帳!$C$2:$C$400&lt;=24)*(機器台帳!$C$2:$C$400+機器台帳!$D$2:$D$400-1&gt;=24))=0,"",INDEX(機器台帳!$F$2:$F$400,MATCH(1,INDEX((機器台帳!$A$2:$A$400="E24-S8-4")*((機器台帳!$B$2:$B$400="前面")+(機器台帳!$B$2:$B$400="両面")&gt;0)*(機器台帳!$F$2:$F$400&lt;&gt;"")*(機器台帳!$C$2:$C$400&lt;=24)*(機器台帳!$C$2:$C$400+機器台帳!$D$2:$D$400-1&gt;=24),0),0))&amp;IF(INDEX(機器台帳!$G$2:$G$400,MATCH(1,INDEX((機器台帳!$A$2:$A$400="E24-S8-4")*((機器台帳!$B$2:$B$400="前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-4")*((機器台帳!$B$2:$B$400="前面")+(機器台帳!$B$2:$B$400="両面")&gt;0)*(機器台帳!$F$2:$F$400&lt;&gt;"")*(機器台帳!$C$2:$C$400&lt;=24)*(機器台帳!$C$2:$C$400+機器台帳!$D$2:$D$400-1&gt;=24),0),0)))&amp;IF(SUMPRODUCT((機器台帳!$A$2:$A$400="E24-S8-4")*((機器台帳!$B$2:$B$400="前面")+(機器台帳!$B$2:$B$400="両面")&gt;0)*(機器台帳!$F$2:$F$400&lt;&gt;"")*(機器台帳!$C$2:$C$400&lt;=24)*(機器台帳!$C$2:$C$400+機器台帳!$D$2:$D$400-1&gt;=24))&gt;1," 他"&amp;(SUMPRODUCT((機器台帳!$A$2:$A$400="E24-S8-4")*((機器台帳!$B$2:$B$400="前面")+(機器台帳!$B$2:$B$400="両面")&gt;0)*(機器台帳!$F$2:$F$400&lt;&gt;"")*(機器台帳!$C$2:$C$400&lt;=24)*(機器台帳!$C$2:$C$400+機器台帳!$D$2:$D$400-1&gt;=24))-1)&amp;"台",""))</f>
        <v/>
      </c>
      <c r="O27">
        <f>IF(SUMPRODUCT((機器台帳!$A$2:$A$400="E24-S8-4")*((機器台帳!$B$2:$B$400="前面")+(機器台帳!$B$2:$B$400="両面")&gt;0)*(機器台帳!$F$2:$F$400&lt;&gt;"")*(機器台帳!$C$2:$C$400&lt;=24)*(機器台帳!$C$2:$C$400+機器台帳!$D$2:$D$400-1&gt;=24))=0,"",INDEX(機器台帳!$I$2:$I$400,MATCH(1,INDEX((機器台帳!$A$2:$A$400="E24-S8-4")*((機器台帳!$B$2:$B$400="前面")+(機器台帳!$B$2:$B$400="両面")&gt;0)*(機器台帳!$F$2:$F$400&lt;&gt;"")*(機器台帳!$C$2:$C$400&lt;=24)*(機器台帳!$C$2:$C$400+機器台帳!$D$2:$D$400-1&gt;=24),0),0))&amp;IF(INDEX(機器台帳!$Y$2:$Y$400,MATCH(1,INDEX((機器台帳!$A$2:$A$400="E24-S8-4")*((機器台帳!$B$2:$B$400="前面")+(機器台帳!$B$2:$B$400="両面")&gt;0)*(機器台帳!$F$2:$F$400&lt;&gt;"")*(機器台帳!$C$2:$C$400&lt;=24)*(機器台帳!$C$2:$C$400+機器台帳!$D$2:$D$400-1&gt;=24),0),0))=0,"|未記入",""))</f>
        <v/>
      </c>
      <c r="P27" s="12">
        <f>IF(SUMPRODUCT((機器台帳!$A$2:$A$400="E24-S8-4")*((機器台帳!$B$2:$B$400="背面")+(機器台帳!$B$2:$B$400="両面")&gt;0)*(機器台帳!$F$2:$F$400&lt;&gt;"")*(機器台帳!$C$2:$C$400&lt;=24)*(機器台帳!$C$2:$C$400+機器台帳!$D$2:$D$400-1&gt;=24))=0,"",INDEX(機器台帳!$F$2:$F$400,MATCH(1,INDEX((機器台帳!$A$2:$A$400="E24-S8-4")*((機器台帳!$B$2:$B$400="背面")+(機器台帳!$B$2:$B$400="両面")&gt;0)*(機器台帳!$F$2:$F$400&lt;&gt;"")*(機器台帳!$C$2:$C$400&lt;=24)*(機器台帳!$C$2:$C$400+機器台帳!$D$2:$D$400-1&gt;=24),0),0))&amp;IF(INDEX(機器台帳!$G$2:$G$400,MATCH(1,INDEX((機器台帳!$A$2:$A$400="E24-S8-4")*((機器台帳!$B$2:$B$400="背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-4")*((機器台帳!$B$2:$B$400="背面")+(機器台帳!$B$2:$B$400="両面")&gt;0)*(機器台帳!$F$2:$F$400&lt;&gt;"")*(機器台帳!$C$2:$C$400&lt;=24)*(機器台帳!$C$2:$C$400+機器台帳!$D$2:$D$400-1&gt;=24),0),0)))&amp;IF(SUMPRODUCT((機器台帳!$A$2:$A$400="E24-S8-4")*((機器台帳!$B$2:$B$400="背面")+(機器台帳!$B$2:$B$400="両面")&gt;0)*(機器台帳!$F$2:$F$400&lt;&gt;"")*(機器台帳!$C$2:$C$400&lt;=24)*(機器台帳!$C$2:$C$400+機器台帳!$D$2:$D$400-1&gt;=24))&gt;1," 他"&amp;(SUMPRODUCT((機器台帳!$A$2:$A$400="E24-S8-4")*((機器台帳!$B$2:$B$400="背面")+(機器台帳!$B$2:$B$400="両面")&gt;0)*(機器台帳!$F$2:$F$400&lt;&gt;"")*(機器台帳!$C$2:$C$400&lt;=24)*(機器台帳!$C$2:$C$400+機器台帳!$D$2:$D$400-1&gt;=24))-1)&amp;"台",""))</f>
        <v/>
      </c>
      <c r="Q27">
        <f>IF(SUMPRODUCT((機器台帳!$A$2:$A$400="E24-S8-4")*((機器台帳!$B$2:$B$400="背面")+(機器台帳!$B$2:$B$400="両面")&gt;0)*(機器台帳!$F$2:$F$400&lt;&gt;"")*(機器台帳!$C$2:$C$400&lt;=24)*(機器台帳!$C$2:$C$400+機器台帳!$D$2:$D$400-1&gt;=24))=0,"",INDEX(機器台帳!$I$2:$I$400,MATCH(1,INDEX((機器台帳!$A$2:$A$400="E24-S8-4")*((機器台帳!$B$2:$B$400="背面")+(機器台帳!$B$2:$B$400="両面")&gt;0)*(機器台帳!$F$2:$F$400&lt;&gt;"")*(機器台帳!$C$2:$C$400&lt;=24)*(機器台帳!$C$2:$C$400+機器台帳!$D$2:$D$400-1&gt;=24),0),0))&amp;IF(INDEX(機器台帳!$Y$2:$Y$400,MATCH(1,INDEX((機器台帳!$A$2:$A$400="E24-S8-4")*((機器台帳!$B$2:$B$400="背面")+(機器台帳!$B$2:$B$400="両面")&gt;0)*(機器台帳!$F$2:$F$400&lt;&gt;"")*(機器台帳!$C$2:$C$400&lt;=24)*(機器台帳!$C$2:$C$400+機器台帳!$D$2:$D$400-1&gt;=24),0),0))=0,"|未記入",""))</f>
        <v/>
      </c>
      <c r="R27" s="12">
        <f>IF(SUMPRODUCT((機器台帳!$A$2:$A$400="E24-S8-5")*((機器台帳!$B$2:$B$400="前面")+(機器台帳!$B$2:$B$400="両面")&gt;0)*(機器台帳!$F$2:$F$400&lt;&gt;"")*(機器台帳!$C$2:$C$400&lt;=24)*(機器台帳!$C$2:$C$400+機器台帳!$D$2:$D$400-1&gt;=24))=0,"",INDEX(機器台帳!$F$2:$F$400,MATCH(1,INDEX((機器台帳!$A$2:$A$400="E24-S8-5")*((機器台帳!$B$2:$B$400="前面")+(機器台帳!$B$2:$B$400="両面")&gt;0)*(機器台帳!$F$2:$F$400&lt;&gt;"")*(機器台帳!$C$2:$C$400&lt;=24)*(機器台帳!$C$2:$C$400+機器台帳!$D$2:$D$400-1&gt;=24),0),0))&amp;IF(INDEX(機器台帳!$G$2:$G$400,MATCH(1,INDEX((機器台帳!$A$2:$A$400="E24-S8-5")*((機器台帳!$B$2:$B$400="前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-5")*((機器台帳!$B$2:$B$400="前面")+(機器台帳!$B$2:$B$400="両面")&gt;0)*(機器台帳!$F$2:$F$400&lt;&gt;"")*(機器台帳!$C$2:$C$400&lt;=24)*(機器台帳!$C$2:$C$400+機器台帳!$D$2:$D$400-1&gt;=24),0),0)))&amp;IF(SUMPRODUCT((機器台帳!$A$2:$A$400="E24-S8-5")*((機器台帳!$B$2:$B$400="前面")+(機器台帳!$B$2:$B$400="両面")&gt;0)*(機器台帳!$F$2:$F$400&lt;&gt;"")*(機器台帳!$C$2:$C$400&lt;=24)*(機器台帳!$C$2:$C$400+機器台帳!$D$2:$D$400-1&gt;=24))&gt;1," 他"&amp;(SUMPRODUCT((機器台帳!$A$2:$A$400="E24-S8-5")*((機器台帳!$B$2:$B$400="前面")+(機器台帳!$B$2:$B$400="両面")&gt;0)*(機器台帳!$F$2:$F$400&lt;&gt;"")*(機器台帳!$C$2:$C$400&lt;=24)*(機器台帳!$C$2:$C$400+機器台帳!$D$2:$D$400-1&gt;=24))-1)&amp;"台",""))</f>
        <v/>
      </c>
      <c r="S27">
        <f>IF(SUMPRODUCT((機器台帳!$A$2:$A$400="E24-S8-5")*((機器台帳!$B$2:$B$400="前面")+(機器台帳!$B$2:$B$400="両面")&gt;0)*(機器台帳!$F$2:$F$400&lt;&gt;"")*(機器台帳!$C$2:$C$400&lt;=24)*(機器台帳!$C$2:$C$400+機器台帳!$D$2:$D$400-1&gt;=24))=0,"",INDEX(機器台帳!$I$2:$I$400,MATCH(1,INDEX((機器台帳!$A$2:$A$400="E24-S8-5")*((機器台帳!$B$2:$B$400="前面")+(機器台帳!$B$2:$B$400="両面")&gt;0)*(機器台帳!$F$2:$F$400&lt;&gt;"")*(機器台帳!$C$2:$C$400&lt;=24)*(機器台帳!$C$2:$C$400+機器台帳!$D$2:$D$400-1&gt;=24),0),0))&amp;IF(INDEX(機器台帳!$Y$2:$Y$400,MATCH(1,INDEX((機器台帳!$A$2:$A$400="E24-S8-5")*((機器台帳!$B$2:$B$400="前面")+(機器台帳!$B$2:$B$400="両面")&gt;0)*(機器台帳!$F$2:$F$400&lt;&gt;"")*(機器台帳!$C$2:$C$400&lt;=24)*(機器台帳!$C$2:$C$400+機器台帳!$D$2:$D$400-1&gt;=24),0),0))=0,"|未記入",""))</f>
        <v/>
      </c>
      <c r="T27" s="12">
        <f>IF(SUMPRODUCT((機器台帳!$A$2:$A$400="E24-S8-5")*((機器台帳!$B$2:$B$400="背面")+(機器台帳!$B$2:$B$400="両面")&gt;0)*(機器台帳!$F$2:$F$400&lt;&gt;"")*(機器台帳!$C$2:$C$400&lt;=24)*(機器台帳!$C$2:$C$400+機器台帳!$D$2:$D$400-1&gt;=24))=0,"",INDEX(機器台帳!$F$2:$F$400,MATCH(1,INDEX((機器台帳!$A$2:$A$400="E24-S8-5")*((機器台帳!$B$2:$B$400="背面")+(機器台帳!$B$2:$B$400="両面")&gt;0)*(機器台帳!$F$2:$F$400&lt;&gt;"")*(機器台帳!$C$2:$C$400&lt;=24)*(機器台帳!$C$2:$C$400+機器台帳!$D$2:$D$400-1&gt;=24),0),0))&amp;IF(INDEX(機器台帳!$G$2:$G$400,MATCH(1,INDEX((機器台帳!$A$2:$A$400="E24-S8-5")*((機器台帳!$B$2:$B$400="背面")+(機器台帳!$B$2:$B$400="両面")&gt;0)*(機器台帳!$F$2:$F$400&lt;&gt;"")*(機器台帳!$C$2:$C$400&lt;=24)*(機器台帳!$C$2:$C$400+機器台帳!$D$2:$D$400-1&gt;=24),0),0))=""," "," "&amp;INDEX(機器台帳!$G$2:$G$400,MATCH(1,INDEX((機器台帳!$A$2:$A$400="E24-S8-5")*((機器台帳!$B$2:$B$400="背面")+(機器台帳!$B$2:$B$400="両面")&gt;0)*(機器台帳!$F$2:$F$400&lt;&gt;"")*(機器台帳!$C$2:$C$400&lt;=24)*(機器台帳!$C$2:$C$400+機器台帳!$D$2:$D$400-1&gt;=24),0),0)))&amp;IF(SUMPRODUCT((機器台帳!$A$2:$A$400="E24-S8-5")*((機器台帳!$B$2:$B$400="背面")+(機器台帳!$B$2:$B$400="両面")&gt;0)*(機器台帳!$F$2:$F$400&lt;&gt;"")*(機器台帳!$C$2:$C$400&lt;=24)*(機器台帳!$C$2:$C$400+機器台帳!$D$2:$D$400-1&gt;=24))&gt;1," 他"&amp;(SUMPRODUCT((機器台帳!$A$2:$A$400="E24-S8-5")*((機器台帳!$B$2:$B$400="背面")+(機器台帳!$B$2:$B$400="両面")&gt;0)*(機器台帳!$F$2:$F$400&lt;&gt;"")*(機器台帳!$C$2:$C$400&lt;=24)*(機器台帳!$C$2:$C$400+機器台帳!$D$2:$D$400-1&gt;=24))-1)&amp;"台",""))</f>
        <v/>
      </c>
      <c r="U27">
        <f>IF(SUMPRODUCT((機器台帳!$A$2:$A$400="E24-S8-5")*((機器台帳!$B$2:$B$400="背面")+(機器台帳!$B$2:$B$400="両面")&gt;0)*(機器台帳!$F$2:$F$400&lt;&gt;"")*(機器台帳!$C$2:$C$400&lt;=24)*(機器台帳!$C$2:$C$400+機器台帳!$D$2:$D$400-1&gt;=24))=0,"",INDEX(機器台帳!$I$2:$I$400,MATCH(1,INDEX((機器台帳!$A$2:$A$400="E24-S8-5")*((機器台帳!$B$2:$B$400="背面")+(機器台帳!$B$2:$B$400="両面")&gt;0)*(機器台帳!$F$2:$F$400&lt;&gt;"")*(機器台帳!$C$2:$C$400&lt;=24)*(機器台帳!$C$2:$C$400+機器台帳!$D$2:$D$400-1&gt;=24),0),0))&amp;IF(INDEX(機器台帳!$Y$2:$Y$400,MATCH(1,INDEX((機器台帳!$A$2:$A$400="E24-S8-5")*((機器台帳!$B$2:$B$400="背面")+(機器台帳!$B$2:$B$400="両面")&gt;0)*(機器台帳!$F$2:$F$400&lt;&gt;"")*(機器台帳!$C$2:$C$400&lt;=24)*(機器台帳!$C$2:$C$400+機器台帳!$D$2:$D$400-1&gt;=24),0),0))=0,"|未記入",""))</f>
        <v/>
      </c>
      <c r="V27" s="12">
        <f>IF(SUMPRODUCT((機器台帳!$A$2:$A$400="E24-S6-1")*((機器台帳!$B$2:$B$400="前面")+(機器台帳!$B$2:$B$400="両面")&gt;0)*(機器台帳!$F$2:$F$400&lt;&gt;"")*(機器台帳!$C$2:$C$400&lt;=24)*(機器台帳!$C$2:$C$400+機器台帳!$D$2:$D$400-1&gt;=24))=0,"",INDEX(機器台帳!$F$2:$F$400,MATCH(1,INDEX((機器台帳!$A$2:$A$400="E24-S6-1")*((機器台帳!$B$2:$B$400="前面")+(機器台帳!$B$2:$B$400="両面")&gt;0)*(機器台帳!$F$2:$F$400&lt;&gt;"")*(機器台帳!$C$2:$C$400&lt;=24)*(機器台帳!$C$2:$C$400+機器台帳!$D$2:$D$400-1&gt;=24),0),0))&amp;IF(INDEX(機器台帳!$G$2:$G$400,MATCH(1,INDEX((機器台帳!$A$2:$A$400="E24-S6-1")*((機器台帳!$B$2:$B$400="前面")+(機器台帳!$B$2:$B$400="両面")&gt;0)*(機器台帳!$F$2:$F$400&lt;&gt;"")*(機器台帳!$C$2:$C$400&lt;=24)*(機器台帳!$C$2:$C$400+機器台帳!$D$2:$D$400-1&gt;=24),0),0))=""," "," "&amp;INDEX(機器台帳!$G$2:$G$400,MATCH(1,INDEX((機器台帳!$A$2:$A$400="E24-S6-1")*((機器台帳!$B$2:$B$400="前面")+(機器台帳!$B$2:$B$400="両面")&gt;0)*(機器台帳!$F$2:$F$400&lt;&gt;"")*(機器台帳!$C$2:$C$400&lt;=24)*(機器台帳!$C$2:$C$400+機器台帳!$D$2:$D$400-1&gt;=24),0),0)))&amp;IF(SUMPRODUCT((機器台帳!$A$2:$A$400="E24-S6-1")*((機器台帳!$B$2:$B$400="前面")+(機器台帳!$B$2:$B$400="両面")&gt;0)*(機器台帳!$F$2:$F$400&lt;&gt;"")*(機器台帳!$C$2:$C$400&lt;=24)*(機器台帳!$C$2:$C$400+機器台帳!$D$2:$D$400-1&gt;=24))&gt;1," 他"&amp;(SUMPRODUCT((機器台帳!$A$2:$A$400="E24-S6-1")*((機器台帳!$B$2:$B$400="前面")+(機器台帳!$B$2:$B$400="両面")&gt;0)*(機器台帳!$F$2:$F$400&lt;&gt;"")*(機器台帳!$C$2:$C$400&lt;=24)*(機器台帳!$C$2:$C$400+機器台帳!$D$2:$D$400-1&gt;=24))-1)&amp;"台",""))</f>
        <v/>
      </c>
      <c r="W27">
        <f>IF(SUMPRODUCT((機器台帳!$A$2:$A$400="E24-S6-1")*((機器台帳!$B$2:$B$400="前面")+(機器台帳!$B$2:$B$400="両面")&gt;0)*(機器台帳!$F$2:$F$400&lt;&gt;"")*(機器台帳!$C$2:$C$400&lt;=24)*(機器台帳!$C$2:$C$400+機器台帳!$D$2:$D$400-1&gt;=24))=0,"",INDEX(機器台帳!$I$2:$I$400,MATCH(1,INDEX((機器台帳!$A$2:$A$400="E24-S6-1")*((機器台帳!$B$2:$B$400="前面")+(機器台帳!$B$2:$B$400="両面")&gt;0)*(機器台帳!$F$2:$F$400&lt;&gt;"")*(機器台帳!$C$2:$C$400&lt;=24)*(機器台帳!$C$2:$C$400+機器台帳!$D$2:$D$400-1&gt;=24),0),0))&amp;IF(INDEX(機器台帳!$Y$2:$Y$400,MATCH(1,INDEX((機器台帳!$A$2:$A$400="E24-S6-1")*((機器台帳!$B$2:$B$400="前面")+(機器台帳!$B$2:$B$400="両面")&gt;0)*(機器台帳!$F$2:$F$400&lt;&gt;"")*(機器台帳!$C$2:$C$400&lt;=24)*(機器台帳!$C$2:$C$400+機器台帳!$D$2:$D$400-1&gt;=24),0),0))=0,"|未記入",""))</f>
        <v/>
      </c>
      <c r="X27" s="12">
        <f>IF(SUMPRODUCT((機器台帳!$A$2:$A$400="E24-S6-1")*((機器台帳!$B$2:$B$400="背面")+(機器台帳!$B$2:$B$400="両面")&gt;0)*(機器台帳!$F$2:$F$400&lt;&gt;"")*(機器台帳!$C$2:$C$400&lt;=24)*(機器台帳!$C$2:$C$400+機器台帳!$D$2:$D$400-1&gt;=24))=0,"",INDEX(機器台帳!$F$2:$F$400,MATCH(1,INDEX((機器台帳!$A$2:$A$400="E24-S6-1")*((機器台帳!$B$2:$B$400="背面")+(機器台帳!$B$2:$B$400="両面")&gt;0)*(機器台帳!$F$2:$F$400&lt;&gt;"")*(機器台帳!$C$2:$C$400&lt;=24)*(機器台帳!$C$2:$C$400+機器台帳!$D$2:$D$400-1&gt;=24),0),0))&amp;IF(INDEX(機器台帳!$G$2:$G$400,MATCH(1,INDEX((機器台帳!$A$2:$A$400="E24-S6-1")*((機器台帳!$B$2:$B$400="背面")+(機器台帳!$B$2:$B$400="両面")&gt;0)*(機器台帳!$F$2:$F$400&lt;&gt;"")*(機器台帳!$C$2:$C$400&lt;=24)*(機器台帳!$C$2:$C$400+機器台帳!$D$2:$D$400-1&gt;=24),0),0))=""," "," "&amp;INDEX(機器台帳!$G$2:$G$400,MATCH(1,INDEX((機器台帳!$A$2:$A$400="E24-S6-1")*((機器台帳!$B$2:$B$400="背面")+(機器台帳!$B$2:$B$400="両面")&gt;0)*(機器台帳!$F$2:$F$400&lt;&gt;"")*(機器台帳!$C$2:$C$400&lt;=24)*(機器台帳!$C$2:$C$400+機器台帳!$D$2:$D$400-1&gt;=24),0),0)))&amp;IF(SUMPRODUCT((機器台帳!$A$2:$A$400="E24-S6-1")*((機器台帳!$B$2:$B$400="背面")+(機器台帳!$B$2:$B$400="両面")&gt;0)*(機器台帳!$F$2:$F$400&lt;&gt;"")*(機器台帳!$C$2:$C$400&lt;=24)*(機器台帳!$C$2:$C$400+機器台帳!$D$2:$D$400-1&gt;=24))&gt;1," 他"&amp;(SUMPRODUCT((機器台帳!$A$2:$A$400="E24-S6-1")*((機器台帳!$B$2:$B$400="背面")+(機器台帳!$B$2:$B$400="両面")&gt;0)*(機器台帳!$F$2:$F$400&lt;&gt;"")*(機器台帳!$C$2:$C$400&lt;=24)*(機器台帳!$C$2:$C$400+機器台帳!$D$2:$D$400-1&gt;=24))-1)&amp;"台",""))</f>
        <v/>
      </c>
      <c r="Y27">
        <f>IF(SUMPRODUCT((機器台帳!$A$2:$A$400="E24-S6-1")*((機器台帳!$B$2:$B$400="背面")+(機器台帳!$B$2:$B$400="両面")&gt;0)*(機器台帳!$F$2:$F$400&lt;&gt;"")*(機器台帳!$C$2:$C$400&lt;=24)*(機器台帳!$C$2:$C$400+機器台帳!$D$2:$D$400-1&gt;=24))=0,"",INDEX(機器台帳!$I$2:$I$400,MATCH(1,INDEX((機器台帳!$A$2:$A$400="E24-S6-1")*((機器台帳!$B$2:$B$400="背面")+(機器台帳!$B$2:$B$400="両面")&gt;0)*(機器台帳!$F$2:$F$400&lt;&gt;"")*(機器台帳!$C$2:$C$400&lt;=24)*(機器台帳!$C$2:$C$400+機器台帳!$D$2:$D$400-1&gt;=24),0),0))&amp;IF(INDEX(機器台帳!$Y$2:$Y$400,MATCH(1,INDEX((機器台帳!$A$2:$A$400="E24-S6-1")*((機器台帳!$B$2:$B$400="背面")+(機器台帳!$B$2:$B$400="両面")&gt;0)*(機器台帳!$F$2:$F$400&lt;&gt;"")*(機器台帳!$C$2:$C$400&lt;=24)*(機器台帳!$C$2:$C$400+機器台帳!$D$2:$D$400-1&gt;=24),0),0))=0,"|未記入",""))</f>
        <v/>
      </c>
    </row>
    <row r="28">
      <c r="A28" s="11" t="n">
        <v>23</v>
      </c>
      <c r="B28" s="12">
        <f>IF(SUMPRODUCT((機器台帳!$A$2:$A$400="E24-S8-1")*((機器台帳!$B$2:$B$400="前面")+(機器台帳!$B$2:$B$400="両面")&gt;0)*(機器台帳!$F$2:$F$400&lt;&gt;"")*(機器台帳!$C$2:$C$400&lt;=23)*(機器台帳!$C$2:$C$400+機器台帳!$D$2:$D$400-1&gt;=23))=0,"",INDEX(機器台帳!$F$2:$F$400,MATCH(1,INDEX((機器台帳!$A$2:$A$400="E24-S8-1")*((機器台帳!$B$2:$B$400="前面")+(機器台帳!$B$2:$B$400="両面")&gt;0)*(機器台帳!$F$2:$F$400&lt;&gt;"")*(機器台帳!$C$2:$C$400&lt;=23)*(機器台帳!$C$2:$C$400+機器台帳!$D$2:$D$400-1&gt;=23),0),0))&amp;IF(INDEX(機器台帳!$G$2:$G$400,MATCH(1,INDEX((機器台帳!$A$2:$A$400="E24-S8-1")*((機器台帳!$B$2:$B$400="前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-1")*((機器台帳!$B$2:$B$400="前面")+(機器台帳!$B$2:$B$400="両面")&gt;0)*(機器台帳!$F$2:$F$400&lt;&gt;"")*(機器台帳!$C$2:$C$400&lt;=23)*(機器台帳!$C$2:$C$400+機器台帳!$D$2:$D$400-1&gt;=23),0),0)))&amp;IF(SUMPRODUCT((機器台帳!$A$2:$A$400="E24-S8-1")*((機器台帳!$B$2:$B$400="前面")+(機器台帳!$B$2:$B$400="両面")&gt;0)*(機器台帳!$F$2:$F$400&lt;&gt;"")*(機器台帳!$C$2:$C$400&lt;=23)*(機器台帳!$C$2:$C$400+機器台帳!$D$2:$D$400-1&gt;=23))&gt;1," 他"&amp;(SUMPRODUCT((機器台帳!$A$2:$A$400="E24-S8-1")*((機器台帳!$B$2:$B$400="前面")+(機器台帳!$B$2:$B$400="両面")&gt;0)*(機器台帳!$F$2:$F$400&lt;&gt;"")*(機器台帳!$C$2:$C$400&lt;=23)*(機器台帳!$C$2:$C$400+機器台帳!$D$2:$D$400-1&gt;=23))-1)&amp;"台",""))</f>
        <v/>
      </c>
      <c r="C28">
        <f>IF(SUMPRODUCT((機器台帳!$A$2:$A$400="E24-S8-1")*((機器台帳!$B$2:$B$400="前面")+(機器台帳!$B$2:$B$400="両面")&gt;0)*(機器台帳!$F$2:$F$400&lt;&gt;"")*(機器台帳!$C$2:$C$400&lt;=23)*(機器台帳!$C$2:$C$400+機器台帳!$D$2:$D$400-1&gt;=23))=0,"",INDEX(機器台帳!$I$2:$I$400,MATCH(1,INDEX((機器台帳!$A$2:$A$400="E24-S8-1")*((機器台帳!$B$2:$B$400="前面")+(機器台帳!$B$2:$B$400="両面")&gt;0)*(機器台帳!$F$2:$F$400&lt;&gt;"")*(機器台帳!$C$2:$C$400&lt;=23)*(機器台帳!$C$2:$C$400+機器台帳!$D$2:$D$400-1&gt;=23),0),0))&amp;IF(INDEX(機器台帳!$Y$2:$Y$400,MATCH(1,INDEX((機器台帳!$A$2:$A$400="E24-S8-1")*((機器台帳!$B$2:$B$400="前面")+(機器台帳!$B$2:$B$400="両面")&gt;0)*(機器台帳!$F$2:$F$400&lt;&gt;"")*(機器台帳!$C$2:$C$400&lt;=23)*(機器台帳!$C$2:$C$400+機器台帳!$D$2:$D$400-1&gt;=23),0),0))=0,"|未記入",""))</f>
        <v/>
      </c>
      <c r="D28" s="12">
        <f>IF(SUMPRODUCT((機器台帳!$A$2:$A$400="E24-S8-1")*((機器台帳!$B$2:$B$400="背面")+(機器台帳!$B$2:$B$400="両面")&gt;0)*(機器台帳!$F$2:$F$400&lt;&gt;"")*(機器台帳!$C$2:$C$400&lt;=23)*(機器台帳!$C$2:$C$400+機器台帳!$D$2:$D$400-1&gt;=23))=0,"",INDEX(機器台帳!$F$2:$F$400,MATCH(1,INDEX((機器台帳!$A$2:$A$400="E24-S8-1")*((機器台帳!$B$2:$B$400="背面")+(機器台帳!$B$2:$B$400="両面")&gt;0)*(機器台帳!$F$2:$F$400&lt;&gt;"")*(機器台帳!$C$2:$C$400&lt;=23)*(機器台帳!$C$2:$C$400+機器台帳!$D$2:$D$400-1&gt;=23),0),0))&amp;IF(INDEX(機器台帳!$G$2:$G$400,MATCH(1,INDEX((機器台帳!$A$2:$A$400="E24-S8-1")*((機器台帳!$B$2:$B$400="背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-1")*((機器台帳!$B$2:$B$400="背面")+(機器台帳!$B$2:$B$400="両面")&gt;0)*(機器台帳!$F$2:$F$400&lt;&gt;"")*(機器台帳!$C$2:$C$400&lt;=23)*(機器台帳!$C$2:$C$400+機器台帳!$D$2:$D$400-1&gt;=23),0),0)))&amp;IF(SUMPRODUCT((機器台帳!$A$2:$A$400="E24-S8-1")*((機器台帳!$B$2:$B$400="背面")+(機器台帳!$B$2:$B$400="両面")&gt;0)*(機器台帳!$F$2:$F$400&lt;&gt;"")*(機器台帳!$C$2:$C$400&lt;=23)*(機器台帳!$C$2:$C$400+機器台帳!$D$2:$D$400-1&gt;=23))&gt;1," 他"&amp;(SUMPRODUCT((機器台帳!$A$2:$A$400="E24-S8-1")*((機器台帳!$B$2:$B$400="背面")+(機器台帳!$B$2:$B$400="両面")&gt;0)*(機器台帳!$F$2:$F$400&lt;&gt;"")*(機器台帳!$C$2:$C$400&lt;=23)*(機器台帳!$C$2:$C$400+機器台帳!$D$2:$D$400-1&gt;=23))-1)&amp;"台",""))</f>
        <v/>
      </c>
      <c r="E28">
        <f>IF(SUMPRODUCT((機器台帳!$A$2:$A$400="E24-S8-1")*((機器台帳!$B$2:$B$400="背面")+(機器台帳!$B$2:$B$400="両面")&gt;0)*(機器台帳!$F$2:$F$400&lt;&gt;"")*(機器台帳!$C$2:$C$400&lt;=23)*(機器台帳!$C$2:$C$400+機器台帳!$D$2:$D$400-1&gt;=23))=0,"",INDEX(機器台帳!$I$2:$I$400,MATCH(1,INDEX((機器台帳!$A$2:$A$400="E24-S8-1")*((機器台帳!$B$2:$B$400="背面")+(機器台帳!$B$2:$B$400="両面")&gt;0)*(機器台帳!$F$2:$F$400&lt;&gt;"")*(機器台帳!$C$2:$C$400&lt;=23)*(機器台帳!$C$2:$C$400+機器台帳!$D$2:$D$400-1&gt;=23),0),0))&amp;IF(INDEX(機器台帳!$Y$2:$Y$400,MATCH(1,INDEX((機器台帳!$A$2:$A$400="E24-S8-1")*((機器台帳!$B$2:$B$400="背面")+(機器台帳!$B$2:$B$400="両面")&gt;0)*(機器台帳!$F$2:$F$400&lt;&gt;"")*(機器台帳!$C$2:$C$400&lt;=23)*(機器台帳!$C$2:$C$400+機器台帳!$D$2:$D$400-1&gt;=23),0),0))=0,"|未記入",""))</f>
        <v/>
      </c>
      <c r="F28" s="12">
        <f>IF(SUMPRODUCT((機器台帳!$A$2:$A$400="E24-S8-2")*((機器台帳!$B$2:$B$400="前面")+(機器台帳!$B$2:$B$400="両面")&gt;0)*(機器台帳!$F$2:$F$400&lt;&gt;"")*(機器台帳!$C$2:$C$400&lt;=23)*(機器台帳!$C$2:$C$400+機器台帳!$D$2:$D$400-1&gt;=23))=0,"",INDEX(機器台帳!$F$2:$F$400,MATCH(1,INDEX((機器台帳!$A$2:$A$400="E24-S8-2")*((機器台帳!$B$2:$B$400="前面")+(機器台帳!$B$2:$B$400="両面")&gt;0)*(機器台帳!$F$2:$F$400&lt;&gt;"")*(機器台帳!$C$2:$C$400&lt;=23)*(機器台帳!$C$2:$C$400+機器台帳!$D$2:$D$400-1&gt;=23),0),0))&amp;IF(INDEX(機器台帳!$G$2:$G$400,MATCH(1,INDEX((機器台帳!$A$2:$A$400="E24-S8-2")*((機器台帳!$B$2:$B$400="前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-2")*((機器台帳!$B$2:$B$400="前面")+(機器台帳!$B$2:$B$400="両面")&gt;0)*(機器台帳!$F$2:$F$400&lt;&gt;"")*(機器台帳!$C$2:$C$400&lt;=23)*(機器台帳!$C$2:$C$400+機器台帳!$D$2:$D$400-1&gt;=23),0),0)))&amp;IF(SUMPRODUCT((機器台帳!$A$2:$A$400="E24-S8-2")*((機器台帳!$B$2:$B$400="前面")+(機器台帳!$B$2:$B$400="両面")&gt;0)*(機器台帳!$F$2:$F$400&lt;&gt;"")*(機器台帳!$C$2:$C$400&lt;=23)*(機器台帳!$C$2:$C$400+機器台帳!$D$2:$D$400-1&gt;=23))&gt;1," 他"&amp;(SUMPRODUCT((機器台帳!$A$2:$A$400="E24-S8-2")*((機器台帳!$B$2:$B$400="前面")+(機器台帳!$B$2:$B$400="両面")&gt;0)*(機器台帳!$F$2:$F$400&lt;&gt;"")*(機器台帳!$C$2:$C$400&lt;=23)*(機器台帳!$C$2:$C$400+機器台帳!$D$2:$D$400-1&gt;=23))-1)&amp;"台",""))</f>
        <v/>
      </c>
      <c r="G28">
        <f>IF(SUMPRODUCT((機器台帳!$A$2:$A$400="E24-S8-2")*((機器台帳!$B$2:$B$400="前面")+(機器台帳!$B$2:$B$400="両面")&gt;0)*(機器台帳!$F$2:$F$400&lt;&gt;"")*(機器台帳!$C$2:$C$400&lt;=23)*(機器台帳!$C$2:$C$400+機器台帳!$D$2:$D$400-1&gt;=23))=0,"",INDEX(機器台帳!$I$2:$I$400,MATCH(1,INDEX((機器台帳!$A$2:$A$400="E24-S8-2")*((機器台帳!$B$2:$B$400="前面")+(機器台帳!$B$2:$B$400="両面")&gt;0)*(機器台帳!$F$2:$F$400&lt;&gt;"")*(機器台帳!$C$2:$C$400&lt;=23)*(機器台帳!$C$2:$C$400+機器台帳!$D$2:$D$400-1&gt;=23),0),0))&amp;IF(INDEX(機器台帳!$Y$2:$Y$400,MATCH(1,INDEX((機器台帳!$A$2:$A$400="E24-S8-2")*((機器台帳!$B$2:$B$400="前面")+(機器台帳!$B$2:$B$400="両面")&gt;0)*(機器台帳!$F$2:$F$400&lt;&gt;"")*(機器台帳!$C$2:$C$400&lt;=23)*(機器台帳!$C$2:$C$400+機器台帳!$D$2:$D$400-1&gt;=23),0),0))=0,"|未記入",""))</f>
        <v/>
      </c>
      <c r="H28" s="12">
        <f>IF(SUMPRODUCT((機器台帳!$A$2:$A$400="E24-S8-2")*((機器台帳!$B$2:$B$400="背面")+(機器台帳!$B$2:$B$400="両面")&gt;0)*(機器台帳!$F$2:$F$400&lt;&gt;"")*(機器台帳!$C$2:$C$400&lt;=23)*(機器台帳!$C$2:$C$400+機器台帳!$D$2:$D$400-1&gt;=23))=0,"",INDEX(機器台帳!$F$2:$F$400,MATCH(1,INDEX((機器台帳!$A$2:$A$400="E24-S8-2")*((機器台帳!$B$2:$B$400="背面")+(機器台帳!$B$2:$B$400="両面")&gt;0)*(機器台帳!$F$2:$F$400&lt;&gt;"")*(機器台帳!$C$2:$C$400&lt;=23)*(機器台帳!$C$2:$C$400+機器台帳!$D$2:$D$400-1&gt;=23),0),0))&amp;IF(INDEX(機器台帳!$G$2:$G$400,MATCH(1,INDEX((機器台帳!$A$2:$A$400="E24-S8-2")*((機器台帳!$B$2:$B$400="背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-2")*((機器台帳!$B$2:$B$400="背面")+(機器台帳!$B$2:$B$400="両面")&gt;0)*(機器台帳!$F$2:$F$400&lt;&gt;"")*(機器台帳!$C$2:$C$400&lt;=23)*(機器台帳!$C$2:$C$400+機器台帳!$D$2:$D$400-1&gt;=23),0),0)))&amp;IF(SUMPRODUCT((機器台帳!$A$2:$A$400="E24-S8-2")*((機器台帳!$B$2:$B$400="背面")+(機器台帳!$B$2:$B$400="両面")&gt;0)*(機器台帳!$F$2:$F$400&lt;&gt;"")*(機器台帳!$C$2:$C$400&lt;=23)*(機器台帳!$C$2:$C$400+機器台帳!$D$2:$D$400-1&gt;=23))&gt;1," 他"&amp;(SUMPRODUCT((機器台帳!$A$2:$A$400="E24-S8-2")*((機器台帳!$B$2:$B$400="背面")+(機器台帳!$B$2:$B$400="両面")&gt;0)*(機器台帳!$F$2:$F$400&lt;&gt;"")*(機器台帳!$C$2:$C$400&lt;=23)*(機器台帳!$C$2:$C$400+機器台帳!$D$2:$D$400-1&gt;=23))-1)&amp;"台",""))</f>
        <v/>
      </c>
      <c r="I28">
        <f>IF(SUMPRODUCT((機器台帳!$A$2:$A$400="E24-S8-2")*((機器台帳!$B$2:$B$400="背面")+(機器台帳!$B$2:$B$400="両面")&gt;0)*(機器台帳!$F$2:$F$400&lt;&gt;"")*(機器台帳!$C$2:$C$400&lt;=23)*(機器台帳!$C$2:$C$400+機器台帳!$D$2:$D$400-1&gt;=23))=0,"",INDEX(機器台帳!$I$2:$I$400,MATCH(1,INDEX((機器台帳!$A$2:$A$400="E24-S8-2")*((機器台帳!$B$2:$B$400="背面")+(機器台帳!$B$2:$B$400="両面")&gt;0)*(機器台帳!$F$2:$F$400&lt;&gt;"")*(機器台帳!$C$2:$C$400&lt;=23)*(機器台帳!$C$2:$C$400+機器台帳!$D$2:$D$400-1&gt;=23),0),0))&amp;IF(INDEX(機器台帳!$Y$2:$Y$400,MATCH(1,INDEX((機器台帳!$A$2:$A$400="E24-S8-2")*((機器台帳!$B$2:$B$400="背面")+(機器台帳!$B$2:$B$400="両面")&gt;0)*(機器台帳!$F$2:$F$400&lt;&gt;"")*(機器台帳!$C$2:$C$400&lt;=23)*(機器台帳!$C$2:$C$400+機器台帳!$D$2:$D$400-1&gt;=23),0),0))=0,"|未記入",""))</f>
        <v/>
      </c>
      <c r="J28" s="12">
        <f>IF(SUMPRODUCT((機器台帳!$A$2:$A$400="E24-S8-3")*((機器台帳!$B$2:$B$400="前面")+(機器台帳!$B$2:$B$400="両面")&gt;0)*(機器台帳!$F$2:$F$400&lt;&gt;"")*(機器台帳!$C$2:$C$400&lt;=23)*(機器台帳!$C$2:$C$400+機器台帳!$D$2:$D$400-1&gt;=23))=0,"",INDEX(機器台帳!$F$2:$F$400,MATCH(1,INDEX((機器台帳!$A$2:$A$400="E24-S8-3")*((機器台帳!$B$2:$B$400="前面")+(機器台帳!$B$2:$B$400="両面")&gt;0)*(機器台帳!$F$2:$F$400&lt;&gt;"")*(機器台帳!$C$2:$C$400&lt;=23)*(機器台帳!$C$2:$C$400+機器台帳!$D$2:$D$400-1&gt;=23),0),0))&amp;IF(INDEX(機器台帳!$G$2:$G$400,MATCH(1,INDEX((機器台帳!$A$2:$A$400="E24-S8-3")*((機器台帳!$B$2:$B$400="前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-3")*((機器台帳!$B$2:$B$400="前面")+(機器台帳!$B$2:$B$400="両面")&gt;0)*(機器台帳!$F$2:$F$400&lt;&gt;"")*(機器台帳!$C$2:$C$400&lt;=23)*(機器台帳!$C$2:$C$400+機器台帳!$D$2:$D$400-1&gt;=23),0),0)))&amp;IF(SUMPRODUCT((機器台帳!$A$2:$A$400="E24-S8-3")*((機器台帳!$B$2:$B$400="前面")+(機器台帳!$B$2:$B$400="両面")&gt;0)*(機器台帳!$F$2:$F$400&lt;&gt;"")*(機器台帳!$C$2:$C$400&lt;=23)*(機器台帳!$C$2:$C$400+機器台帳!$D$2:$D$400-1&gt;=23))&gt;1," 他"&amp;(SUMPRODUCT((機器台帳!$A$2:$A$400="E24-S8-3")*((機器台帳!$B$2:$B$400="前面")+(機器台帳!$B$2:$B$400="両面")&gt;0)*(機器台帳!$F$2:$F$400&lt;&gt;"")*(機器台帳!$C$2:$C$400&lt;=23)*(機器台帳!$C$2:$C$400+機器台帳!$D$2:$D$400-1&gt;=23))-1)&amp;"台",""))</f>
        <v/>
      </c>
      <c r="K28">
        <f>IF(SUMPRODUCT((機器台帳!$A$2:$A$400="E24-S8-3")*((機器台帳!$B$2:$B$400="前面")+(機器台帳!$B$2:$B$400="両面")&gt;0)*(機器台帳!$F$2:$F$400&lt;&gt;"")*(機器台帳!$C$2:$C$400&lt;=23)*(機器台帳!$C$2:$C$400+機器台帳!$D$2:$D$400-1&gt;=23))=0,"",INDEX(機器台帳!$I$2:$I$400,MATCH(1,INDEX((機器台帳!$A$2:$A$400="E24-S8-3")*((機器台帳!$B$2:$B$400="前面")+(機器台帳!$B$2:$B$400="両面")&gt;0)*(機器台帳!$F$2:$F$400&lt;&gt;"")*(機器台帳!$C$2:$C$400&lt;=23)*(機器台帳!$C$2:$C$400+機器台帳!$D$2:$D$400-1&gt;=23),0),0))&amp;IF(INDEX(機器台帳!$Y$2:$Y$400,MATCH(1,INDEX((機器台帳!$A$2:$A$400="E24-S8-3")*((機器台帳!$B$2:$B$400="前面")+(機器台帳!$B$2:$B$400="両面")&gt;0)*(機器台帳!$F$2:$F$400&lt;&gt;"")*(機器台帳!$C$2:$C$400&lt;=23)*(機器台帳!$C$2:$C$400+機器台帳!$D$2:$D$400-1&gt;=23),0),0))=0,"|未記入",""))</f>
        <v/>
      </c>
      <c r="L28" s="12">
        <f>IF(SUMPRODUCT((機器台帳!$A$2:$A$400="E24-S8-3")*((機器台帳!$B$2:$B$400="背面")+(機器台帳!$B$2:$B$400="両面")&gt;0)*(機器台帳!$F$2:$F$400&lt;&gt;"")*(機器台帳!$C$2:$C$400&lt;=23)*(機器台帳!$C$2:$C$400+機器台帳!$D$2:$D$400-1&gt;=23))=0,"",INDEX(機器台帳!$F$2:$F$400,MATCH(1,INDEX((機器台帳!$A$2:$A$400="E24-S8-3")*((機器台帳!$B$2:$B$400="背面")+(機器台帳!$B$2:$B$400="両面")&gt;0)*(機器台帳!$F$2:$F$400&lt;&gt;"")*(機器台帳!$C$2:$C$400&lt;=23)*(機器台帳!$C$2:$C$400+機器台帳!$D$2:$D$400-1&gt;=23),0),0))&amp;IF(INDEX(機器台帳!$G$2:$G$400,MATCH(1,INDEX((機器台帳!$A$2:$A$400="E24-S8-3")*((機器台帳!$B$2:$B$400="背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-3")*((機器台帳!$B$2:$B$400="背面")+(機器台帳!$B$2:$B$400="両面")&gt;0)*(機器台帳!$F$2:$F$400&lt;&gt;"")*(機器台帳!$C$2:$C$400&lt;=23)*(機器台帳!$C$2:$C$400+機器台帳!$D$2:$D$400-1&gt;=23),0),0)))&amp;IF(SUMPRODUCT((機器台帳!$A$2:$A$400="E24-S8-3")*((機器台帳!$B$2:$B$400="背面")+(機器台帳!$B$2:$B$400="両面")&gt;0)*(機器台帳!$F$2:$F$400&lt;&gt;"")*(機器台帳!$C$2:$C$400&lt;=23)*(機器台帳!$C$2:$C$400+機器台帳!$D$2:$D$400-1&gt;=23))&gt;1," 他"&amp;(SUMPRODUCT((機器台帳!$A$2:$A$400="E24-S8-3")*((機器台帳!$B$2:$B$400="背面")+(機器台帳!$B$2:$B$400="両面")&gt;0)*(機器台帳!$F$2:$F$400&lt;&gt;"")*(機器台帳!$C$2:$C$400&lt;=23)*(機器台帳!$C$2:$C$400+機器台帳!$D$2:$D$400-1&gt;=23))-1)&amp;"台",""))</f>
        <v/>
      </c>
      <c r="M28">
        <f>IF(SUMPRODUCT((機器台帳!$A$2:$A$400="E24-S8-3")*((機器台帳!$B$2:$B$400="背面")+(機器台帳!$B$2:$B$400="両面")&gt;0)*(機器台帳!$F$2:$F$400&lt;&gt;"")*(機器台帳!$C$2:$C$400&lt;=23)*(機器台帳!$C$2:$C$400+機器台帳!$D$2:$D$400-1&gt;=23))=0,"",INDEX(機器台帳!$I$2:$I$400,MATCH(1,INDEX((機器台帳!$A$2:$A$400="E24-S8-3")*((機器台帳!$B$2:$B$400="背面")+(機器台帳!$B$2:$B$400="両面")&gt;0)*(機器台帳!$F$2:$F$400&lt;&gt;"")*(機器台帳!$C$2:$C$400&lt;=23)*(機器台帳!$C$2:$C$400+機器台帳!$D$2:$D$400-1&gt;=23),0),0))&amp;IF(INDEX(機器台帳!$Y$2:$Y$400,MATCH(1,INDEX((機器台帳!$A$2:$A$400="E24-S8-3")*((機器台帳!$B$2:$B$400="背面")+(機器台帳!$B$2:$B$400="両面")&gt;0)*(機器台帳!$F$2:$F$400&lt;&gt;"")*(機器台帳!$C$2:$C$400&lt;=23)*(機器台帳!$C$2:$C$400+機器台帳!$D$2:$D$400-1&gt;=23),0),0))=0,"|未記入",""))</f>
        <v/>
      </c>
      <c r="N28" s="12">
        <f>IF(SUMPRODUCT((機器台帳!$A$2:$A$400="E24-S8-4")*((機器台帳!$B$2:$B$400="前面")+(機器台帳!$B$2:$B$400="両面")&gt;0)*(機器台帳!$F$2:$F$400&lt;&gt;"")*(機器台帳!$C$2:$C$400&lt;=23)*(機器台帳!$C$2:$C$400+機器台帳!$D$2:$D$400-1&gt;=23))=0,"",INDEX(機器台帳!$F$2:$F$400,MATCH(1,INDEX((機器台帳!$A$2:$A$400="E24-S8-4")*((機器台帳!$B$2:$B$400="前面")+(機器台帳!$B$2:$B$400="両面")&gt;0)*(機器台帳!$F$2:$F$400&lt;&gt;"")*(機器台帳!$C$2:$C$400&lt;=23)*(機器台帳!$C$2:$C$400+機器台帳!$D$2:$D$400-1&gt;=23),0),0))&amp;IF(INDEX(機器台帳!$G$2:$G$400,MATCH(1,INDEX((機器台帳!$A$2:$A$400="E24-S8-4")*((機器台帳!$B$2:$B$400="前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-4")*((機器台帳!$B$2:$B$400="前面")+(機器台帳!$B$2:$B$400="両面")&gt;0)*(機器台帳!$F$2:$F$400&lt;&gt;"")*(機器台帳!$C$2:$C$400&lt;=23)*(機器台帳!$C$2:$C$400+機器台帳!$D$2:$D$400-1&gt;=23),0),0)))&amp;IF(SUMPRODUCT((機器台帳!$A$2:$A$400="E24-S8-4")*((機器台帳!$B$2:$B$400="前面")+(機器台帳!$B$2:$B$400="両面")&gt;0)*(機器台帳!$F$2:$F$400&lt;&gt;"")*(機器台帳!$C$2:$C$400&lt;=23)*(機器台帳!$C$2:$C$400+機器台帳!$D$2:$D$400-1&gt;=23))&gt;1," 他"&amp;(SUMPRODUCT((機器台帳!$A$2:$A$400="E24-S8-4")*((機器台帳!$B$2:$B$400="前面")+(機器台帳!$B$2:$B$400="両面")&gt;0)*(機器台帳!$F$2:$F$400&lt;&gt;"")*(機器台帳!$C$2:$C$400&lt;=23)*(機器台帳!$C$2:$C$400+機器台帳!$D$2:$D$400-1&gt;=23))-1)&amp;"台",""))</f>
        <v/>
      </c>
      <c r="O28">
        <f>IF(SUMPRODUCT((機器台帳!$A$2:$A$400="E24-S8-4")*((機器台帳!$B$2:$B$400="前面")+(機器台帳!$B$2:$B$400="両面")&gt;0)*(機器台帳!$F$2:$F$400&lt;&gt;"")*(機器台帳!$C$2:$C$400&lt;=23)*(機器台帳!$C$2:$C$400+機器台帳!$D$2:$D$400-1&gt;=23))=0,"",INDEX(機器台帳!$I$2:$I$400,MATCH(1,INDEX((機器台帳!$A$2:$A$400="E24-S8-4")*((機器台帳!$B$2:$B$400="前面")+(機器台帳!$B$2:$B$400="両面")&gt;0)*(機器台帳!$F$2:$F$400&lt;&gt;"")*(機器台帳!$C$2:$C$400&lt;=23)*(機器台帳!$C$2:$C$400+機器台帳!$D$2:$D$400-1&gt;=23),0),0))&amp;IF(INDEX(機器台帳!$Y$2:$Y$400,MATCH(1,INDEX((機器台帳!$A$2:$A$400="E24-S8-4")*((機器台帳!$B$2:$B$400="前面")+(機器台帳!$B$2:$B$400="両面")&gt;0)*(機器台帳!$F$2:$F$400&lt;&gt;"")*(機器台帳!$C$2:$C$400&lt;=23)*(機器台帳!$C$2:$C$400+機器台帳!$D$2:$D$400-1&gt;=23),0),0))=0,"|未記入",""))</f>
        <v/>
      </c>
      <c r="P28" s="12">
        <f>IF(SUMPRODUCT((機器台帳!$A$2:$A$400="E24-S8-4")*((機器台帳!$B$2:$B$400="背面")+(機器台帳!$B$2:$B$400="両面")&gt;0)*(機器台帳!$F$2:$F$400&lt;&gt;"")*(機器台帳!$C$2:$C$400&lt;=23)*(機器台帳!$C$2:$C$400+機器台帳!$D$2:$D$400-1&gt;=23))=0,"",INDEX(機器台帳!$F$2:$F$400,MATCH(1,INDEX((機器台帳!$A$2:$A$400="E24-S8-4")*((機器台帳!$B$2:$B$400="背面")+(機器台帳!$B$2:$B$400="両面")&gt;0)*(機器台帳!$F$2:$F$400&lt;&gt;"")*(機器台帳!$C$2:$C$400&lt;=23)*(機器台帳!$C$2:$C$400+機器台帳!$D$2:$D$400-1&gt;=23),0),0))&amp;IF(INDEX(機器台帳!$G$2:$G$400,MATCH(1,INDEX((機器台帳!$A$2:$A$400="E24-S8-4")*((機器台帳!$B$2:$B$400="背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-4")*((機器台帳!$B$2:$B$400="背面")+(機器台帳!$B$2:$B$400="両面")&gt;0)*(機器台帳!$F$2:$F$400&lt;&gt;"")*(機器台帳!$C$2:$C$400&lt;=23)*(機器台帳!$C$2:$C$400+機器台帳!$D$2:$D$400-1&gt;=23),0),0)))&amp;IF(SUMPRODUCT((機器台帳!$A$2:$A$400="E24-S8-4")*((機器台帳!$B$2:$B$400="背面")+(機器台帳!$B$2:$B$400="両面")&gt;0)*(機器台帳!$F$2:$F$400&lt;&gt;"")*(機器台帳!$C$2:$C$400&lt;=23)*(機器台帳!$C$2:$C$400+機器台帳!$D$2:$D$400-1&gt;=23))&gt;1," 他"&amp;(SUMPRODUCT((機器台帳!$A$2:$A$400="E24-S8-4")*((機器台帳!$B$2:$B$400="背面")+(機器台帳!$B$2:$B$400="両面")&gt;0)*(機器台帳!$F$2:$F$400&lt;&gt;"")*(機器台帳!$C$2:$C$400&lt;=23)*(機器台帳!$C$2:$C$400+機器台帳!$D$2:$D$400-1&gt;=23))-1)&amp;"台",""))</f>
        <v/>
      </c>
      <c r="Q28">
        <f>IF(SUMPRODUCT((機器台帳!$A$2:$A$400="E24-S8-4")*((機器台帳!$B$2:$B$400="背面")+(機器台帳!$B$2:$B$400="両面")&gt;0)*(機器台帳!$F$2:$F$400&lt;&gt;"")*(機器台帳!$C$2:$C$400&lt;=23)*(機器台帳!$C$2:$C$400+機器台帳!$D$2:$D$400-1&gt;=23))=0,"",INDEX(機器台帳!$I$2:$I$400,MATCH(1,INDEX((機器台帳!$A$2:$A$400="E24-S8-4")*((機器台帳!$B$2:$B$400="背面")+(機器台帳!$B$2:$B$400="両面")&gt;0)*(機器台帳!$F$2:$F$400&lt;&gt;"")*(機器台帳!$C$2:$C$400&lt;=23)*(機器台帳!$C$2:$C$400+機器台帳!$D$2:$D$400-1&gt;=23),0),0))&amp;IF(INDEX(機器台帳!$Y$2:$Y$400,MATCH(1,INDEX((機器台帳!$A$2:$A$400="E24-S8-4")*((機器台帳!$B$2:$B$400="背面")+(機器台帳!$B$2:$B$400="両面")&gt;0)*(機器台帳!$F$2:$F$400&lt;&gt;"")*(機器台帳!$C$2:$C$400&lt;=23)*(機器台帳!$C$2:$C$400+機器台帳!$D$2:$D$400-1&gt;=23),0),0))=0,"|未記入",""))</f>
        <v/>
      </c>
      <c r="R28" s="12">
        <f>IF(SUMPRODUCT((機器台帳!$A$2:$A$400="E24-S8-5")*((機器台帳!$B$2:$B$400="前面")+(機器台帳!$B$2:$B$400="両面")&gt;0)*(機器台帳!$F$2:$F$400&lt;&gt;"")*(機器台帳!$C$2:$C$400&lt;=23)*(機器台帳!$C$2:$C$400+機器台帳!$D$2:$D$400-1&gt;=23))=0,"",INDEX(機器台帳!$F$2:$F$400,MATCH(1,INDEX((機器台帳!$A$2:$A$400="E24-S8-5")*((機器台帳!$B$2:$B$400="前面")+(機器台帳!$B$2:$B$400="両面")&gt;0)*(機器台帳!$F$2:$F$400&lt;&gt;"")*(機器台帳!$C$2:$C$400&lt;=23)*(機器台帳!$C$2:$C$400+機器台帳!$D$2:$D$400-1&gt;=23),0),0))&amp;IF(INDEX(機器台帳!$G$2:$G$400,MATCH(1,INDEX((機器台帳!$A$2:$A$400="E24-S8-5")*((機器台帳!$B$2:$B$400="前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-5")*((機器台帳!$B$2:$B$400="前面")+(機器台帳!$B$2:$B$400="両面")&gt;0)*(機器台帳!$F$2:$F$400&lt;&gt;"")*(機器台帳!$C$2:$C$400&lt;=23)*(機器台帳!$C$2:$C$400+機器台帳!$D$2:$D$400-1&gt;=23),0),0)))&amp;IF(SUMPRODUCT((機器台帳!$A$2:$A$400="E24-S8-5")*((機器台帳!$B$2:$B$400="前面")+(機器台帳!$B$2:$B$400="両面")&gt;0)*(機器台帳!$F$2:$F$400&lt;&gt;"")*(機器台帳!$C$2:$C$400&lt;=23)*(機器台帳!$C$2:$C$400+機器台帳!$D$2:$D$400-1&gt;=23))&gt;1," 他"&amp;(SUMPRODUCT((機器台帳!$A$2:$A$400="E24-S8-5")*((機器台帳!$B$2:$B$400="前面")+(機器台帳!$B$2:$B$400="両面")&gt;0)*(機器台帳!$F$2:$F$400&lt;&gt;"")*(機器台帳!$C$2:$C$400&lt;=23)*(機器台帳!$C$2:$C$400+機器台帳!$D$2:$D$400-1&gt;=23))-1)&amp;"台",""))</f>
        <v/>
      </c>
      <c r="S28">
        <f>IF(SUMPRODUCT((機器台帳!$A$2:$A$400="E24-S8-5")*((機器台帳!$B$2:$B$400="前面")+(機器台帳!$B$2:$B$400="両面")&gt;0)*(機器台帳!$F$2:$F$400&lt;&gt;"")*(機器台帳!$C$2:$C$400&lt;=23)*(機器台帳!$C$2:$C$400+機器台帳!$D$2:$D$400-1&gt;=23))=0,"",INDEX(機器台帳!$I$2:$I$400,MATCH(1,INDEX((機器台帳!$A$2:$A$400="E24-S8-5")*((機器台帳!$B$2:$B$400="前面")+(機器台帳!$B$2:$B$400="両面")&gt;0)*(機器台帳!$F$2:$F$400&lt;&gt;"")*(機器台帳!$C$2:$C$400&lt;=23)*(機器台帳!$C$2:$C$400+機器台帳!$D$2:$D$400-1&gt;=23),0),0))&amp;IF(INDEX(機器台帳!$Y$2:$Y$400,MATCH(1,INDEX((機器台帳!$A$2:$A$400="E24-S8-5")*((機器台帳!$B$2:$B$400="前面")+(機器台帳!$B$2:$B$400="両面")&gt;0)*(機器台帳!$F$2:$F$400&lt;&gt;"")*(機器台帳!$C$2:$C$400&lt;=23)*(機器台帳!$C$2:$C$400+機器台帳!$D$2:$D$400-1&gt;=23),0),0))=0,"|未記入",""))</f>
        <v/>
      </c>
      <c r="T28" s="12">
        <f>IF(SUMPRODUCT((機器台帳!$A$2:$A$400="E24-S8-5")*((機器台帳!$B$2:$B$400="背面")+(機器台帳!$B$2:$B$400="両面")&gt;0)*(機器台帳!$F$2:$F$400&lt;&gt;"")*(機器台帳!$C$2:$C$400&lt;=23)*(機器台帳!$C$2:$C$400+機器台帳!$D$2:$D$400-1&gt;=23))=0,"",INDEX(機器台帳!$F$2:$F$400,MATCH(1,INDEX((機器台帳!$A$2:$A$400="E24-S8-5")*((機器台帳!$B$2:$B$400="背面")+(機器台帳!$B$2:$B$400="両面")&gt;0)*(機器台帳!$F$2:$F$400&lt;&gt;"")*(機器台帳!$C$2:$C$400&lt;=23)*(機器台帳!$C$2:$C$400+機器台帳!$D$2:$D$400-1&gt;=23),0),0))&amp;IF(INDEX(機器台帳!$G$2:$G$400,MATCH(1,INDEX((機器台帳!$A$2:$A$400="E24-S8-5")*((機器台帳!$B$2:$B$400="背面")+(機器台帳!$B$2:$B$400="両面")&gt;0)*(機器台帳!$F$2:$F$400&lt;&gt;"")*(機器台帳!$C$2:$C$400&lt;=23)*(機器台帳!$C$2:$C$400+機器台帳!$D$2:$D$400-1&gt;=23),0),0))=""," "," "&amp;INDEX(機器台帳!$G$2:$G$400,MATCH(1,INDEX((機器台帳!$A$2:$A$400="E24-S8-5")*((機器台帳!$B$2:$B$400="背面")+(機器台帳!$B$2:$B$400="両面")&gt;0)*(機器台帳!$F$2:$F$400&lt;&gt;"")*(機器台帳!$C$2:$C$400&lt;=23)*(機器台帳!$C$2:$C$400+機器台帳!$D$2:$D$400-1&gt;=23),0),0)))&amp;IF(SUMPRODUCT((機器台帳!$A$2:$A$400="E24-S8-5")*((機器台帳!$B$2:$B$400="背面")+(機器台帳!$B$2:$B$400="両面")&gt;0)*(機器台帳!$F$2:$F$400&lt;&gt;"")*(機器台帳!$C$2:$C$400&lt;=23)*(機器台帳!$C$2:$C$400+機器台帳!$D$2:$D$400-1&gt;=23))&gt;1," 他"&amp;(SUMPRODUCT((機器台帳!$A$2:$A$400="E24-S8-5")*((機器台帳!$B$2:$B$400="背面")+(機器台帳!$B$2:$B$400="両面")&gt;0)*(機器台帳!$F$2:$F$400&lt;&gt;"")*(機器台帳!$C$2:$C$400&lt;=23)*(機器台帳!$C$2:$C$400+機器台帳!$D$2:$D$400-1&gt;=23))-1)&amp;"台",""))</f>
        <v/>
      </c>
      <c r="U28">
        <f>IF(SUMPRODUCT((機器台帳!$A$2:$A$400="E24-S8-5")*((機器台帳!$B$2:$B$400="背面")+(機器台帳!$B$2:$B$400="両面")&gt;0)*(機器台帳!$F$2:$F$400&lt;&gt;"")*(機器台帳!$C$2:$C$400&lt;=23)*(機器台帳!$C$2:$C$400+機器台帳!$D$2:$D$400-1&gt;=23))=0,"",INDEX(機器台帳!$I$2:$I$400,MATCH(1,INDEX((機器台帳!$A$2:$A$400="E24-S8-5")*((機器台帳!$B$2:$B$400="背面")+(機器台帳!$B$2:$B$400="両面")&gt;0)*(機器台帳!$F$2:$F$400&lt;&gt;"")*(機器台帳!$C$2:$C$400&lt;=23)*(機器台帳!$C$2:$C$400+機器台帳!$D$2:$D$400-1&gt;=23),0),0))&amp;IF(INDEX(機器台帳!$Y$2:$Y$400,MATCH(1,INDEX((機器台帳!$A$2:$A$400="E24-S8-5")*((機器台帳!$B$2:$B$400="背面")+(機器台帳!$B$2:$B$400="両面")&gt;0)*(機器台帳!$F$2:$F$400&lt;&gt;"")*(機器台帳!$C$2:$C$400&lt;=23)*(機器台帳!$C$2:$C$400+機器台帳!$D$2:$D$400-1&gt;=23),0),0))=0,"|未記入",""))</f>
        <v/>
      </c>
      <c r="V28" s="12">
        <f>IF(SUMPRODUCT((機器台帳!$A$2:$A$400="E24-S6-1")*((機器台帳!$B$2:$B$400="前面")+(機器台帳!$B$2:$B$400="両面")&gt;0)*(機器台帳!$F$2:$F$400&lt;&gt;"")*(機器台帳!$C$2:$C$400&lt;=23)*(機器台帳!$C$2:$C$400+機器台帳!$D$2:$D$400-1&gt;=23))=0,"",INDEX(機器台帳!$F$2:$F$400,MATCH(1,INDEX((機器台帳!$A$2:$A$400="E24-S6-1")*((機器台帳!$B$2:$B$400="前面")+(機器台帳!$B$2:$B$400="両面")&gt;0)*(機器台帳!$F$2:$F$400&lt;&gt;"")*(機器台帳!$C$2:$C$400&lt;=23)*(機器台帳!$C$2:$C$400+機器台帳!$D$2:$D$400-1&gt;=23),0),0))&amp;IF(INDEX(機器台帳!$G$2:$G$400,MATCH(1,INDEX((機器台帳!$A$2:$A$400="E24-S6-1")*((機器台帳!$B$2:$B$400="前面")+(機器台帳!$B$2:$B$400="両面")&gt;0)*(機器台帳!$F$2:$F$400&lt;&gt;"")*(機器台帳!$C$2:$C$400&lt;=23)*(機器台帳!$C$2:$C$400+機器台帳!$D$2:$D$400-1&gt;=23),0),0))=""," "," "&amp;INDEX(機器台帳!$G$2:$G$400,MATCH(1,INDEX((機器台帳!$A$2:$A$400="E24-S6-1")*((機器台帳!$B$2:$B$400="前面")+(機器台帳!$B$2:$B$400="両面")&gt;0)*(機器台帳!$F$2:$F$400&lt;&gt;"")*(機器台帳!$C$2:$C$400&lt;=23)*(機器台帳!$C$2:$C$400+機器台帳!$D$2:$D$400-1&gt;=23),0),0)))&amp;IF(SUMPRODUCT((機器台帳!$A$2:$A$400="E24-S6-1")*((機器台帳!$B$2:$B$400="前面")+(機器台帳!$B$2:$B$400="両面")&gt;0)*(機器台帳!$F$2:$F$400&lt;&gt;"")*(機器台帳!$C$2:$C$400&lt;=23)*(機器台帳!$C$2:$C$400+機器台帳!$D$2:$D$400-1&gt;=23))&gt;1," 他"&amp;(SUMPRODUCT((機器台帳!$A$2:$A$400="E24-S6-1")*((機器台帳!$B$2:$B$400="前面")+(機器台帳!$B$2:$B$400="両面")&gt;0)*(機器台帳!$F$2:$F$400&lt;&gt;"")*(機器台帳!$C$2:$C$400&lt;=23)*(機器台帳!$C$2:$C$400+機器台帳!$D$2:$D$400-1&gt;=23))-1)&amp;"台",""))</f>
        <v/>
      </c>
      <c r="W28">
        <f>IF(SUMPRODUCT((機器台帳!$A$2:$A$400="E24-S6-1")*((機器台帳!$B$2:$B$400="前面")+(機器台帳!$B$2:$B$400="両面")&gt;0)*(機器台帳!$F$2:$F$400&lt;&gt;"")*(機器台帳!$C$2:$C$400&lt;=23)*(機器台帳!$C$2:$C$400+機器台帳!$D$2:$D$400-1&gt;=23))=0,"",INDEX(機器台帳!$I$2:$I$400,MATCH(1,INDEX((機器台帳!$A$2:$A$400="E24-S6-1")*((機器台帳!$B$2:$B$400="前面")+(機器台帳!$B$2:$B$400="両面")&gt;0)*(機器台帳!$F$2:$F$400&lt;&gt;"")*(機器台帳!$C$2:$C$400&lt;=23)*(機器台帳!$C$2:$C$400+機器台帳!$D$2:$D$400-1&gt;=23),0),0))&amp;IF(INDEX(機器台帳!$Y$2:$Y$400,MATCH(1,INDEX((機器台帳!$A$2:$A$400="E24-S6-1")*((機器台帳!$B$2:$B$400="前面")+(機器台帳!$B$2:$B$400="両面")&gt;0)*(機器台帳!$F$2:$F$400&lt;&gt;"")*(機器台帳!$C$2:$C$400&lt;=23)*(機器台帳!$C$2:$C$400+機器台帳!$D$2:$D$400-1&gt;=23),0),0))=0,"|未記入",""))</f>
        <v/>
      </c>
      <c r="X28" s="12">
        <f>IF(SUMPRODUCT((機器台帳!$A$2:$A$400="E24-S6-1")*((機器台帳!$B$2:$B$400="背面")+(機器台帳!$B$2:$B$400="両面")&gt;0)*(機器台帳!$F$2:$F$400&lt;&gt;"")*(機器台帳!$C$2:$C$400&lt;=23)*(機器台帳!$C$2:$C$400+機器台帳!$D$2:$D$400-1&gt;=23))=0,"",INDEX(機器台帳!$F$2:$F$400,MATCH(1,INDEX((機器台帳!$A$2:$A$400="E24-S6-1")*((機器台帳!$B$2:$B$400="背面")+(機器台帳!$B$2:$B$400="両面")&gt;0)*(機器台帳!$F$2:$F$400&lt;&gt;"")*(機器台帳!$C$2:$C$400&lt;=23)*(機器台帳!$C$2:$C$400+機器台帳!$D$2:$D$400-1&gt;=23),0),0))&amp;IF(INDEX(機器台帳!$G$2:$G$400,MATCH(1,INDEX((機器台帳!$A$2:$A$400="E24-S6-1")*((機器台帳!$B$2:$B$400="背面")+(機器台帳!$B$2:$B$400="両面")&gt;0)*(機器台帳!$F$2:$F$400&lt;&gt;"")*(機器台帳!$C$2:$C$400&lt;=23)*(機器台帳!$C$2:$C$400+機器台帳!$D$2:$D$400-1&gt;=23),0),0))=""," "," "&amp;INDEX(機器台帳!$G$2:$G$400,MATCH(1,INDEX((機器台帳!$A$2:$A$400="E24-S6-1")*((機器台帳!$B$2:$B$400="背面")+(機器台帳!$B$2:$B$400="両面")&gt;0)*(機器台帳!$F$2:$F$400&lt;&gt;"")*(機器台帳!$C$2:$C$400&lt;=23)*(機器台帳!$C$2:$C$400+機器台帳!$D$2:$D$400-1&gt;=23),0),0)))&amp;IF(SUMPRODUCT((機器台帳!$A$2:$A$400="E24-S6-1")*((機器台帳!$B$2:$B$400="背面")+(機器台帳!$B$2:$B$400="両面")&gt;0)*(機器台帳!$F$2:$F$400&lt;&gt;"")*(機器台帳!$C$2:$C$400&lt;=23)*(機器台帳!$C$2:$C$400+機器台帳!$D$2:$D$400-1&gt;=23))&gt;1," 他"&amp;(SUMPRODUCT((機器台帳!$A$2:$A$400="E24-S6-1")*((機器台帳!$B$2:$B$400="背面")+(機器台帳!$B$2:$B$400="両面")&gt;0)*(機器台帳!$F$2:$F$400&lt;&gt;"")*(機器台帳!$C$2:$C$400&lt;=23)*(機器台帳!$C$2:$C$400+機器台帳!$D$2:$D$400-1&gt;=23))-1)&amp;"台",""))</f>
        <v/>
      </c>
      <c r="Y28">
        <f>IF(SUMPRODUCT((機器台帳!$A$2:$A$400="E24-S6-1")*((機器台帳!$B$2:$B$400="背面")+(機器台帳!$B$2:$B$400="両面")&gt;0)*(機器台帳!$F$2:$F$400&lt;&gt;"")*(機器台帳!$C$2:$C$400&lt;=23)*(機器台帳!$C$2:$C$400+機器台帳!$D$2:$D$400-1&gt;=23))=0,"",INDEX(機器台帳!$I$2:$I$400,MATCH(1,INDEX((機器台帳!$A$2:$A$400="E24-S6-1")*((機器台帳!$B$2:$B$400="背面")+(機器台帳!$B$2:$B$400="両面")&gt;0)*(機器台帳!$F$2:$F$400&lt;&gt;"")*(機器台帳!$C$2:$C$400&lt;=23)*(機器台帳!$C$2:$C$400+機器台帳!$D$2:$D$400-1&gt;=23),0),0))&amp;IF(INDEX(機器台帳!$Y$2:$Y$400,MATCH(1,INDEX((機器台帳!$A$2:$A$400="E24-S6-1")*((機器台帳!$B$2:$B$400="背面")+(機器台帳!$B$2:$B$400="両面")&gt;0)*(機器台帳!$F$2:$F$400&lt;&gt;"")*(機器台帳!$C$2:$C$400&lt;=23)*(機器台帳!$C$2:$C$400+機器台帳!$D$2:$D$400-1&gt;=23),0),0))=0,"|未記入",""))</f>
        <v/>
      </c>
    </row>
    <row r="29">
      <c r="A29" s="11" t="n">
        <v>22</v>
      </c>
      <c r="B29" s="12">
        <f>IF(SUMPRODUCT((機器台帳!$A$2:$A$400="E24-S8-1")*((機器台帳!$B$2:$B$400="前面")+(機器台帳!$B$2:$B$400="両面")&gt;0)*(機器台帳!$F$2:$F$400&lt;&gt;"")*(機器台帳!$C$2:$C$400&lt;=22)*(機器台帳!$C$2:$C$400+機器台帳!$D$2:$D$400-1&gt;=22))=0,"",INDEX(機器台帳!$F$2:$F$400,MATCH(1,INDEX((機器台帳!$A$2:$A$400="E24-S8-1")*((機器台帳!$B$2:$B$400="前面")+(機器台帳!$B$2:$B$400="両面")&gt;0)*(機器台帳!$F$2:$F$400&lt;&gt;"")*(機器台帳!$C$2:$C$400&lt;=22)*(機器台帳!$C$2:$C$400+機器台帳!$D$2:$D$400-1&gt;=22),0),0))&amp;IF(INDEX(機器台帳!$G$2:$G$400,MATCH(1,INDEX((機器台帳!$A$2:$A$400="E24-S8-1")*((機器台帳!$B$2:$B$400="前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-1")*((機器台帳!$B$2:$B$400="前面")+(機器台帳!$B$2:$B$400="両面")&gt;0)*(機器台帳!$F$2:$F$400&lt;&gt;"")*(機器台帳!$C$2:$C$400&lt;=22)*(機器台帳!$C$2:$C$400+機器台帳!$D$2:$D$400-1&gt;=22),0),0)))&amp;IF(SUMPRODUCT((機器台帳!$A$2:$A$400="E24-S8-1")*((機器台帳!$B$2:$B$400="前面")+(機器台帳!$B$2:$B$400="両面")&gt;0)*(機器台帳!$F$2:$F$400&lt;&gt;"")*(機器台帳!$C$2:$C$400&lt;=22)*(機器台帳!$C$2:$C$400+機器台帳!$D$2:$D$400-1&gt;=22))&gt;1," 他"&amp;(SUMPRODUCT((機器台帳!$A$2:$A$400="E24-S8-1")*((機器台帳!$B$2:$B$400="前面")+(機器台帳!$B$2:$B$400="両面")&gt;0)*(機器台帳!$F$2:$F$400&lt;&gt;"")*(機器台帳!$C$2:$C$400&lt;=22)*(機器台帳!$C$2:$C$400+機器台帳!$D$2:$D$400-1&gt;=22))-1)&amp;"台",""))</f>
        <v/>
      </c>
      <c r="C29">
        <f>IF(SUMPRODUCT((機器台帳!$A$2:$A$400="E24-S8-1")*((機器台帳!$B$2:$B$400="前面")+(機器台帳!$B$2:$B$400="両面")&gt;0)*(機器台帳!$F$2:$F$400&lt;&gt;"")*(機器台帳!$C$2:$C$400&lt;=22)*(機器台帳!$C$2:$C$400+機器台帳!$D$2:$D$400-1&gt;=22))=0,"",INDEX(機器台帳!$I$2:$I$400,MATCH(1,INDEX((機器台帳!$A$2:$A$400="E24-S8-1")*((機器台帳!$B$2:$B$400="前面")+(機器台帳!$B$2:$B$400="両面")&gt;0)*(機器台帳!$F$2:$F$400&lt;&gt;"")*(機器台帳!$C$2:$C$400&lt;=22)*(機器台帳!$C$2:$C$400+機器台帳!$D$2:$D$400-1&gt;=22),0),0))&amp;IF(INDEX(機器台帳!$Y$2:$Y$400,MATCH(1,INDEX((機器台帳!$A$2:$A$400="E24-S8-1")*((機器台帳!$B$2:$B$400="前面")+(機器台帳!$B$2:$B$400="両面")&gt;0)*(機器台帳!$F$2:$F$400&lt;&gt;"")*(機器台帳!$C$2:$C$400&lt;=22)*(機器台帳!$C$2:$C$400+機器台帳!$D$2:$D$400-1&gt;=22),0),0))=0,"|未記入",""))</f>
        <v/>
      </c>
      <c r="D29" s="12">
        <f>IF(SUMPRODUCT((機器台帳!$A$2:$A$400="E24-S8-1")*((機器台帳!$B$2:$B$400="背面")+(機器台帳!$B$2:$B$400="両面")&gt;0)*(機器台帳!$F$2:$F$400&lt;&gt;"")*(機器台帳!$C$2:$C$400&lt;=22)*(機器台帳!$C$2:$C$400+機器台帳!$D$2:$D$400-1&gt;=22))=0,"",INDEX(機器台帳!$F$2:$F$400,MATCH(1,INDEX((機器台帳!$A$2:$A$400="E24-S8-1")*((機器台帳!$B$2:$B$400="背面")+(機器台帳!$B$2:$B$400="両面")&gt;0)*(機器台帳!$F$2:$F$400&lt;&gt;"")*(機器台帳!$C$2:$C$400&lt;=22)*(機器台帳!$C$2:$C$400+機器台帳!$D$2:$D$400-1&gt;=22),0),0))&amp;IF(INDEX(機器台帳!$G$2:$G$400,MATCH(1,INDEX((機器台帳!$A$2:$A$400="E24-S8-1")*((機器台帳!$B$2:$B$400="背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-1")*((機器台帳!$B$2:$B$400="背面")+(機器台帳!$B$2:$B$400="両面")&gt;0)*(機器台帳!$F$2:$F$400&lt;&gt;"")*(機器台帳!$C$2:$C$400&lt;=22)*(機器台帳!$C$2:$C$400+機器台帳!$D$2:$D$400-1&gt;=22),0),0)))&amp;IF(SUMPRODUCT((機器台帳!$A$2:$A$400="E24-S8-1")*((機器台帳!$B$2:$B$400="背面")+(機器台帳!$B$2:$B$400="両面")&gt;0)*(機器台帳!$F$2:$F$400&lt;&gt;"")*(機器台帳!$C$2:$C$400&lt;=22)*(機器台帳!$C$2:$C$400+機器台帳!$D$2:$D$400-1&gt;=22))&gt;1," 他"&amp;(SUMPRODUCT((機器台帳!$A$2:$A$400="E24-S8-1")*((機器台帳!$B$2:$B$400="背面")+(機器台帳!$B$2:$B$400="両面")&gt;0)*(機器台帳!$F$2:$F$400&lt;&gt;"")*(機器台帳!$C$2:$C$400&lt;=22)*(機器台帳!$C$2:$C$400+機器台帳!$D$2:$D$400-1&gt;=22))-1)&amp;"台",""))</f>
        <v/>
      </c>
      <c r="E29">
        <f>IF(SUMPRODUCT((機器台帳!$A$2:$A$400="E24-S8-1")*((機器台帳!$B$2:$B$400="背面")+(機器台帳!$B$2:$B$400="両面")&gt;0)*(機器台帳!$F$2:$F$400&lt;&gt;"")*(機器台帳!$C$2:$C$400&lt;=22)*(機器台帳!$C$2:$C$400+機器台帳!$D$2:$D$400-1&gt;=22))=0,"",INDEX(機器台帳!$I$2:$I$400,MATCH(1,INDEX((機器台帳!$A$2:$A$400="E24-S8-1")*((機器台帳!$B$2:$B$400="背面")+(機器台帳!$B$2:$B$400="両面")&gt;0)*(機器台帳!$F$2:$F$400&lt;&gt;"")*(機器台帳!$C$2:$C$400&lt;=22)*(機器台帳!$C$2:$C$400+機器台帳!$D$2:$D$400-1&gt;=22),0),0))&amp;IF(INDEX(機器台帳!$Y$2:$Y$400,MATCH(1,INDEX((機器台帳!$A$2:$A$400="E24-S8-1")*((機器台帳!$B$2:$B$400="背面")+(機器台帳!$B$2:$B$400="両面")&gt;0)*(機器台帳!$F$2:$F$400&lt;&gt;"")*(機器台帳!$C$2:$C$400&lt;=22)*(機器台帳!$C$2:$C$400+機器台帳!$D$2:$D$400-1&gt;=22),0),0))=0,"|未記入",""))</f>
        <v/>
      </c>
      <c r="F29" s="12">
        <f>IF(SUMPRODUCT((機器台帳!$A$2:$A$400="E24-S8-2")*((機器台帳!$B$2:$B$400="前面")+(機器台帳!$B$2:$B$400="両面")&gt;0)*(機器台帳!$F$2:$F$400&lt;&gt;"")*(機器台帳!$C$2:$C$400&lt;=22)*(機器台帳!$C$2:$C$400+機器台帳!$D$2:$D$400-1&gt;=22))=0,"",INDEX(機器台帳!$F$2:$F$400,MATCH(1,INDEX((機器台帳!$A$2:$A$400="E24-S8-2")*((機器台帳!$B$2:$B$400="前面")+(機器台帳!$B$2:$B$400="両面")&gt;0)*(機器台帳!$F$2:$F$400&lt;&gt;"")*(機器台帳!$C$2:$C$400&lt;=22)*(機器台帳!$C$2:$C$400+機器台帳!$D$2:$D$400-1&gt;=22),0),0))&amp;IF(INDEX(機器台帳!$G$2:$G$400,MATCH(1,INDEX((機器台帳!$A$2:$A$400="E24-S8-2")*((機器台帳!$B$2:$B$400="前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-2")*((機器台帳!$B$2:$B$400="前面")+(機器台帳!$B$2:$B$400="両面")&gt;0)*(機器台帳!$F$2:$F$400&lt;&gt;"")*(機器台帳!$C$2:$C$400&lt;=22)*(機器台帳!$C$2:$C$400+機器台帳!$D$2:$D$400-1&gt;=22),0),0)))&amp;IF(SUMPRODUCT((機器台帳!$A$2:$A$400="E24-S8-2")*((機器台帳!$B$2:$B$400="前面")+(機器台帳!$B$2:$B$400="両面")&gt;0)*(機器台帳!$F$2:$F$400&lt;&gt;"")*(機器台帳!$C$2:$C$400&lt;=22)*(機器台帳!$C$2:$C$400+機器台帳!$D$2:$D$400-1&gt;=22))&gt;1," 他"&amp;(SUMPRODUCT((機器台帳!$A$2:$A$400="E24-S8-2")*((機器台帳!$B$2:$B$400="前面")+(機器台帳!$B$2:$B$400="両面")&gt;0)*(機器台帳!$F$2:$F$400&lt;&gt;"")*(機器台帳!$C$2:$C$400&lt;=22)*(機器台帳!$C$2:$C$400+機器台帳!$D$2:$D$400-1&gt;=22))-1)&amp;"台",""))</f>
        <v/>
      </c>
      <c r="G29">
        <f>IF(SUMPRODUCT((機器台帳!$A$2:$A$400="E24-S8-2")*((機器台帳!$B$2:$B$400="前面")+(機器台帳!$B$2:$B$400="両面")&gt;0)*(機器台帳!$F$2:$F$400&lt;&gt;"")*(機器台帳!$C$2:$C$400&lt;=22)*(機器台帳!$C$2:$C$400+機器台帳!$D$2:$D$400-1&gt;=22))=0,"",INDEX(機器台帳!$I$2:$I$400,MATCH(1,INDEX((機器台帳!$A$2:$A$400="E24-S8-2")*((機器台帳!$B$2:$B$400="前面")+(機器台帳!$B$2:$B$400="両面")&gt;0)*(機器台帳!$F$2:$F$400&lt;&gt;"")*(機器台帳!$C$2:$C$400&lt;=22)*(機器台帳!$C$2:$C$400+機器台帳!$D$2:$D$400-1&gt;=22),0),0))&amp;IF(INDEX(機器台帳!$Y$2:$Y$400,MATCH(1,INDEX((機器台帳!$A$2:$A$400="E24-S8-2")*((機器台帳!$B$2:$B$400="前面")+(機器台帳!$B$2:$B$400="両面")&gt;0)*(機器台帳!$F$2:$F$400&lt;&gt;"")*(機器台帳!$C$2:$C$400&lt;=22)*(機器台帳!$C$2:$C$400+機器台帳!$D$2:$D$400-1&gt;=22),0),0))=0,"|未記入",""))</f>
        <v/>
      </c>
      <c r="H29" s="12">
        <f>IF(SUMPRODUCT((機器台帳!$A$2:$A$400="E24-S8-2")*((機器台帳!$B$2:$B$400="背面")+(機器台帳!$B$2:$B$400="両面")&gt;0)*(機器台帳!$F$2:$F$400&lt;&gt;"")*(機器台帳!$C$2:$C$400&lt;=22)*(機器台帳!$C$2:$C$400+機器台帳!$D$2:$D$400-1&gt;=22))=0,"",INDEX(機器台帳!$F$2:$F$400,MATCH(1,INDEX((機器台帳!$A$2:$A$400="E24-S8-2")*((機器台帳!$B$2:$B$400="背面")+(機器台帳!$B$2:$B$400="両面")&gt;0)*(機器台帳!$F$2:$F$400&lt;&gt;"")*(機器台帳!$C$2:$C$400&lt;=22)*(機器台帳!$C$2:$C$400+機器台帳!$D$2:$D$400-1&gt;=22),0),0))&amp;IF(INDEX(機器台帳!$G$2:$G$400,MATCH(1,INDEX((機器台帳!$A$2:$A$400="E24-S8-2")*((機器台帳!$B$2:$B$400="背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-2")*((機器台帳!$B$2:$B$400="背面")+(機器台帳!$B$2:$B$400="両面")&gt;0)*(機器台帳!$F$2:$F$400&lt;&gt;"")*(機器台帳!$C$2:$C$400&lt;=22)*(機器台帳!$C$2:$C$400+機器台帳!$D$2:$D$400-1&gt;=22),0),0)))&amp;IF(SUMPRODUCT((機器台帳!$A$2:$A$400="E24-S8-2")*((機器台帳!$B$2:$B$400="背面")+(機器台帳!$B$2:$B$400="両面")&gt;0)*(機器台帳!$F$2:$F$400&lt;&gt;"")*(機器台帳!$C$2:$C$400&lt;=22)*(機器台帳!$C$2:$C$400+機器台帳!$D$2:$D$400-1&gt;=22))&gt;1," 他"&amp;(SUMPRODUCT((機器台帳!$A$2:$A$400="E24-S8-2")*((機器台帳!$B$2:$B$400="背面")+(機器台帳!$B$2:$B$400="両面")&gt;0)*(機器台帳!$F$2:$F$400&lt;&gt;"")*(機器台帳!$C$2:$C$400&lt;=22)*(機器台帳!$C$2:$C$400+機器台帳!$D$2:$D$400-1&gt;=22))-1)&amp;"台",""))</f>
        <v/>
      </c>
      <c r="I29">
        <f>IF(SUMPRODUCT((機器台帳!$A$2:$A$400="E24-S8-2")*((機器台帳!$B$2:$B$400="背面")+(機器台帳!$B$2:$B$400="両面")&gt;0)*(機器台帳!$F$2:$F$400&lt;&gt;"")*(機器台帳!$C$2:$C$400&lt;=22)*(機器台帳!$C$2:$C$400+機器台帳!$D$2:$D$400-1&gt;=22))=0,"",INDEX(機器台帳!$I$2:$I$400,MATCH(1,INDEX((機器台帳!$A$2:$A$400="E24-S8-2")*((機器台帳!$B$2:$B$400="背面")+(機器台帳!$B$2:$B$400="両面")&gt;0)*(機器台帳!$F$2:$F$400&lt;&gt;"")*(機器台帳!$C$2:$C$400&lt;=22)*(機器台帳!$C$2:$C$400+機器台帳!$D$2:$D$400-1&gt;=22),0),0))&amp;IF(INDEX(機器台帳!$Y$2:$Y$400,MATCH(1,INDEX((機器台帳!$A$2:$A$400="E24-S8-2")*((機器台帳!$B$2:$B$400="背面")+(機器台帳!$B$2:$B$400="両面")&gt;0)*(機器台帳!$F$2:$F$400&lt;&gt;"")*(機器台帳!$C$2:$C$400&lt;=22)*(機器台帳!$C$2:$C$400+機器台帳!$D$2:$D$400-1&gt;=22),0),0))=0,"|未記入",""))</f>
        <v/>
      </c>
      <c r="J29" s="12">
        <f>IF(SUMPRODUCT((機器台帳!$A$2:$A$400="E24-S8-3")*((機器台帳!$B$2:$B$400="前面")+(機器台帳!$B$2:$B$400="両面")&gt;0)*(機器台帳!$F$2:$F$400&lt;&gt;"")*(機器台帳!$C$2:$C$400&lt;=22)*(機器台帳!$C$2:$C$400+機器台帳!$D$2:$D$400-1&gt;=22))=0,"",INDEX(機器台帳!$F$2:$F$400,MATCH(1,INDEX((機器台帳!$A$2:$A$400="E24-S8-3")*((機器台帳!$B$2:$B$400="前面")+(機器台帳!$B$2:$B$400="両面")&gt;0)*(機器台帳!$F$2:$F$400&lt;&gt;"")*(機器台帳!$C$2:$C$400&lt;=22)*(機器台帳!$C$2:$C$400+機器台帳!$D$2:$D$400-1&gt;=22),0),0))&amp;IF(INDEX(機器台帳!$G$2:$G$400,MATCH(1,INDEX((機器台帳!$A$2:$A$400="E24-S8-3")*((機器台帳!$B$2:$B$400="前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-3")*((機器台帳!$B$2:$B$400="前面")+(機器台帳!$B$2:$B$400="両面")&gt;0)*(機器台帳!$F$2:$F$400&lt;&gt;"")*(機器台帳!$C$2:$C$400&lt;=22)*(機器台帳!$C$2:$C$400+機器台帳!$D$2:$D$400-1&gt;=22),0),0)))&amp;IF(SUMPRODUCT((機器台帳!$A$2:$A$400="E24-S8-3")*((機器台帳!$B$2:$B$400="前面")+(機器台帳!$B$2:$B$400="両面")&gt;0)*(機器台帳!$F$2:$F$400&lt;&gt;"")*(機器台帳!$C$2:$C$400&lt;=22)*(機器台帳!$C$2:$C$400+機器台帳!$D$2:$D$400-1&gt;=22))&gt;1," 他"&amp;(SUMPRODUCT((機器台帳!$A$2:$A$400="E24-S8-3")*((機器台帳!$B$2:$B$400="前面")+(機器台帳!$B$2:$B$400="両面")&gt;0)*(機器台帳!$F$2:$F$400&lt;&gt;"")*(機器台帳!$C$2:$C$400&lt;=22)*(機器台帳!$C$2:$C$400+機器台帳!$D$2:$D$400-1&gt;=22))-1)&amp;"台",""))</f>
        <v/>
      </c>
      <c r="K29">
        <f>IF(SUMPRODUCT((機器台帳!$A$2:$A$400="E24-S8-3")*((機器台帳!$B$2:$B$400="前面")+(機器台帳!$B$2:$B$400="両面")&gt;0)*(機器台帳!$F$2:$F$400&lt;&gt;"")*(機器台帳!$C$2:$C$400&lt;=22)*(機器台帳!$C$2:$C$400+機器台帳!$D$2:$D$400-1&gt;=22))=0,"",INDEX(機器台帳!$I$2:$I$400,MATCH(1,INDEX((機器台帳!$A$2:$A$400="E24-S8-3")*((機器台帳!$B$2:$B$400="前面")+(機器台帳!$B$2:$B$400="両面")&gt;0)*(機器台帳!$F$2:$F$400&lt;&gt;"")*(機器台帳!$C$2:$C$400&lt;=22)*(機器台帳!$C$2:$C$400+機器台帳!$D$2:$D$400-1&gt;=22),0),0))&amp;IF(INDEX(機器台帳!$Y$2:$Y$400,MATCH(1,INDEX((機器台帳!$A$2:$A$400="E24-S8-3")*((機器台帳!$B$2:$B$400="前面")+(機器台帳!$B$2:$B$400="両面")&gt;0)*(機器台帳!$F$2:$F$400&lt;&gt;"")*(機器台帳!$C$2:$C$400&lt;=22)*(機器台帳!$C$2:$C$400+機器台帳!$D$2:$D$400-1&gt;=22),0),0))=0,"|未記入",""))</f>
        <v/>
      </c>
      <c r="L29" s="12">
        <f>IF(SUMPRODUCT((機器台帳!$A$2:$A$400="E24-S8-3")*((機器台帳!$B$2:$B$400="背面")+(機器台帳!$B$2:$B$400="両面")&gt;0)*(機器台帳!$F$2:$F$400&lt;&gt;"")*(機器台帳!$C$2:$C$400&lt;=22)*(機器台帳!$C$2:$C$400+機器台帳!$D$2:$D$400-1&gt;=22))=0,"",INDEX(機器台帳!$F$2:$F$400,MATCH(1,INDEX((機器台帳!$A$2:$A$400="E24-S8-3")*((機器台帳!$B$2:$B$400="背面")+(機器台帳!$B$2:$B$400="両面")&gt;0)*(機器台帳!$F$2:$F$400&lt;&gt;"")*(機器台帳!$C$2:$C$400&lt;=22)*(機器台帳!$C$2:$C$400+機器台帳!$D$2:$D$400-1&gt;=22),0),0))&amp;IF(INDEX(機器台帳!$G$2:$G$400,MATCH(1,INDEX((機器台帳!$A$2:$A$400="E24-S8-3")*((機器台帳!$B$2:$B$400="背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-3")*((機器台帳!$B$2:$B$400="背面")+(機器台帳!$B$2:$B$400="両面")&gt;0)*(機器台帳!$F$2:$F$400&lt;&gt;"")*(機器台帳!$C$2:$C$400&lt;=22)*(機器台帳!$C$2:$C$400+機器台帳!$D$2:$D$400-1&gt;=22),0),0)))&amp;IF(SUMPRODUCT((機器台帳!$A$2:$A$400="E24-S8-3")*((機器台帳!$B$2:$B$400="背面")+(機器台帳!$B$2:$B$400="両面")&gt;0)*(機器台帳!$F$2:$F$400&lt;&gt;"")*(機器台帳!$C$2:$C$400&lt;=22)*(機器台帳!$C$2:$C$400+機器台帳!$D$2:$D$400-1&gt;=22))&gt;1," 他"&amp;(SUMPRODUCT((機器台帳!$A$2:$A$400="E24-S8-3")*((機器台帳!$B$2:$B$400="背面")+(機器台帳!$B$2:$B$400="両面")&gt;0)*(機器台帳!$F$2:$F$400&lt;&gt;"")*(機器台帳!$C$2:$C$400&lt;=22)*(機器台帳!$C$2:$C$400+機器台帳!$D$2:$D$400-1&gt;=22))-1)&amp;"台",""))</f>
        <v/>
      </c>
      <c r="M29">
        <f>IF(SUMPRODUCT((機器台帳!$A$2:$A$400="E24-S8-3")*((機器台帳!$B$2:$B$400="背面")+(機器台帳!$B$2:$B$400="両面")&gt;0)*(機器台帳!$F$2:$F$400&lt;&gt;"")*(機器台帳!$C$2:$C$400&lt;=22)*(機器台帳!$C$2:$C$400+機器台帳!$D$2:$D$400-1&gt;=22))=0,"",INDEX(機器台帳!$I$2:$I$400,MATCH(1,INDEX((機器台帳!$A$2:$A$400="E24-S8-3")*((機器台帳!$B$2:$B$400="背面")+(機器台帳!$B$2:$B$400="両面")&gt;0)*(機器台帳!$F$2:$F$400&lt;&gt;"")*(機器台帳!$C$2:$C$400&lt;=22)*(機器台帳!$C$2:$C$400+機器台帳!$D$2:$D$400-1&gt;=22),0),0))&amp;IF(INDEX(機器台帳!$Y$2:$Y$400,MATCH(1,INDEX((機器台帳!$A$2:$A$400="E24-S8-3")*((機器台帳!$B$2:$B$400="背面")+(機器台帳!$B$2:$B$400="両面")&gt;0)*(機器台帳!$F$2:$F$400&lt;&gt;"")*(機器台帳!$C$2:$C$400&lt;=22)*(機器台帳!$C$2:$C$400+機器台帳!$D$2:$D$400-1&gt;=22),0),0))=0,"|未記入",""))</f>
        <v/>
      </c>
      <c r="N29" s="12">
        <f>IF(SUMPRODUCT((機器台帳!$A$2:$A$400="E24-S8-4")*((機器台帳!$B$2:$B$400="前面")+(機器台帳!$B$2:$B$400="両面")&gt;0)*(機器台帳!$F$2:$F$400&lt;&gt;"")*(機器台帳!$C$2:$C$400&lt;=22)*(機器台帳!$C$2:$C$400+機器台帳!$D$2:$D$400-1&gt;=22))=0,"",INDEX(機器台帳!$F$2:$F$400,MATCH(1,INDEX((機器台帳!$A$2:$A$400="E24-S8-4")*((機器台帳!$B$2:$B$400="前面")+(機器台帳!$B$2:$B$400="両面")&gt;0)*(機器台帳!$F$2:$F$400&lt;&gt;"")*(機器台帳!$C$2:$C$400&lt;=22)*(機器台帳!$C$2:$C$400+機器台帳!$D$2:$D$400-1&gt;=22),0),0))&amp;IF(INDEX(機器台帳!$G$2:$G$400,MATCH(1,INDEX((機器台帳!$A$2:$A$400="E24-S8-4")*((機器台帳!$B$2:$B$400="前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-4")*((機器台帳!$B$2:$B$400="前面")+(機器台帳!$B$2:$B$400="両面")&gt;0)*(機器台帳!$F$2:$F$400&lt;&gt;"")*(機器台帳!$C$2:$C$400&lt;=22)*(機器台帳!$C$2:$C$400+機器台帳!$D$2:$D$400-1&gt;=22),0),0)))&amp;IF(SUMPRODUCT((機器台帳!$A$2:$A$400="E24-S8-4")*((機器台帳!$B$2:$B$400="前面")+(機器台帳!$B$2:$B$400="両面")&gt;0)*(機器台帳!$F$2:$F$400&lt;&gt;"")*(機器台帳!$C$2:$C$400&lt;=22)*(機器台帳!$C$2:$C$400+機器台帳!$D$2:$D$400-1&gt;=22))&gt;1," 他"&amp;(SUMPRODUCT((機器台帳!$A$2:$A$400="E24-S8-4")*((機器台帳!$B$2:$B$400="前面")+(機器台帳!$B$2:$B$400="両面")&gt;0)*(機器台帳!$F$2:$F$400&lt;&gt;"")*(機器台帳!$C$2:$C$400&lt;=22)*(機器台帳!$C$2:$C$400+機器台帳!$D$2:$D$400-1&gt;=22))-1)&amp;"台",""))</f>
        <v/>
      </c>
      <c r="O29">
        <f>IF(SUMPRODUCT((機器台帳!$A$2:$A$400="E24-S8-4")*((機器台帳!$B$2:$B$400="前面")+(機器台帳!$B$2:$B$400="両面")&gt;0)*(機器台帳!$F$2:$F$400&lt;&gt;"")*(機器台帳!$C$2:$C$400&lt;=22)*(機器台帳!$C$2:$C$400+機器台帳!$D$2:$D$400-1&gt;=22))=0,"",INDEX(機器台帳!$I$2:$I$400,MATCH(1,INDEX((機器台帳!$A$2:$A$400="E24-S8-4")*((機器台帳!$B$2:$B$400="前面")+(機器台帳!$B$2:$B$400="両面")&gt;0)*(機器台帳!$F$2:$F$400&lt;&gt;"")*(機器台帳!$C$2:$C$400&lt;=22)*(機器台帳!$C$2:$C$400+機器台帳!$D$2:$D$400-1&gt;=22),0),0))&amp;IF(INDEX(機器台帳!$Y$2:$Y$400,MATCH(1,INDEX((機器台帳!$A$2:$A$400="E24-S8-4")*((機器台帳!$B$2:$B$400="前面")+(機器台帳!$B$2:$B$400="両面")&gt;0)*(機器台帳!$F$2:$F$400&lt;&gt;"")*(機器台帳!$C$2:$C$400&lt;=22)*(機器台帳!$C$2:$C$400+機器台帳!$D$2:$D$400-1&gt;=22),0),0))=0,"|未記入",""))</f>
        <v/>
      </c>
      <c r="P29" s="12">
        <f>IF(SUMPRODUCT((機器台帳!$A$2:$A$400="E24-S8-4")*((機器台帳!$B$2:$B$400="背面")+(機器台帳!$B$2:$B$400="両面")&gt;0)*(機器台帳!$F$2:$F$400&lt;&gt;"")*(機器台帳!$C$2:$C$400&lt;=22)*(機器台帳!$C$2:$C$400+機器台帳!$D$2:$D$400-1&gt;=22))=0,"",INDEX(機器台帳!$F$2:$F$400,MATCH(1,INDEX((機器台帳!$A$2:$A$400="E24-S8-4")*((機器台帳!$B$2:$B$400="背面")+(機器台帳!$B$2:$B$400="両面")&gt;0)*(機器台帳!$F$2:$F$400&lt;&gt;"")*(機器台帳!$C$2:$C$400&lt;=22)*(機器台帳!$C$2:$C$400+機器台帳!$D$2:$D$400-1&gt;=22),0),0))&amp;IF(INDEX(機器台帳!$G$2:$G$400,MATCH(1,INDEX((機器台帳!$A$2:$A$400="E24-S8-4")*((機器台帳!$B$2:$B$400="背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-4")*((機器台帳!$B$2:$B$400="背面")+(機器台帳!$B$2:$B$400="両面")&gt;0)*(機器台帳!$F$2:$F$400&lt;&gt;"")*(機器台帳!$C$2:$C$400&lt;=22)*(機器台帳!$C$2:$C$400+機器台帳!$D$2:$D$400-1&gt;=22),0),0)))&amp;IF(SUMPRODUCT((機器台帳!$A$2:$A$400="E24-S8-4")*((機器台帳!$B$2:$B$400="背面")+(機器台帳!$B$2:$B$400="両面")&gt;0)*(機器台帳!$F$2:$F$400&lt;&gt;"")*(機器台帳!$C$2:$C$400&lt;=22)*(機器台帳!$C$2:$C$400+機器台帳!$D$2:$D$400-1&gt;=22))&gt;1," 他"&amp;(SUMPRODUCT((機器台帳!$A$2:$A$400="E24-S8-4")*((機器台帳!$B$2:$B$400="背面")+(機器台帳!$B$2:$B$400="両面")&gt;0)*(機器台帳!$F$2:$F$400&lt;&gt;"")*(機器台帳!$C$2:$C$400&lt;=22)*(機器台帳!$C$2:$C$400+機器台帳!$D$2:$D$400-1&gt;=22))-1)&amp;"台",""))</f>
        <v/>
      </c>
      <c r="Q29">
        <f>IF(SUMPRODUCT((機器台帳!$A$2:$A$400="E24-S8-4")*((機器台帳!$B$2:$B$400="背面")+(機器台帳!$B$2:$B$400="両面")&gt;0)*(機器台帳!$F$2:$F$400&lt;&gt;"")*(機器台帳!$C$2:$C$400&lt;=22)*(機器台帳!$C$2:$C$400+機器台帳!$D$2:$D$400-1&gt;=22))=0,"",INDEX(機器台帳!$I$2:$I$400,MATCH(1,INDEX((機器台帳!$A$2:$A$400="E24-S8-4")*((機器台帳!$B$2:$B$400="背面")+(機器台帳!$B$2:$B$400="両面")&gt;0)*(機器台帳!$F$2:$F$400&lt;&gt;"")*(機器台帳!$C$2:$C$400&lt;=22)*(機器台帳!$C$2:$C$400+機器台帳!$D$2:$D$400-1&gt;=22),0),0))&amp;IF(INDEX(機器台帳!$Y$2:$Y$400,MATCH(1,INDEX((機器台帳!$A$2:$A$400="E24-S8-4")*((機器台帳!$B$2:$B$400="背面")+(機器台帳!$B$2:$B$400="両面")&gt;0)*(機器台帳!$F$2:$F$400&lt;&gt;"")*(機器台帳!$C$2:$C$400&lt;=22)*(機器台帳!$C$2:$C$400+機器台帳!$D$2:$D$400-1&gt;=22),0),0))=0,"|未記入",""))</f>
        <v/>
      </c>
      <c r="R29" s="12">
        <f>IF(SUMPRODUCT((機器台帳!$A$2:$A$400="E24-S8-5")*((機器台帳!$B$2:$B$400="前面")+(機器台帳!$B$2:$B$400="両面")&gt;0)*(機器台帳!$F$2:$F$400&lt;&gt;"")*(機器台帳!$C$2:$C$400&lt;=22)*(機器台帳!$C$2:$C$400+機器台帳!$D$2:$D$400-1&gt;=22))=0,"",INDEX(機器台帳!$F$2:$F$400,MATCH(1,INDEX((機器台帳!$A$2:$A$400="E24-S8-5")*((機器台帳!$B$2:$B$400="前面")+(機器台帳!$B$2:$B$400="両面")&gt;0)*(機器台帳!$F$2:$F$400&lt;&gt;"")*(機器台帳!$C$2:$C$400&lt;=22)*(機器台帳!$C$2:$C$400+機器台帳!$D$2:$D$400-1&gt;=22),0),0))&amp;IF(INDEX(機器台帳!$G$2:$G$400,MATCH(1,INDEX((機器台帳!$A$2:$A$400="E24-S8-5")*((機器台帳!$B$2:$B$400="前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-5")*((機器台帳!$B$2:$B$400="前面")+(機器台帳!$B$2:$B$400="両面")&gt;0)*(機器台帳!$F$2:$F$400&lt;&gt;"")*(機器台帳!$C$2:$C$400&lt;=22)*(機器台帳!$C$2:$C$400+機器台帳!$D$2:$D$400-1&gt;=22),0),0)))&amp;IF(SUMPRODUCT((機器台帳!$A$2:$A$400="E24-S8-5")*((機器台帳!$B$2:$B$400="前面")+(機器台帳!$B$2:$B$400="両面")&gt;0)*(機器台帳!$F$2:$F$400&lt;&gt;"")*(機器台帳!$C$2:$C$400&lt;=22)*(機器台帳!$C$2:$C$400+機器台帳!$D$2:$D$400-1&gt;=22))&gt;1," 他"&amp;(SUMPRODUCT((機器台帳!$A$2:$A$400="E24-S8-5")*((機器台帳!$B$2:$B$400="前面")+(機器台帳!$B$2:$B$400="両面")&gt;0)*(機器台帳!$F$2:$F$400&lt;&gt;"")*(機器台帳!$C$2:$C$400&lt;=22)*(機器台帳!$C$2:$C$400+機器台帳!$D$2:$D$400-1&gt;=22))-1)&amp;"台",""))</f>
        <v/>
      </c>
      <c r="S29">
        <f>IF(SUMPRODUCT((機器台帳!$A$2:$A$400="E24-S8-5")*((機器台帳!$B$2:$B$400="前面")+(機器台帳!$B$2:$B$400="両面")&gt;0)*(機器台帳!$F$2:$F$400&lt;&gt;"")*(機器台帳!$C$2:$C$400&lt;=22)*(機器台帳!$C$2:$C$400+機器台帳!$D$2:$D$400-1&gt;=22))=0,"",INDEX(機器台帳!$I$2:$I$400,MATCH(1,INDEX((機器台帳!$A$2:$A$400="E24-S8-5")*((機器台帳!$B$2:$B$400="前面")+(機器台帳!$B$2:$B$400="両面")&gt;0)*(機器台帳!$F$2:$F$400&lt;&gt;"")*(機器台帳!$C$2:$C$400&lt;=22)*(機器台帳!$C$2:$C$400+機器台帳!$D$2:$D$400-1&gt;=22),0),0))&amp;IF(INDEX(機器台帳!$Y$2:$Y$400,MATCH(1,INDEX((機器台帳!$A$2:$A$400="E24-S8-5")*((機器台帳!$B$2:$B$400="前面")+(機器台帳!$B$2:$B$400="両面")&gt;0)*(機器台帳!$F$2:$F$400&lt;&gt;"")*(機器台帳!$C$2:$C$400&lt;=22)*(機器台帳!$C$2:$C$400+機器台帳!$D$2:$D$400-1&gt;=22),0),0))=0,"|未記入",""))</f>
        <v/>
      </c>
      <c r="T29" s="12">
        <f>IF(SUMPRODUCT((機器台帳!$A$2:$A$400="E24-S8-5")*((機器台帳!$B$2:$B$400="背面")+(機器台帳!$B$2:$B$400="両面")&gt;0)*(機器台帳!$F$2:$F$400&lt;&gt;"")*(機器台帳!$C$2:$C$400&lt;=22)*(機器台帳!$C$2:$C$400+機器台帳!$D$2:$D$400-1&gt;=22))=0,"",INDEX(機器台帳!$F$2:$F$400,MATCH(1,INDEX((機器台帳!$A$2:$A$400="E24-S8-5")*((機器台帳!$B$2:$B$400="背面")+(機器台帳!$B$2:$B$400="両面")&gt;0)*(機器台帳!$F$2:$F$400&lt;&gt;"")*(機器台帳!$C$2:$C$400&lt;=22)*(機器台帳!$C$2:$C$400+機器台帳!$D$2:$D$400-1&gt;=22),0),0))&amp;IF(INDEX(機器台帳!$G$2:$G$400,MATCH(1,INDEX((機器台帳!$A$2:$A$400="E24-S8-5")*((機器台帳!$B$2:$B$400="背面")+(機器台帳!$B$2:$B$400="両面")&gt;0)*(機器台帳!$F$2:$F$400&lt;&gt;"")*(機器台帳!$C$2:$C$400&lt;=22)*(機器台帳!$C$2:$C$400+機器台帳!$D$2:$D$400-1&gt;=22),0),0))=""," "," "&amp;INDEX(機器台帳!$G$2:$G$400,MATCH(1,INDEX((機器台帳!$A$2:$A$400="E24-S8-5")*((機器台帳!$B$2:$B$400="背面")+(機器台帳!$B$2:$B$400="両面")&gt;0)*(機器台帳!$F$2:$F$400&lt;&gt;"")*(機器台帳!$C$2:$C$400&lt;=22)*(機器台帳!$C$2:$C$400+機器台帳!$D$2:$D$400-1&gt;=22),0),0)))&amp;IF(SUMPRODUCT((機器台帳!$A$2:$A$400="E24-S8-5")*((機器台帳!$B$2:$B$400="背面")+(機器台帳!$B$2:$B$400="両面")&gt;0)*(機器台帳!$F$2:$F$400&lt;&gt;"")*(機器台帳!$C$2:$C$400&lt;=22)*(機器台帳!$C$2:$C$400+機器台帳!$D$2:$D$400-1&gt;=22))&gt;1," 他"&amp;(SUMPRODUCT((機器台帳!$A$2:$A$400="E24-S8-5")*((機器台帳!$B$2:$B$400="背面")+(機器台帳!$B$2:$B$400="両面")&gt;0)*(機器台帳!$F$2:$F$400&lt;&gt;"")*(機器台帳!$C$2:$C$400&lt;=22)*(機器台帳!$C$2:$C$400+機器台帳!$D$2:$D$400-1&gt;=22))-1)&amp;"台",""))</f>
        <v/>
      </c>
      <c r="U29">
        <f>IF(SUMPRODUCT((機器台帳!$A$2:$A$400="E24-S8-5")*((機器台帳!$B$2:$B$400="背面")+(機器台帳!$B$2:$B$400="両面")&gt;0)*(機器台帳!$F$2:$F$400&lt;&gt;"")*(機器台帳!$C$2:$C$400&lt;=22)*(機器台帳!$C$2:$C$400+機器台帳!$D$2:$D$400-1&gt;=22))=0,"",INDEX(機器台帳!$I$2:$I$400,MATCH(1,INDEX((機器台帳!$A$2:$A$400="E24-S8-5")*((機器台帳!$B$2:$B$400="背面")+(機器台帳!$B$2:$B$400="両面")&gt;0)*(機器台帳!$F$2:$F$400&lt;&gt;"")*(機器台帳!$C$2:$C$400&lt;=22)*(機器台帳!$C$2:$C$400+機器台帳!$D$2:$D$400-1&gt;=22),0),0))&amp;IF(INDEX(機器台帳!$Y$2:$Y$400,MATCH(1,INDEX((機器台帳!$A$2:$A$400="E24-S8-5")*((機器台帳!$B$2:$B$400="背面")+(機器台帳!$B$2:$B$400="両面")&gt;0)*(機器台帳!$F$2:$F$400&lt;&gt;"")*(機器台帳!$C$2:$C$400&lt;=22)*(機器台帳!$C$2:$C$400+機器台帳!$D$2:$D$400-1&gt;=22),0),0))=0,"|未記入",""))</f>
        <v/>
      </c>
      <c r="V29" s="12">
        <f>IF(SUMPRODUCT((機器台帳!$A$2:$A$400="E24-S6-1")*((機器台帳!$B$2:$B$400="前面")+(機器台帳!$B$2:$B$400="両面")&gt;0)*(機器台帳!$F$2:$F$400&lt;&gt;"")*(機器台帳!$C$2:$C$400&lt;=22)*(機器台帳!$C$2:$C$400+機器台帳!$D$2:$D$400-1&gt;=22))=0,"",INDEX(機器台帳!$F$2:$F$400,MATCH(1,INDEX((機器台帳!$A$2:$A$400="E24-S6-1")*((機器台帳!$B$2:$B$400="前面")+(機器台帳!$B$2:$B$400="両面")&gt;0)*(機器台帳!$F$2:$F$400&lt;&gt;"")*(機器台帳!$C$2:$C$400&lt;=22)*(機器台帳!$C$2:$C$400+機器台帳!$D$2:$D$400-1&gt;=22),0),0))&amp;IF(INDEX(機器台帳!$G$2:$G$400,MATCH(1,INDEX((機器台帳!$A$2:$A$400="E24-S6-1")*((機器台帳!$B$2:$B$400="前面")+(機器台帳!$B$2:$B$400="両面")&gt;0)*(機器台帳!$F$2:$F$400&lt;&gt;"")*(機器台帳!$C$2:$C$400&lt;=22)*(機器台帳!$C$2:$C$400+機器台帳!$D$2:$D$400-1&gt;=22),0),0))=""," "," "&amp;INDEX(機器台帳!$G$2:$G$400,MATCH(1,INDEX((機器台帳!$A$2:$A$400="E24-S6-1")*((機器台帳!$B$2:$B$400="前面")+(機器台帳!$B$2:$B$400="両面")&gt;0)*(機器台帳!$F$2:$F$400&lt;&gt;"")*(機器台帳!$C$2:$C$400&lt;=22)*(機器台帳!$C$2:$C$400+機器台帳!$D$2:$D$400-1&gt;=22),0),0)))&amp;IF(SUMPRODUCT((機器台帳!$A$2:$A$400="E24-S6-1")*((機器台帳!$B$2:$B$400="前面")+(機器台帳!$B$2:$B$400="両面")&gt;0)*(機器台帳!$F$2:$F$400&lt;&gt;"")*(機器台帳!$C$2:$C$400&lt;=22)*(機器台帳!$C$2:$C$400+機器台帳!$D$2:$D$400-1&gt;=22))&gt;1," 他"&amp;(SUMPRODUCT((機器台帳!$A$2:$A$400="E24-S6-1")*((機器台帳!$B$2:$B$400="前面")+(機器台帳!$B$2:$B$400="両面")&gt;0)*(機器台帳!$F$2:$F$400&lt;&gt;"")*(機器台帳!$C$2:$C$400&lt;=22)*(機器台帳!$C$2:$C$400+機器台帳!$D$2:$D$400-1&gt;=22))-1)&amp;"台",""))</f>
        <v/>
      </c>
      <c r="W29">
        <f>IF(SUMPRODUCT((機器台帳!$A$2:$A$400="E24-S6-1")*((機器台帳!$B$2:$B$400="前面")+(機器台帳!$B$2:$B$400="両面")&gt;0)*(機器台帳!$F$2:$F$400&lt;&gt;"")*(機器台帳!$C$2:$C$400&lt;=22)*(機器台帳!$C$2:$C$400+機器台帳!$D$2:$D$400-1&gt;=22))=0,"",INDEX(機器台帳!$I$2:$I$400,MATCH(1,INDEX((機器台帳!$A$2:$A$400="E24-S6-1")*((機器台帳!$B$2:$B$400="前面")+(機器台帳!$B$2:$B$400="両面")&gt;0)*(機器台帳!$F$2:$F$400&lt;&gt;"")*(機器台帳!$C$2:$C$400&lt;=22)*(機器台帳!$C$2:$C$400+機器台帳!$D$2:$D$400-1&gt;=22),0),0))&amp;IF(INDEX(機器台帳!$Y$2:$Y$400,MATCH(1,INDEX((機器台帳!$A$2:$A$400="E24-S6-1")*((機器台帳!$B$2:$B$400="前面")+(機器台帳!$B$2:$B$400="両面")&gt;0)*(機器台帳!$F$2:$F$400&lt;&gt;"")*(機器台帳!$C$2:$C$400&lt;=22)*(機器台帳!$C$2:$C$400+機器台帳!$D$2:$D$400-1&gt;=22),0),0))=0,"|未記入",""))</f>
        <v/>
      </c>
      <c r="X29" s="12">
        <f>IF(SUMPRODUCT((機器台帳!$A$2:$A$400="E24-S6-1")*((機器台帳!$B$2:$B$400="背面")+(機器台帳!$B$2:$B$400="両面")&gt;0)*(機器台帳!$F$2:$F$400&lt;&gt;"")*(機器台帳!$C$2:$C$400&lt;=22)*(機器台帳!$C$2:$C$400+機器台帳!$D$2:$D$400-1&gt;=22))=0,"",INDEX(機器台帳!$F$2:$F$400,MATCH(1,INDEX((機器台帳!$A$2:$A$400="E24-S6-1")*((機器台帳!$B$2:$B$400="背面")+(機器台帳!$B$2:$B$400="両面")&gt;0)*(機器台帳!$F$2:$F$400&lt;&gt;"")*(機器台帳!$C$2:$C$400&lt;=22)*(機器台帳!$C$2:$C$400+機器台帳!$D$2:$D$400-1&gt;=22),0),0))&amp;IF(INDEX(機器台帳!$G$2:$G$400,MATCH(1,INDEX((機器台帳!$A$2:$A$400="E24-S6-1")*((機器台帳!$B$2:$B$400="背面")+(機器台帳!$B$2:$B$400="両面")&gt;0)*(機器台帳!$F$2:$F$400&lt;&gt;"")*(機器台帳!$C$2:$C$400&lt;=22)*(機器台帳!$C$2:$C$400+機器台帳!$D$2:$D$400-1&gt;=22),0),0))=""," "," "&amp;INDEX(機器台帳!$G$2:$G$400,MATCH(1,INDEX((機器台帳!$A$2:$A$400="E24-S6-1")*((機器台帳!$B$2:$B$400="背面")+(機器台帳!$B$2:$B$400="両面")&gt;0)*(機器台帳!$F$2:$F$400&lt;&gt;"")*(機器台帳!$C$2:$C$400&lt;=22)*(機器台帳!$C$2:$C$400+機器台帳!$D$2:$D$400-1&gt;=22),0),0)))&amp;IF(SUMPRODUCT((機器台帳!$A$2:$A$400="E24-S6-1")*((機器台帳!$B$2:$B$400="背面")+(機器台帳!$B$2:$B$400="両面")&gt;0)*(機器台帳!$F$2:$F$400&lt;&gt;"")*(機器台帳!$C$2:$C$400&lt;=22)*(機器台帳!$C$2:$C$400+機器台帳!$D$2:$D$400-1&gt;=22))&gt;1," 他"&amp;(SUMPRODUCT((機器台帳!$A$2:$A$400="E24-S6-1")*((機器台帳!$B$2:$B$400="背面")+(機器台帳!$B$2:$B$400="両面")&gt;0)*(機器台帳!$F$2:$F$400&lt;&gt;"")*(機器台帳!$C$2:$C$400&lt;=22)*(機器台帳!$C$2:$C$400+機器台帳!$D$2:$D$400-1&gt;=22))-1)&amp;"台",""))</f>
        <v/>
      </c>
      <c r="Y29">
        <f>IF(SUMPRODUCT((機器台帳!$A$2:$A$400="E24-S6-1")*((機器台帳!$B$2:$B$400="背面")+(機器台帳!$B$2:$B$400="両面")&gt;0)*(機器台帳!$F$2:$F$400&lt;&gt;"")*(機器台帳!$C$2:$C$400&lt;=22)*(機器台帳!$C$2:$C$400+機器台帳!$D$2:$D$400-1&gt;=22))=0,"",INDEX(機器台帳!$I$2:$I$400,MATCH(1,INDEX((機器台帳!$A$2:$A$400="E24-S6-1")*((機器台帳!$B$2:$B$400="背面")+(機器台帳!$B$2:$B$400="両面")&gt;0)*(機器台帳!$F$2:$F$400&lt;&gt;"")*(機器台帳!$C$2:$C$400&lt;=22)*(機器台帳!$C$2:$C$400+機器台帳!$D$2:$D$400-1&gt;=22),0),0))&amp;IF(INDEX(機器台帳!$Y$2:$Y$400,MATCH(1,INDEX((機器台帳!$A$2:$A$400="E24-S6-1")*((機器台帳!$B$2:$B$400="背面")+(機器台帳!$B$2:$B$400="両面")&gt;0)*(機器台帳!$F$2:$F$400&lt;&gt;"")*(機器台帳!$C$2:$C$400&lt;=22)*(機器台帳!$C$2:$C$400+機器台帳!$D$2:$D$400-1&gt;=22),0),0))=0,"|未記入",""))</f>
        <v/>
      </c>
    </row>
    <row r="30">
      <c r="A30" s="11" t="n">
        <v>21</v>
      </c>
      <c r="B30" s="12">
        <f>IF(SUMPRODUCT((機器台帳!$A$2:$A$400="E24-S8-1")*((機器台帳!$B$2:$B$400="前面")+(機器台帳!$B$2:$B$400="両面")&gt;0)*(機器台帳!$F$2:$F$400&lt;&gt;"")*(機器台帳!$C$2:$C$400&lt;=21)*(機器台帳!$C$2:$C$400+機器台帳!$D$2:$D$400-1&gt;=21))=0,"",INDEX(機器台帳!$F$2:$F$400,MATCH(1,INDEX((機器台帳!$A$2:$A$400="E24-S8-1")*((機器台帳!$B$2:$B$400="前面")+(機器台帳!$B$2:$B$400="両面")&gt;0)*(機器台帳!$F$2:$F$400&lt;&gt;"")*(機器台帳!$C$2:$C$400&lt;=21)*(機器台帳!$C$2:$C$400+機器台帳!$D$2:$D$400-1&gt;=21),0),0))&amp;IF(INDEX(機器台帳!$G$2:$G$400,MATCH(1,INDEX((機器台帳!$A$2:$A$400="E24-S8-1")*((機器台帳!$B$2:$B$400="前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-1")*((機器台帳!$B$2:$B$400="前面")+(機器台帳!$B$2:$B$400="両面")&gt;0)*(機器台帳!$F$2:$F$400&lt;&gt;"")*(機器台帳!$C$2:$C$400&lt;=21)*(機器台帳!$C$2:$C$400+機器台帳!$D$2:$D$400-1&gt;=21),0),0)))&amp;IF(SUMPRODUCT((機器台帳!$A$2:$A$400="E24-S8-1")*((機器台帳!$B$2:$B$400="前面")+(機器台帳!$B$2:$B$400="両面")&gt;0)*(機器台帳!$F$2:$F$400&lt;&gt;"")*(機器台帳!$C$2:$C$400&lt;=21)*(機器台帳!$C$2:$C$400+機器台帳!$D$2:$D$400-1&gt;=21))&gt;1," 他"&amp;(SUMPRODUCT((機器台帳!$A$2:$A$400="E24-S8-1")*((機器台帳!$B$2:$B$400="前面")+(機器台帳!$B$2:$B$400="両面")&gt;0)*(機器台帳!$F$2:$F$400&lt;&gt;"")*(機器台帳!$C$2:$C$400&lt;=21)*(機器台帳!$C$2:$C$400+機器台帳!$D$2:$D$400-1&gt;=21))-1)&amp;"台",""))</f>
        <v/>
      </c>
      <c r="C30">
        <f>IF(SUMPRODUCT((機器台帳!$A$2:$A$400="E24-S8-1")*((機器台帳!$B$2:$B$400="前面")+(機器台帳!$B$2:$B$400="両面")&gt;0)*(機器台帳!$F$2:$F$400&lt;&gt;"")*(機器台帳!$C$2:$C$400&lt;=21)*(機器台帳!$C$2:$C$400+機器台帳!$D$2:$D$400-1&gt;=21))=0,"",INDEX(機器台帳!$I$2:$I$400,MATCH(1,INDEX((機器台帳!$A$2:$A$400="E24-S8-1")*((機器台帳!$B$2:$B$400="前面")+(機器台帳!$B$2:$B$400="両面")&gt;0)*(機器台帳!$F$2:$F$400&lt;&gt;"")*(機器台帳!$C$2:$C$400&lt;=21)*(機器台帳!$C$2:$C$400+機器台帳!$D$2:$D$400-1&gt;=21),0),0))&amp;IF(INDEX(機器台帳!$Y$2:$Y$400,MATCH(1,INDEX((機器台帳!$A$2:$A$400="E24-S8-1")*((機器台帳!$B$2:$B$400="前面")+(機器台帳!$B$2:$B$400="両面")&gt;0)*(機器台帳!$F$2:$F$400&lt;&gt;"")*(機器台帳!$C$2:$C$400&lt;=21)*(機器台帳!$C$2:$C$400+機器台帳!$D$2:$D$400-1&gt;=21),0),0))=0,"|未記入",""))</f>
        <v/>
      </c>
      <c r="D30" s="12">
        <f>IF(SUMPRODUCT((機器台帳!$A$2:$A$400="E24-S8-1")*((機器台帳!$B$2:$B$400="背面")+(機器台帳!$B$2:$B$400="両面")&gt;0)*(機器台帳!$F$2:$F$400&lt;&gt;"")*(機器台帳!$C$2:$C$400&lt;=21)*(機器台帳!$C$2:$C$400+機器台帳!$D$2:$D$400-1&gt;=21))=0,"",INDEX(機器台帳!$F$2:$F$400,MATCH(1,INDEX((機器台帳!$A$2:$A$400="E24-S8-1")*((機器台帳!$B$2:$B$400="背面")+(機器台帳!$B$2:$B$400="両面")&gt;0)*(機器台帳!$F$2:$F$400&lt;&gt;"")*(機器台帳!$C$2:$C$400&lt;=21)*(機器台帳!$C$2:$C$400+機器台帳!$D$2:$D$400-1&gt;=21),0),0))&amp;IF(INDEX(機器台帳!$G$2:$G$400,MATCH(1,INDEX((機器台帳!$A$2:$A$400="E24-S8-1")*((機器台帳!$B$2:$B$400="背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-1")*((機器台帳!$B$2:$B$400="背面")+(機器台帳!$B$2:$B$400="両面")&gt;0)*(機器台帳!$F$2:$F$400&lt;&gt;"")*(機器台帳!$C$2:$C$400&lt;=21)*(機器台帳!$C$2:$C$400+機器台帳!$D$2:$D$400-1&gt;=21),0),0)))&amp;IF(SUMPRODUCT((機器台帳!$A$2:$A$400="E24-S8-1")*((機器台帳!$B$2:$B$400="背面")+(機器台帳!$B$2:$B$400="両面")&gt;0)*(機器台帳!$F$2:$F$400&lt;&gt;"")*(機器台帳!$C$2:$C$400&lt;=21)*(機器台帳!$C$2:$C$400+機器台帳!$D$2:$D$400-1&gt;=21))&gt;1," 他"&amp;(SUMPRODUCT((機器台帳!$A$2:$A$400="E24-S8-1")*((機器台帳!$B$2:$B$400="背面")+(機器台帳!$B$2:$B$400="両面")&gt;0)*(機器台帳!$F$2:$F$400&lt;&gt;"")*(機器台帳!$C$2:$C$400&lt;=21)*(機器台帳!$C$2:$C$400+機器台帳!$D$2:$D$400-1&gt;=21))-1)&amp;"台",""))</f>
        <v/>
      </c>
      <c r="E30">
        <f>IF(SUMPRODUCT((機器台帳!$A$2:$A$400="E24-S8-1")*((機器台帳!$B$2:$B$400="背面")+(機器台帳!$B$2:$B$400="両面")&gt;0)*(機器台帳!$F$2:$F$400&lt;&gt;"")*(機器台帳!$C$2:$C$400&lt;=21)*(機器台帳!$C$2:$C$400+機器台帳!$D$2:$D$400-1&gt;=21))=0,"",INDEX(機器台帳!$I$2:$I$400,MATCH(1,INDEX((機器台帳!$A$2:$A$400="E24-S8-1")*((機器台帳!$B$2:$B$400="背面")+(機器台帳!$B$2:$B$400="両面")&gt;0)*(機器台帳!$F$2:$F$400&lt;&gt;"")*(機器台帳!$C$2:$C$400&lt;=21)*(機器台帳!$C$2:$C$400+機器台帳!$D$2:$D$400-1&gt;=21),0),0))&amp;IF(INDEX(機器台帳!$Y$2:$Y$400,MATCH(1,INDEX((機器台帳!$A$2:$A$400="E24-S8-1")*((機器台帳!$B$2:$B$400="背面")+(機器台帳!$B$2:$B$400="両面")&gt;0)*(機器台帳!$F$2:$F$400&lt;&gt;"")*(機器台帳!$C$2:$C$400&lt;=21)*(機器台帳!$C$2:$C$400+機器台帳!$D$2:$D$400-1&gt;=21),0),0))=0,"|未記入",""))</f>
        <v/>
      </c>
      <c r="F30" s="12">
        <f>IF(SUMPRODUCT((機器台帳!$A$2:$A$400="E24-S8-2")*((機器台帳!$B$2:$B$400="前面")+(機器台帳!$B$2:$B$400="両面")&gt;0)*(機器台帳!$F$2:$F$400&lt;&gt;"")*(機器台帳!$C$2:$C$400&lt;=21)*(機器台帳!$C$2:$C$400+機器台帳!$D$2:$D$400-1&gt;=21))=0,"",INDEX(機器台帳!$F$2:$F$400,MATCH(1,INDEX((機器台帳!$A$2:$A$400="E24-S8-2")*((機器台帳!$B$2:$B$400="前面")+(機器台帳!$B$2:$B$400="両面")&gt;0)*(機器台帳!$F$2:$F$400&lt;&gt;"")*(機器台帳!$C$2:$C$400&lt;=21)*(機器台帳!$C$2:$C$400+機器台帳!$D$2:$D$400-1&gt;=21),0),0))&amp;IF(INDEX(機器台帳!$G$2:$G$400,MATCH(1,INDEX((機器台帳!$A$2:$A$400="E24-S8-2")*((機器台帳!$B$2:$B$400="前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-2")*((機器台帳!$B$2:$B$400="前面")+(機器台帳!$B$2:$B$400="両面")&gt;0)*(機器台帳!$F$2:$F$400&lt;&gt;"")*(機器台帳!$C$2:$C$400&lt;=21)*(機器台帳!$C$2:$C$400+機器台帳!$D$2:$D$400-1&gt;=21),0),0)))&amp;IF(SUMPRODUCT((機器台帳!$A$2:$A$400="E24-S8-2")*((機器台帳!$B$2:$B$400="前面")+(機器台帳!$B$2:$B$400="両面")&gt;0)*(機器台帳!$F$2:$F$400&lt;&gt;"")*(機器台帳!$C$2:$C$400&lt;=21)*(機器台帳!$C$2:$C$400+機器台帳!$D$2:$D$400-1&gt;=21))&gt;1," 他"&amp;(SUMPRODUCT((機器台帳!$A$2:$A$400="E24-S8-2")*((機器台帳!$B$2:$B$400="前面")+(機器台帳!$B$2:$B$400="両面")&gt;0)*(機器台帳!$F$2:$F$400&lt;&gt;"")*(機器台帳!$C$2:$C$400&lt;=21)*(機器台帳!$C$2:$C$400+機器台帳!$D$2:$D$400-1&gt;=21))-1)&amp;"台",""))</f>
        <v/>
      </c>
      <c r="G30">
        <f>IF(SUMPRODUCT((機器台帳!$A$2:$A$400="E24-S8-2")*((機器台帳!$B$2:$B$400="前面")+(機器台帳!$B$2:$B$400="両面")&gt;0)*(機器台帳!$F$2:$F$400&lt;&gt;"")*(機器台帳!$C$2:$C$400&lt;=21)*(機器台帳!$C$2:$C$400+機器台帳!$D$2:$D$400-1&gt;=21))=0,"",INDEX(機器台帳!$I$2:$I$400,MATCH(1,INDEX((機器台帳!$A$2:$A$400="E24-S8-2")*((機器台帳!$B$2:$B$400="前面")+(機器台帳!$B$2:$B$400="両面")&gt;0)*(機器台帳!$F$2:$F$400&lt;&gt;"")*(機器台帳!$C$2:$C$400&lt;=21)*(機器台帳!$C$2:$C$400+機器台帳!$D$2:$D$400-1&gt;=21),0),0))&amp;IF(INDEX(機器台帳!$Y$2:$Y$400,MATCH(1,INDEX((機器台帳!$A$2:$A$400="E24-S8-2")*((機器台帳!$B$2:$B$400="前面")+(機器台帳!$B$2:$B$400="両面")&gt;0)*(機器台帳!$F$2:$F$400&lt;&gt;"")*(機器台帳!$C$2:$C$400&lt;=21)*(機器台帳!$C$2:$C$400+機器台帳!$D$2:$D$400-1&gt;=21),0),0))=0,"|未記入",""))</f>
        <v/>
      </c>
      <c r="H30" s="12">
        <f>IF(SUMPRODUCT((機器台帳!$A$2:$A$400="E24-S8-2")*((機器台帳!$B$2:$B$400="背面")+(機器台帳!$B$2:$B$400="両面")&gt;0)*(機器台帳!$F$2:$F$400&lt;&gt;"")*(機器台帳!$C$2:$C$400&lt;=21)*(機器台帳!$C$2:$C$400+機器台帳!$D$2:$D$400-1&gt;=21))=0,"",INDEX(機器台帳!$F$2:$F$400,MATCH(1,INDEX((機器台帳!$A$2:$A$400="E24-S8-2")*((機器台帳!$B$2:$B$400="背面")+(機器台帳!$B$2:$B$400="両面")&gt;0)*(機器台帳!$F$2:$F$400&lt;&gt;"")*(機器台帳!$C$2:$C$400&lt;=21)*(機器台帳!$C$2:$C$400+機器台帳!$D$2:$D$400-1&gt;=21),0),0))&amp;IF(INDEX(機器台帳!$G$2:$G$400,MATCH(1,INDEX((機器台帳!$A$2:$A$400="E24-S8-2")*((機器台帳!$B$2:$B$400="背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-2")*((機器台帳!$B$2:$B$400="背面")+(機器台帳!$B$2:$B$400="両面")&gt;0)*(機器台帳!$F$2:$F$400&lt;&gt;"")*(機器台帳!$C$2:$C$400&lt;=21)*(機器台帳!$C$2:$C$400+機器台帳!$D$2:$D$400-1&gt;=21),0),0)))&amp;IF(SUMPRODUCT((機器台帳!$A$2:$A$400="E24-S8-2")*((機器台帳!$B$2:$B$400="背面")+(機器台帳!$B$2:$B$400="両面")&gt;0)*(機器台帳!$F$2:$F$400&lt;&gt;"")*(機器台帳!$C$2:$C$400&lt;=21)*(機器台帳!$C$2:$C$400+機器台帳!$D$2:$D$400-1&gt;=21))&gt;1," 他"&amp;(SUMPRODUCT((機器台帳!$A$2:$A$400="E24-S8-2")*((機器台帳!$B$2:$B$400="背面")+(機器台帳!$B$2:$B$400="両面")&gt;0)*(機器台帳!$F$2:$F$400&lt;&gt;"")*(機器台帳!$C$2:$C$400&lt;=21)*(機器台帳!$C$2:$C$400+機器台帳!$D$2:$D$400-1&gt;=21))-1)&amp;"台",""))</f>
        <v/>
      </c>
      <c r="I30">
        <f>IF(SUMPRODUCT((機器台帳!$A$2:$A$400="E24-S8-2")*((機器台帳!$B$2:$B$400="背面")+(機器台帳!$B$2:$B$400="両面")&gt;0)*(機器台帳!$F$2:$F$400&lt;&gt;"")*(機器台帳!$C$2:$C$400&lt;=21)*(機器台帳!$C$2:$C$400+機器台帳!$D$2:$D$400-1&gt;=21))=0,"",INDEX(機器台帳!$I$2:$I$400,MATCH(1,INDEX((機器台帳!$A$2:$A$400="E24-S8-2")*((機器台帳!$B$2:$B$400="背面")+(機器台帳!$B$2:$B$400="両面")&gt;0)*(機器台帳!$F$2:$F$400&lt;&gt;"")*(機器台帳!$C$2:$C$400&lt;=21)*(機器台帳!$C$2:$C$400+機器台帳!$D$2:$D$400-1&gt;=21),0),0))&amp;IF(INDEX(機器台帳!$Y$2:$Y$400,MATCH(1,INDEX((機器台帳!$A$2:$A$400="E24-S8-2")*((機器台帳!$B$2:$B$400="背面")+(機器台帳!$B$2:$B$400="両面")&gt;0)*(機器台帳!$F$2:$F$400&lt;&gt;"")*(機器台帳!$C$2:$C$400&lt;=21)*(機器台帳!$C$2:$C$400+機器台帳!$D$2:$D$400-1&gt;=21),0),0))=0,"|未記入",""))</f>
        <v/>
      </c>
      <c r="J30" s="12">
        <f>IF(SUMPRODUCT((機器台帳!$A$2:$A$400="E24-S8-3")*((機器台帳!$B$2:$B$400="前面")+(機器台帳!$B$2:$B$400="両面")&gt;0)*(機器台帳!$F$2:$F$400&lt;&gt;"")*(機器台帳!$C$2:$C$400&lt;=21)*(機器台帳!$C$2:$C$400+機器台帳!$D$2:$D$400-1&gt;=21))=0,"",INDEX(機器台帳!$F$2:$F$400,MATCH(1,INDEX((機器台帳!$A$2:$A$400="E24-S8-3")*((機器台帳!$B$2:$B$400="前面")+(機器台帳!$B$2:$B$400="両面")&gt;0)*(機器台帳!$F$2:$F$400&lt;&gt;"")*(機器台帳!$C$2:$C$400&lt;=21)*(機器台帳!$C$2:$C$400+機器台帳!$D$2:$D$400-1&gt;=21),0),0))&amp;IF(INDEX(機器台帳!$G$2:$G$400,MATCH(1,INDEX((機器台帳!$A$2:$A$400="E24-S8-3")*((機器台帳!$B$2:$B$400="前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-3")*((機器台帳!$B$2:$B$400="前面")+(機器台帳!$B$2:$B$400="両面")&gt;0)*(機器台帳!$F$2:$F$400&lt;&gt;"")*(機器台帳!$C$2:$C$400&lt;=21)*(機器台帳!$C$2:$C$400+機器台帳!$D$2:$D$400-1&gt;=21),0),0)))&amp;IF(SUMPRODUCT((機器台帳!$A$2:$A$400="E24-S8-3")*((機器台帳!$B$2:$B$400="前面")+(機器台帳!$B$2:$B$400="両面")&gt;0)*(機器台帳!$F$2:$F$400&lt;&gt;"")*(機器台帳!$C$2:$C$400&lt;=21)*(機器台帳!$C$2:$C$400+機器台帳!$D$2:$D$400-1&gt;=21))&gt;1," 他"&amp;(SUMPRODUCT((機器台帳!$A$2:$A$400="E24-S8-3")*((機器台帳!$B$2:$B$400="前面")+(機器台帳!$B$2:$B$400="両面")&gt;0)*(機器台帳!$F$2:$F$400&lt;&gt;"")*(機器台帳!$C$2:$C$400&lt;=21)*(機器台帳!$C$2:$C$400+機器台帳!$D$2:$D$400-1&gt;=21))-1)&amp;"台",""))</f>
        <v/>
      </c>
      <c r="K30">
        <f>IF(SUMPRODUCT((機器台帳!$A$2:$A$400="E24-S8-3")*((機器台帳!$B$2:$B$400="前面")+(機器台帳!$B$2:$B$400="両面")&gt;0)*(機器台帳!$F$2:$F$400&lt;&gt;"")*(機器台帳!$C$2:$C$400&lt;=21)*(機器台帳!$C$2:$C$400+機器台帳!$D$2:$D$400-1&gt;=21))=0,"",INDEX(機器台帳!$I$2:$I$400,MATCH(1,INDEX((機器台帳!$A$2:$A$400="E24-S8-3")*((機器台帳!$B$2:$B$400="前面")+(機器台帳!$B$2:$B$400="両面")&gt;0)*(機器台帳!$F$2:$F$400&lt;&gt;"")*(機器台帳!$C$2:$C$400&lt;=21)*(機器台帳!$C$2:$C$400+機器台帳!$D$2:$D$400-1&gt;=21),0),0))&amp;IF(INDEX(機器台帳!$Y$2:$Y$400,MATCH(1,INDEX((機器台帳!$A$2:$A$400="E24-S8-3")*((機器台帳!$B$2:$B$400="前面")+(機器台帳!$B$2:$B$400="両面")&gt;0)*(機器台帳!$F$2:$F$400&lt;&gt;"")*(機器台帳!$C$2:$C$400&lt;=21)*(機器台帳!$C$2:$C$400+機器台帳!$D$2:$D$400-1&gt;=21),0),0))=0,"|未記入",""))</f>
        <v/>
      </c>
      <c r="L30" s="12">
        <f>IF(SUMPRODUCT((機器台帳!$A$2:$A$400="E24-S8-3")*((機器台帳!$B$2:$B$400="背面")+(機器台帳!$B$2:$B$400="両面")&gt;0)*(機器台帳!$F$2:$F$400&lt;&gt;"")*(機器台帳!$C$2:$C$400&lt;=21)*(機器台帳!$C$2:$C$400+機器台帳!$D$2:$D$400-1&gt;=21))=0,"",INDEX(機器台帳!$F$2:$F$400,MATCH(1,INDEX((機器台帳!$A$2:$A$400="E24-S8-3")*((機器台帳!$B$2:$B$400="背面")+(機器台帳!$B$2:$B$400="両面")&gt;0)*(機器台帳!$F$2:$F$400&lt;&gt;"")*(機器台帳!$C$2:$C$400&lt;=21)*(機器台帳!$C$2:$C$400+機器台帳!$D$2:$D$400-1&gt;=21),0),0))&amp;IF(INDEX(機器台帳!$G$2:$G$400,MATCH(1,INDEX((機器台帳!$A$2:$A$400="E24-S8-3")*((機器台帳!$B$2:$B$400="背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-3")*((機器台帳!$B$2:$B$400="背面")+(機器台帳!$B$2:$B$400="両面")&gt;0)*(機器台帳!$F$2:$F$400&lt;&gt;"")*(機器台帳!$C$2:$C$400&lt;=21)*(機器台帳!$C$2:$C$400+機器台帳!$D$2:$D$400-1&gt;=21),0),0)))&amp;IF(SUMPRODUCT((機器台帳!$A$2:$A$400="E24-S8-3")*((機器台帳!$B$2:$B$400="背面")+(機器台帳!$B$2:$B$400="両面")&gt;0)*(機器台帳!$F$2:$F$400&lt;&gt;"")*(機器台帳!$C$2:$C$400&lt;=21)*(機器台帳!$C$2:$C$400+機器台帳!$D$2:$D$400-1&gt;=21))&gt;1," 他"&amp;(SUMPRODUCT((機器台帳!$A$2:$A$400="E24-S8-3")*((機器台帳!$B$2:$B$400="背面")+(機器台帳!$B$2:$B$400="両面")&gt;0)*(機器台帳!$F$2:$F$400&lt;&gt;"")*(機器台帳!$C$2:$C$400&lt;=21)*(機器台帳!$C$2:$C$400+機器台帳!$D$2:$D$400-1&gt;=21))-1)&amp;"台",""))</f>
        <v/>
      </c>
      <c r="M30">
        <f>IF(SUMPRODUCT((機器台帳!$A$2:$A$400="E24-S8-3")*((機器台帳!$B$2:$B$400="背面")+(機器台帳!$B$2:$B$400="両面")&gt;0)*(機器台帳!$F$2:$F$400&lt;&gt;"")*(機器台帳!$C$2:$C$400&lt;=21)*(機器台帳!$C$2:$C$400+機器台帳!$D$2:$D$400-1&gt;=21))=0,"",INDEX(機器台帳!$I$2:$I$400,MATCH(1,INDEX((機器台帳!$A$2:$A$400="E24-S8-3")*((機器台帳!$B$2:$B$400="背面")+(機器台帳!$B$2:$B$400="両面")&gt;0)*(機器台帳!$F$2:$F$400&lt;&gt;"")*(機器台帳!$C$2:$C$400&lt;=21)*(機器台帳!$C$2:$C$400+機器台帳!$D$2:$D$400-1&gt;=21),0),0))&amp;IF(INDEX(機器台帳!$Y$2:$Y$400,MATCH(1,INDEX((機器台帳!$A$2:$A$400="E24-S8-3")*((機器台帳!$B$2:$B$400="背面")+(機器台帳!$B$2:$B$400="両面")&gt;0)*(機器台帳!$F$2:$F$400&lt;&gt;"")*(機器台帳!$C$2:$C$400&lt;=21)*(機器台帳!$C$2:$C$400+機器台帳!$D$2:$D$400-1&gt;=21),0),0))=0,"|未記入",""))</f>
        <v/>
      </c>
      <c r="N30" s="12">
        <f>IF(SUMPRODUCT((機器台帳!$A$2:$A$400="E24-S8-4")*((機器台帳!$B$2:$B$400="前面")+(機器台帳!$B$2:$B$400="両面")&gt;0)*(機器台帳!$F$2:$F$400&lt;&gt;"")*(機器台帳!$C$2:$C$400&lt;=21)*(機器台帳!$C$2:$C$400+機器台帳!$D$2:$D$400-1&gt;=21))=0,"",INDEX(機器台帳!$F$2:$F$400,MATCH(1,INDEX((機器台帳!$A$2:$A$400="E24-S8-4")*((機器台帳!$B$2:$B$400="前面")+(機器台帳!$B$2:$B$400="両面")&gt;0)*(機器台帳!$F$2:$F$400&lt;&gt;"")*(機器台帳!$C$2:$C$400&lt;=21)*(機器台帳!$C$2:$C$400+機器台帳!$D$2:$D$400-1&gt;=21),0),0))&amp;IF(INDEX(機器台帳!$G$2:$G$400,MATCH(1,INDEX((機器台帳!$A$2:$A$400="E24-S8-4")*((機器台帳!$B$2:$B$400="前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-4")*((機器台帳!$B$2:$B$400="前面")+(機器台帳!$B$2:$B$400="両面")&gt;0)*(機器台帳!$F$2:$F$400&lt;&gt;"")*(機器台帳!$C$2:$C$400&lt;=21)*(機器台帳!$C$2:$C$400+機器台帳!$D$2:$D$400-1&gt;=21),0),0)))&amp;IF(SUMPRODUCT((機器台帳!$A$2:$A$400="E24-S8-4")*((機器台帳!$B$2:$B$400="前面")+(機器台帳!$B$2:$B$400="両面")&gt;0)*(機器台帳!$F$2:$F$400&lt;&gt;"")*(機器台帳!$C$2:$C$400&lt;=21)*(機器台帳!$C$2:$C$400+機器台帳!$D$2:$D$400-1&gt;=21))&gt;1," 他"&amp;(SUMPRODUCT((機器台帳!$A$2:$A$400="E24-S8-4")*((機器台帳!$B$2:$B$400="前面")+(機器台帳!$B$2:$B$400="両面")&gt;0)*(機器台帳!$F$2:$F$400&lt;&gt;"")*(機器台帳!$C$2:$C$400&lt;=21)*(機器台帳!$C$2:$C$400+機器台帳!$D$2:$D$400-1&gt;=21))-1)&amp;"台",""))</f>
        <v/>
      </c>
      <c r="O30">
        <f>IF(SUMPRODUCT((機器台帳!$A$2:$A$400="E24-S8-4")*((機器台帳!$B$2:$B$400="前面")+(機器台帳!$B$2:$B$400="両面")&gt;0)*(機器台帳!$F$2:$F$400&lt;&gt;"")*(機器台帳!$C$2:$C$400&lt;=21)*(機器台帳!$C$2:$C$400+機器台帳!$D$2:$D$400-1&gt;=21))=0,"",INDEX(機器台帳!$I$2:$I$400,MATCH(1,INDEX((機器台帳!$A$2:$A$400="E24-S8-4")*((機器台帳!$B$2:$B$400="前面")+(機器台帳!$B$2:$B$400="両面")&gt;0)*(機器台帳!$F$2:$F$400&lt;&gt;"")*(機器台帳!$C$2:$C$400&lt;=21)*(機器台帳!$C$2:$C$400+機器台帳!$D$2:$D$400-1&gt;=21),0),0))&amp;IF(INDEX(機器台帳!$Y$2:$Y$400,MATCH(1,INDEX((機器台帳!$A$2:$A$400="E24-S8-4")*((機器台帳!$B$2:$B$400="前面")+(機器台帳!$B$2:$B$400="両面")&gt;0)*(機器台帳!$F$2:$F$400&lt;&gt;"")*(機器台帳!$C$2:$C$400&lt;=21)*(機器台帳!$C$2:$C$400+機器台帳!$D$2:$D$400-1&gt;=21),0),0))=0,"|未記入",""))</f>
        <v/>
      </c>
      <c r="P30" s="12">
        <f>IF(SUMPRODUCT((機器台帳!$A$2:$A$400="E24-S8-4")*((機器台帳!$B$2:$B$400="背面")+(機器台帳!$B$2:$B$400="両面")&gt;0)*(機器台帳!$F$2:$F$400&lt;&gt;"")*(機器台帳!$C$2:$C$400&lt;=21)*(機器台帳!$C$2:$C$400+機器台帳!$D$2:$D$400-1&gt;=21))=0,"",INDEX(機器台帳!$F$2:$F$400,MATCH(1,INDEX((機器台帳!$A$2:$A$400="E24-S8-4")*((機器台帳!$B$2:$B$400="背面")+(機器台帳!$B$2:$B$400="両面")&gt;0)*(機器台帳!$F$2:$F$400&lt;&gt;"")*(機器台帳!$C$2:$C$400&lt;=21)*(機器台帳!$C$2:$C$400+機器台帳!$D$2:$D$400-1&gt;=21),0),0))&amp;IF(INDEX(機器台帳!$G$2:$G$400,MATCH(1,INDEX((機器台帳!$A$2:$A$400="E24-S8-4")*((機器台帳!$B$2:$B$400="背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-4")*((機器台帳!$B$2:$B$400="背面")+(機器台帳!$B$2:$B$400="両面")&gt;0)*(機器台帳!$F$2:$F$400&lt;&gt;"")*(機器台帳!$C$2:$C$400&lt;=21)*(機器台帳!$C$2:$C$400+機器台帳!$D$2:$D$400-1&gt;=21),0),0)))&amp;IF(SUMPRODUCT((機器台帳!$A$2:$A$400="E24-S8-4")*((機器台帳!$B$2:$B$400="背面")+(機器台帳!$B$2:$B$400="両面")&gt;0)*(機器台帳!$F$2:$F$400&lt;&gt;"")*(機器台帳!$C$2:$C$400&lt;=21)*(機器台帳!$C$2:$C$400+機器台帳!$D$2:$D$400-1&gt;=21))&gt;1," 他"&amp;(SUMPRODUCT((機器台帳!$A$2:$A$400="E24-S8-4")*((機器台帳!$B$2:$B$400="背面")+(機器台帳!$B$2:$B$400="両面")&gt;0)*(機器台帳!$F$2:$F$400&lt;&gt;"")*(機器台帳!$C$2:$C$400&lt;=21)*(機器台帳!$C$2:$C$400+機器台帳!$D$2:$D$400-1&gt;=21))-1)&amp;"台",""))</f>
        <v/>
      </c>
      <c r="Q30">
        <f>IF(SUMPRODUCT((機器台帳!$A$2:$A$400="E24-S8-4")*((機器台帳!$B$2:$B$400="背面")+(機器台帳!$B$2:$B$400="両面")&gt;0)*(機器台帳!$F$2:$F$400&lt;&gt;"")*(機器台帳!$C$2:$C$400&lt;=21)*(機器台帳!$C$2:$C$400+機器台帳!$D$2:$D$400-1&gt;=21))=0,"",INDEX(機器台帳!$I$2:$I$400,MATCH(1,INDEX((機器台帳!$A$2:$A$400="E24-S8-4")*((機器台帳!$B$2:$B$400="背面")+(機器台帳!$B$2:$B$400="両面")&gt;0)*(機器台帳!$F$2:$F$400&lt;&gt;"")*(機器台帳!$C$2:$C$400&lt;=21)*(機器台帳!$C$2:$C$400+機器台帳!$D$2:$D$400-1&gt;=21),0),0))&amp;IF(INDEX(機器台帳!$Y$2:$Y$400,MATCH(1,INDEX((機器台帳!$A$2:$A$400="E24-S8-4")*((機器台帳!$B$2:$B$400="背面")+(機器台帳!$B$2:$B$400="両面")&gt;0)*(機器台帳!$F$2:$F$400&lt;&gt;"")*(機器台帳!$C$2:$C$400&lt;=21)*(機器台帳!$C$2:$C$400+機器台帳!$D$2:$D$400-1&gt;=21),0),0))=0,"|未記入",""))</f>
        <v/>
      </c>
      <c r="R30" s="12">
        <f>IF(SUMPRODUCT((機器台帳!$A$2:$A$400="E24-S8-5")*((機器台帳!$B$2:$B$400="前面")+(機器台帳!$B$2:$B$400="両面")&gt;0)*(機器台帳!$F$2:$F$400&lt;&gt;"")*(機器台帳!$C$2:$C$400&lt;=21)*(機器台帳!$C$2:$C$400+機器台帳!$D$2:$D$400-1&gt;=21))=0,"",INDEX(機器台帳!$F$2:$F$400,MATCH(1,INDEX((機器台帳!$A$2:$A$400="E24-S8-5")*((機器台帳!$B$2:$B$400="前面")+(機器台帳!$B$2:$B$400="両面")&gt;0)*(機器台帳!$F$2:$F$400&lt;&gt;"")*(機器台帳!$C$2:$C$400&lt;=21)*(機器台帳!$C$2:$C$400+機器台帳!$D$2:$D$400-1&gt;=21),0),0))&amp;IF(INDEX(機器台帳!$G$2:$G$400,MATCH(1,INDEX((機器台帳!$A$2:$A$400="E24-S8-5")*((機器台帳!$B$2:$B$400="前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-5")*((機器台帳!$B$2:$B$400="前面")+(機器台帳!$B$2:$B$400="両面")&gt;0)*(機器台帳!$F$2:$F$400&lt;&gt;"")*(機器台帳!$C$2:$C$400&lt;=21)*(機器台帳!$C$2:$C$400+機器台帳!$D$2:$D$400-1&gt;=21),0),0)))&amp;IF(SUMPRODUCT((機器台帳!$A$2:$A$400="E24-S8-5")*((機器台帳!$B$2:$B$400="前面")+(機器台帳!$B$2:$B$400="両面")&gt;0)*(機器台帳!$F$2:$F$400&lt;&gt;"")*(機器台帳!$C$2:$C$400&lt;=21)*(機器台帳!$C$2:$C$400+機器台帳!$D$2:$D$400-1&gt;=21))&gt;1," 他"&amp;(SUMPRODUCT((機器台帳!$A$2:$A$400="E24-S8-5")*((機器台帳!$B$2:$B$400="前面")+(機器台帳!$B$2:$B$400="両面")&gt;0)*(機器台帳!$F$2:$F$400&lt;&gt;"")*(機器台帳!$C$2:$C$400&lt;=21)*(機器台帳!$C$2:$C$400+機器台帳!$D$2:$D$400-1&gt;=21))-1)&amp;"台",""))</f>
        <v/>
      </c>
      <c r="S30">
        <f>IF(SUMPRODUCT((機器台帳!$A$2:$A$400="E24-S8-5")*((機器台帳!$B$2:$B$400="前面")+(機器台帳!$B$2:$B$400="両面")&gt;0)*(機器台帳!$F$2:$F$400&lt;&gt;"")*(機器台帳!$C$2:$C$400&lt;=21)*(機器台帳!$C$2:$C$400+機器台帳!$D$2:$D$400-1&gt;=21))=0,"",INDEX(機器台帳!$I$2:$I$400,MATCH(1,INDEX((機器台帳!$A$2:$A$400="E24-S8-5")*((機器台帳!$B$2:$B$400="前面")+(機器台帳!$B$2:$B$400="両面")&gt;0)*(機器台帳!$F$2:$F$400&lt;&gt;"")*(機器台帳!$C$2:$C$400&lt;=21)*(機器台帳!$C$2:$C$400+機器台帳!$D$2:$D$400-1&gt;=21),0),0))&amp;IF(INDEX(機器台帳!$Y$2:$Y$400,MATCH(1,INDEX((機器台帳!$A$2:$A$400="E24-S8-5")*((機器台帳!$B$2:$B$400="前面")+(機器台帳!$B$2:$B$400="両面")&gt;0)*(機器台帳!$F$2:$F$400&lt;&gt;"")*(機器台帳!$C$2:$C$400&lt;=21)*(機器台帳!$C$2:$C$400+機器台帳!$D$2:$D$400-1&gt;=21),0),0))=0,"|未記入",""))</f>
        <v/>
      </c>
      <c r="T30" s="12">
        <f>IF(SUMPRODUCT((機器台帳!$A$2:$A$400="E24-S8-5")*((機器台帳!$B$2:$B$400="背面")+(機器台帳!$B$2:$B$400="両面")&gt;0)*(機器台帳!$F$2:$F$400&lt;&gt;"")*(機器台帳!$C$2:$C$400&lt;=21)*(機器台帳!$C$2:$C$400+機器台帳!$D$2:$D$400-1&gt;=21))=0,"",INDEX(機器台帳!$F$2:$F$400,MATCH(1,INDEX((機器台帳!$A$2:$A$400="E24-S8-5")*((機器台帳!$B$2:$B$400="背面")+(機器台帳!$B$2:$B$400="両面")&gt;0)*(機器台帳!$F$2:$F$400&lt;&gt;"")*(機器台帳!$C$2:$C$400&lt;=21)*(機器台帳!$C$2:$C$400+機器台帳!$D$2:$D$400-1&gt;=21),0),0))&amp;IF(INDEX(機器台帳!$G$2:$G$400,MATCH(1,INDEX((機器台帳!$A$2:$A$400="E24-S8-5")*((機器台帳!$B$2:$B$400="背面")+(機器台帳!$B$2:$B$400="両面")&gt;0)*(機器台帳!$F$2:$F$400&lt;&gt;"")*(機器台帳!$C$2:$C$400&lt;=21)*(機器台帳!$C$2:$C$400+機器台帳!$D$2:$D$400-1&gt;=21),0),0))=""," "," "&amp;INDEX(機器台帳!$G$2:$G$400,MATCH(1,INDEX((機器台帳!$A$2:$A$400="E24-S8-5")*((機器台帳!$B$2:$B$400="背面")+(機器台帳!$B$2:$B$400="両面")&gt;0)*(機器台帳!$F$2:$F$400&lt;&gt;"")*(機器台帳!$C$2:$C$400&lt;=21)*(機器台帳!$C$2:$C$400+機器台帳!$D$2:$D$400-1&gt;=21),0),0)))&amp;IF(SUMPRODUCT((機器台帳!$A$2:$A$400="E24-S8-5")*((機器台帳!$B$2:$B$400="背面")+(機器台帳!$B$2:$B$400="両面")&gt;0)*(機器台帳!$F$2:$F$400&lt;&gt;"")*(機器台帳!$C$2:$C$400&lt;=21)*(機器台帳!$C$2:$C$400+機器台帳!$D$2:$D$400-1&gt;=21))&gt;1," 他"&amp;(SUMPRODUCT((機器台帳!$A$2:$A$400="E24-S8-5")*((機器台帳!$B$2:$B$400="背面")+(機器台帳!$B$2:$B$400="両面")&gt;0)*(機器台帳!$F$2:$F$400&lt;&gt;"")*(機器台帳!$C$2:$C$400&lt;=21)*(機器台帳!$C$2:$C$400+機器台帳!$D$2:$D$400-1&gt;=21))-1)&amp;"台",""))</f>
        <v/>
      </c>
      <c r="U30">
        <f>IF(SUMPRODUCT((機器台帳!$A$2:$A$400="E24-S8-5")*((機器台帳!$B$2:$B$400="背面")+(機器台帳!$B$2:$B$400="両面")&gt;0)*(機器台帳!$F$2:$F$400&lt;&gt;"")*(機器台帳!$C$2:$C$400&lt;=21)*(機器台帳!$C$2:$C$400+機器台帳!$D$2:$D$400-1&gt;=21))=0,"",INDEX(機器台帳!$I$2:$I$400,MATCH(1,INDEX((機器台帳!$A$2:$A$400="E24-S8-5")*((機器台帳!$B$2:$B$400="背面")+(機器台帳!$B$2:$B$400="両面")&gt;0)*(機器台帳!$F$2:$F$400&lt;&gt;"")*(機器台帳!$C$2:$C$400&lt;=21)*(機器台帳!$C$2:$C$400+機器台帳!$D$2:$D$400-1&gt;=21),0),0))&amp;IF(INDEX(機器台帳!$Y$2:$Y$400,MATCH(1,INDEX((機器台帳!$A$2:$A$400="E24-S8-5")*((機器台帳!$B$2:$B$400="背面")+(機器台帳!$B$2:$B$400="両面")&gt;0)*(機器台帳!$F$2:$F$400&lt;&gt;"")*(機器台帳!$C$2:$C$400&lt;=21)*(機器台帳!$C$2:$C$400+機器台帳!$D$2:$D$400-1&gt;=21),0),0))=0,"|未記入",""))</f>
        <v/>
      </c>
      <c r="V30" s="12">
        <f>IF(SUMPRODUCT((機器台帳!$A$2:$A$400="E24-S6-1")*((機器台帳!$B$2:$B$400="前面")+(機器台帳!$B$2:$B$400="両面")&gt;0)*(機器台帳!$F$2:$F$400&lt;&gt;"")*(機器台帳!$C$2:$C$400&lt;=21)*(機器台帳!$C$2:$C$400+機器台帳!$D$2:$D$400-1&gt;=21))=0,"",INDEX(機器台帳!$F$2:$F$400,MATCH(1,INDEX((機器台帳!$A$2:$A$400="E24-S6-1")*((機器台帳!$B$2:$B$400="前面")+(機器台帳!$B$2:$B$400="両面")&gt;0)*(機器台帳!$F$2:$F$400&lt;&gt;"")*(機器台帳!$C$2:$C$400&lt;=21)*(機器台帳!$C$2:$C$400+機器台帳!$D$2:$D$400-1&gt;=21),0),0))&amp;IF(INDEX(機器台帳!$G$2:$G$400,MATCH(1,INDEX((機器台帳!$A$2:$A$400="E24-S6-1")*((機器台帳!$B$2:$B$400="前面")+(機器台帳!$B$2:$B$400="両面")&gt;0)*(機器台帳!$F$2:$F$400&lt;&gt;"")*(機器台帳!$C$2:$C$400&lt;=21)*(機器台帳!$C$2:$C$400+機器台帳!$D$2:$D$400-1&gt;=21),0),0))=""," "," "&amp;INDEX(機器台帳!$G$2:$G$400,MATCH(1,INDEX((機器台帳!$A$2:$A$400="E24-S6-1")*((機器台帳!$B$2:$B$400="前面")+(機器台帳!$B$2:$B$400="両面")&gt;0)*(機器台帳!$F$2:$F$400&lt;&gt;"")*(機器台帳!$C$2:$C$400&lt;=21)*(機器台帳!$C$2:$C$400+機器台帳!$D$2:$D$400-1&gt;=21),0),0)))&amp;IF(SUMPRODUCT((機器台帳!$A$2:$A$400="E24-S6-1")*((機器台帳!$B$2:$B$400="前面")+(機器台帳!$B$2:$B$400="両面")&gt;0)*(機器台帳!$F$2:$F$400&lt;&gt;"")*(機器台帳!$C$2:$C$400&lt;=21)*(機器台帳!$C$2:$C$400+機器台帳!$D$2:$D$400-1&gt;=21))&gt;1," 他"&amp;(SUMPRODUCT((機器台帳!$A$2:$A$400="E24-S6-1")*((機器台帳!$B$2:$B$400="前面")+(機器台帳!$B$2:$B$400="両面")&gt;0)*(機器台帳!$F$2:$F$400&lt;&gt;"")*(機器台帳!$C$2:$C$400&lt;=21)*(機器台帳!$C$2:$C$400+機器台帳!$D$2:$D$400-1&gt;=21))-1)&amp;"台",""))</f>
        <v/>
      </c>
      <c r="W30">
        <f>IF(SUMPRODUCT((機器台帳!$A$2:$A$400="E24-S6-1")*((機器台帳!$B$2:$B$400="前面")+(機器台帳!$B$2:$B$400="両面")&gt;0)*(機器台帳!$F$2:$F$400&lt;&gt;"")*(機器台帳!$C$2:$C$400&lt;=21)*(機器台帳!$C$2:$C$400+機器台帳!$D$2:$D$400-1&gt;=21))=0,"",INDEX(機器台帳!$I$2:$I$400,MATCH(1,INDEX((機器台帳!$A$2:$A$400="E24-S6-1")*((機器台帳!$B$2:$B$400="前面")+(機器台帳!$B$2:$B$400="両面")&gt;0)*(機器台帳!$F$2:$F$400&lt;&gt;"")*(機器台帳!$C$2:$C$400&lt;=21)*(機器台帳!$C$2:$C$400+機器台帳!$D$2:$D$400-1&gt;=21),0),0))&amp;IF(INDEX(機器台帳!$Y$2:$Y$400,MATCH(1,INDEX((機器台帳!$A$2:$A$400="E24-S6-1")*((機器台帳!$B$2:$B$400="前面")+(機器台帳!$B$2:$B$400="両面")&gt;0)*(機器台帳!$F$2:$F$400&lt;&gt;"")*(機器台帳!$C$2:$C$400&lt;=21)*(機器台帳!$C$2:$C$400+機器台帳!$D$2:$D$400-1&gt;=21),0),0))=0,"|未記入",""))</f>
        <v/>
      </c>
      <c r="X30" s="12">
        <f>IF(SUMPRODUCT((機器台帳!$A$2:$A$400="E24-S6-1")*((機器台帳!$B$2:$B$400="背面")+(機器台帳!$B$2:$B$400="両面")&gt;0)*(機器台帳!$F$2:$F$400&lt;&gt;"")*(機器台帳!$C$2:$C$400&lt;=21)*(機器台帳!$C$2:$C$400+機器台帳!$D$2:$D$400-1&gt;=21))=0,"",INDEX(機器台帳!$F$2:$F$400,MATCH(1,INDEX((機器台帳!$A$2:$A$400="E24-S6-1")*((機器台帳!$B$2:$B$400="背面")+(機器台帳!$B$2:$B$400="両面")&gt;0)*(機器台帳!$F$2:$F$400&lt;&gt;"")*(機器台帳!$C$2:$C$400&lt;=21)*(機器台帳!$C$2:$C$400+機器台帳!$D$2:$D$400-1&gt;=21),0),0))&amp;IF(INDEX(機器台帳!$G$2:$G$400,MATCH(1,INDEX((機器台帳!$A$2:$A$400="E24-S6-1")*((機器台帳!$B$2:$B$400="背面")+(機器台帳!$B$2:$B$400="両面")&gt;0)*(機器台帳!$F$2:$F$400&lt;&gt;"")*(機器台帳!$C$2:$C$400&lt;=21)*(機器台帳!$C$2:$C$400+機器台帳!$D$2:$D$400-1&gt;=21),0),0))=""," "," "&amp;INDEX(機器台帳!$G$2:$G$400,MATCH(1,INDEX((機器台帳!$A$2:$A$400="E24-S6-1")*((機器台帳!$B$2:$B$400="背面")+(機器台帳!$B$2:$B$400="両面")&gt;0)*(機器台帳!$F$2:$F$400&lt;&gt;"")*(機器台帳!$C$2:$C$400&lt;=21)*(機器台帳!$C$2:$C$400+機器台帳!$D$2:$D$400-1&gt;=21),0),0)))&amp;IF(SUMPRODUCT((機器台帳!$A$2:$A$400="E24-S6-1")*((機器台帳!$B$2:$B$400="背面")+(機器台帳!$B$2:$B$400="両面")&gt;0)*(機器台帳!$F$2:$F$400&lt;&gt;"")*(機器台帳!$C$2:$C$400&lt;=21)*(機器台帳!$C$2:$C$400+機器台帳!$D$2:$D$400-1&gt;=21))&gt;1," 他"&amp;(SUMPRODUCT((機器台帳!$A$2:$A$400="E24-S6-1")*((機器台帳!$B$2:$B$400="背面")+(機器台帳!$B$2:$B$400="両面")&gt;0)*(機器台帳!$F$2:$F$400&lt;&gt;"")*(機器台帳!$C$2:$C$400&lt;=21)*(機器台帳!$C$2:$C$400+機器台帳!$D$2:$D$400-1&gt;=21))-1)&amp;"台",""))</f>
        <v/>
      </c>
      <c r="Y30">
        <f>IF(SUMPRODUCT((機器台帳!$A$2:$A$400="E24-S6-1")*((機器台帳!$B$2:$B$400="背面")+(機器台帳!$B$2:$B$400="両面")&gt;0)*(機器台帳!$F$2:$F$400&lt;&gt;"")*(機器台帳!$C$2:$C$400&lt;=21)*(機器台帳!$C$2:$C$400+機器台帳!$D$2:$D$400-1&gt;=21))=0,"",INDEX(機器台帳!$I$2:$I$400,MATCH(1,INDEX((機器台帳!$A$2:$A$400="E24-S6-1")*((機器台帳!$B$2:$B$400="背面")+(機器台帳!$B$2:$B$400="両面")&gt;0)*(機器台帳!$F$2:$F$400&lt;&gt;"")*(機器台帳!$C$2:$C$400&lt;=21)*(機器台帳!$C$2:$C$400+機器台帳!$D$2:$D$400-1&gt;=21),0),0))&amp;IF(INDEX(機器台帳!$Y$2:$Y$400,MATCH(1,INDEX((機器台帳!$A$2:$A$400="E24-S6-1")*((機器台帳!$B$2:$B$400="背面")+(機器台帳!$B$2:$B$400="両面")&gt;0)*(機器台帳!$F$2:$F$400&lt;&gt;"")*(機器台帳!$C$2:$C$400&lt;=21)*(機器台帳!$C$2:$C$400+機器台帳!$D$2:$D$400-1&gt;=21),0),0))=0,"|未記入",""))</f>
        <v/>
      </c>
    </row>
    <row r="31">
      <c r="A31" s="11" t="n">
        <v>20</v>
      </c>
      <c r="B31" s="12">
        <f>IF(SUMPRODUCT((機器台帳!$A$2:$A$400="E24-S8-1")*((機器台帳!$B$2:$B$400="前面")+(機器台帳!$B$2:$B$400="両面")&gt;0)*(機器台帳!$F$2:$F$400&lt;&gt;"")*(機器台帳!$C$2:$C$400&lt;=20)*(機器台帳!$C$2:$C$400+機器台帳!$D$2:$D$400-1&gt;=20))=0,"",INDEX(機器台帳!$F$2:$F$400,MATCH(1,INDEX((機器台帳!$A$2:$A$400="E24-S8-1")*((機器台帳!$B$2:$B$400="前面")+(機器台帳!$B$2:$B$400="両面")&gt;0)*(機器台帳!$F$2:$F$400&lt;&gt;"")*(機器台帳!$C$2:$C$400&lt;=20)*(機器台帳!$C$2:$C$400+機器台帳!$D$2:$D$400-1&gt;=20),0),0))&amp;IF(INDEX(機器台帳!$G$2:$G$400,MATCH(1,INDEX((機器台帳!$A$2:$A$400="E24-S8-1")*((機器台帳!$B$2:$B$400="前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-1")*((機器台帳!$B$2:$B$400="前面")+(機器台帳!$B$2:$B$400="両面")&gt;0)*(機器台帳!$F$2:$F$400&lt;&gt;"")*(機器台帳!$C$2:$C$400&lt;=20)*(機器台帳!$C$2:$C$400+機器台帳!$D$2:$D$400-1&gt;=20),0),0)))&amp;IF(SUMPRODUCT((機器台帳!$A$2:$A$400="E24-S8-1")*((機器台帳!$B$2:$B$400="前面")+(機器台帳!$B$2:$B$400="両面")&gt;0)*(機器台帳!$F$2:$F$400&lt;&gt;"")*(機器台帳!$C$2:$C$400&lt;=20)*(機器台帳!$C$2:$C$400+機器台帳!$D$2:$D$400-1&gt;=20))&gt;1," 他"&amp;(SUMPRODUCT((機器台帳!$A$2:$A$400="E24-S8-1")*((機器台帳!$B$2:$B$400="前面")+(機器台帳!$B$2:$B$400="両面")&gt;0)*(機器台帳!$F$2:$F$400&lt;&gt;"")*(機器台帳!$C$2:$C$400&lt;=20)*(機器台帳!$C$2:$C$400+機器台帳!$D$2:$D$400-1&gt;=20))-1)&amp;"台",""))</f>
        <v/>
      </c>
      <c r="C31">
        <f>IF(SUMPRODUCT((機器台帳!$A$2:$A$400="E24-S8-1")*((機器台帳!$B$2:$B$400="前面")+(機器台帳!$B$2:$B$400="両面")&gt;0)*(機器台帳!$F$2:$F$400&lt;&gt;"")*(機器台帳!$C$2:$C$400&lt;=20)*(機器台帳!$C$2:$C$400+機器台帳!$D$2:$D$400-1&gt;=20))=0,"",INDEX(機器台帳!$I$2:$I$400,MATCH(1,INDEX((機器台帳!$A$2:$A$400="E24-S8-1")*((機器台帳!$B$2:$B$400="前面")+(機器台帳!$B$2:$B$400="両面")&gt;0)*(機器台帳!$F$2:$F$400&lt;&gt;"")*(機器台帳!$C$2:$C$400&lt;=20)*(機器台帳!$C$2:$C$400+機器台帳!$D$2:$D$400-1&gt;=20),0),0))&amp;IF(INDEX(機器台帳!$Y$2:$Y$400,MATCH(1,INDEX((機器台帳!$A$2:$A$400="E24-S8-1")*((機器台帳!$B$2:$B$400="前面")+(機器台帳!$B$2:$B$400="両面")&gt;0)*(機器台帳!$F$2:$F$400&lt;&gt;"")*(機器台帳!$C$2:$C$400&lt;=20)*(機器台帳!$C$2:$C$400+機器台帳!$D$2:$D$400-1&gt;=20),0),0))=0,"|未記入",""))</f>
        <v/>
      </c>
      <c r="D31" s="12">
        <f>IF(SUMPRODUCT((機器台帳!$A$2:$A$400="E24-S8-1")*((機器台帳!$B$2:$B$400="背面")+(機器台帳!$B$2:$B$400="両面")&gt;0)*(機器台帳!$F$2:$F$400&lt;&gt;"")*(機器台帳!$C$2:$C$400&lt;=20)*(機器台帳!$C$2:$C$400+機器台帳!$D$2:$D$400-1&gt;=20))=0,"",INDEX(機器台帳!$F$2:$F$400,MATCH(1,INDEX((機器台帳!$A$2:$A$400="E24-S8-1")*((機器台帳!$B$2:$B$400="背面")+(機器台帳!$B$2:$B$400="両面")&gt;0)*(機器台帳!$F$2:$F$400&lt;&gt;"")*(機器台帳!$C$2:$C$400&lt;=20)*(機器台帳!$C$2:$C$400+機器台帳!$D$2:$D$400-1&gt;=20),0),0))&amp;IF(INDEX(機器台帳!$G$2:$G$400,MATCH(1,INDEX((機器台帳!$A$2:$A$400="E24-S8-1")*((機器台帳!$B$2:$B$400="背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-1")*((機器台帳!$B$2:$B$400="背面")+(機器台帳!$B$2:$B$400="両面")&gt;0)*(機器台帳!$F$2:$F$400&lt;&gt;"")*(機器台帳!$C$2:$C$400&lt;=20)*(機器台帳!$C$2:$C$400+機器台帳!$D$2:$D$400-1&gt;=20),0),0)))&amp;IF(SUMPRODUCT((機器台帳!$A$2:$A$400="E24-S8-1")*((機器台帳!$B$2:$B$400="背面")+(機器台帳!$B$2:$B$400="両面")&gt;0)*(機器台帳!$F$2:$F$400&lt;&gt;"")*(機器台帳!$C$2:$C$400&lt;=20)*(機器台帳!$C$2:$C$400+機器台帳!$D$2:$D$400-1&gt;=20))&gt;1," 他"&amp;(SUMPRODUCT((機器台帳!$A$2:$A$400="E24-S8-1")*((機器台帳!$B$2:$B$400="背面")+(機器台帳!$B$2:$B$400="両面")&gt;0)*(機器台帳!$F$2:$F$400&lt;&gt;"")*(機器台帳!$C$2:$C$400&lt;=20)*(機器台帳!$C$2:$C$400+機器台帳!$D$2:$D$400-1&gt;=20))-1)&amp;"台",""))</f>
        <v/>
      </c>
      <c r="E31">
        <f>IF(SUMPRODUCT((機器台帳!$A$2:$A$400="E24-S8-1")*((機器台帳!$B$2:$B$400="背面")+(機器台帳!$B$2:$B$400="両面")&gt;0)*(機器台帳!$F$2:$F$400&lt;&gt;"")*(機器台帳!$C$2:$C$400&lt;=20)*(機器台帳!$C$2:$C$400+機器台帳!$D$2:$D$400-1&gt;=20))=0,"",INDEX(機器台帳!$I$2:$I$400,MATCH(1,INDEX((機器台帳!$A$2:$A$400="E24-S8-1")*((機器台帳!$B$2:$B$400="背面")+(機器台帳!$B$2:$B$400="両面")&gt;0)*(機器台帳!$F$2:$F$400&lt;&gt;"")*(機器台帳!$C$2:$C$400&lt;=20)*(機器台帳!$C$2:$C$400+機器台帳!$D$2:$D$400-1&gt;=20),0),0))&amp;IF(INDEX(機器台帳!$Y$2:$Y$400,MATCH(1,INDEX((機器台帳!$A$2:$A$400="E24-S8-1")*((機器台帳!$B$2:$B$400="背面")+(機器台帳!$B$2:$B$400="両面")&gt;0)*(機器台帳!$F$2:$F$400&lt;&gt;"")*(機器台帳!$C$2:$C$400&lt;=20)*(機器台帳!$C$2:$C$400+機器台帳!$D$2:$D$400-1&gt;=20),0),0))=0,"|未記入",""))</f>
        <v/>
      </c>
      <c r="F31" s="12">
        <f>IF(SUMPRODUCT((機器台帳!$A$2:$A$400="E24-S8-2")*((機器台帳!$B$2:$B$400="前面")+(機器台帳!$B$2:$B$400="両面")&gt;0)*(機器台帳!$F$2:$F$400&lt;&gt;"")*(機器台帳!$C$2:$C$400&lt;=20)*(機器台帳!$C$2:$C$400+機器台帳!$D$2:$D$400-1&gt;=20))=0,"",INDEX(機器台帳!$F$2:$F$400,MATCH(1,INDEX((機器台帳!$A$2:$A$400="E24-S8-2")*((機器台帳!$B$2:$B$400="前面")+(機器台帳!$B$2:$B$400="両面")&gt;0)*(機器台帳!$F$2:$F$400&lt;&gt;"")*(機器台帳!$C$2:$C$400&lt;=20)*(機器台帳!$C$2:$C$400+機器台帳!$D$2:$D$400-1&gt;=20),0),0))&amp;IF(INDEX(機器台帳!$G$2:$G$400,MATCH(1,INDEX((機器台帳!$A$2:$A$400="E24-S8-2")*((機器台帳!$B$2:$B$400="前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-2")*((機器台帳!$B$2:$B$400="前面")+(機器台帳!$B$2:$B$400="両面")&gt;0)*(機器台帳!$F$2:$F$400&lt;&gt;"")*(機器台帳!$C$2:$C$400&lt;=20)*(機器台帳!$C$2:$C$400+機器台帳!$D$2:$D$400-1&gt;=20),0),0)))&amp;IF(SUMPRODUCT((機器台帳!$A$2:$A$400="E24-S8-2")*((機器台帳!$B$2:$B$400="前面")+(機器台帳!$B$2:$B$400="両面")&gt;0)*(機器台帳!$F$2:$F$400&lt;&gt;"")*(機器台帳!$C$2:$C$400&lt;=20)*(機器台帳!$C$2:$C$400+機器台帳!$D$2:$D$400-1&gt;=20))&gt;1," 他"&amp;(SUMPRODUCT((機器台帳!$A$2:$A$400="E24-S8-2")*((機器台帳!$B$2:$B$400="前面")+(機器台帳!$B$2:$B$400="両面")&gt;0)*(機器台帳!$F$2:$F$400&lt;&gt;"")*(機器台帳!$C$2:$C$400&lt;=20)*(機器台帳!$C$2:$C$400+機器台帳!$D$2:$D$400-1&gt;=20))-1)&amp;"台",""))</f>
        <v/>
      </c>
      <c r="G31">
        <f>IF(SUMPRODUCT((機器台帳!$A$2:$A$400="E24-S8-2")*((機器台帳!$B$2:$B$400="前面")+(機器台帳!$B$2:$B$400="両面")&gt;0)*(機器台帳!$F$2:$F$400&lt;&gt;"")*(機器台帳!$C$2:$C$400&lt;=20)*(機器台帳!$C$2:$C$400+機器台帳!$D$2:$D$400-1&gt;=20))=0,"",INDEX(機器台帳!$I$2:$I$400,MATCH(1,INDEX((機器台帳!$A$2:$A$400="E24-S8-2")*((機器台帳!$B$2:$B$400="前面")+(機器台帳!$B$2:$B$400="両面")&gt;0)*(機器台帳!$F$2:$F$400&lt;&gt;"")*(機器台帳!$C$2:$C$400&lt;=20)*(機器台帳!$C$2:$C$400+機器台帳!$D$2:$D$400-1&gt;=20),0),0))&amp;IF(INDEX(機器台帳!$Y$2:$Y$400,MATCH(1,INDEX((機器台帳!$A$2:$A$400="E24-S8-2")*((機器台帳!$B$2:$B$400="前面")+(機器台帳!$B$2:$B$400="両面")&gt;0)*(機器台帳!$F$2:$F$400&lt;&gt;"")*(機器台帳!$C$2:$C$400&lt;=20)*(機器台帳!$C$2:$C$400+機器台帳!$D$2:$D$400-1&gt;=20),0),0))=0,"|未記入",""))</f>
        <v/>
      </c>
      <c r="H31" s="12">
        <f>IF(SUMPRODUCT((機器台帳!$A$2:$A$400="E24-S8-2")*((機器台帳!$B$2:$B$400="背面")+(機器台帳!$B$2:$B$400="両面")&gt;0)*(機器台帳!$F$2:$F$400&lt;&gt;"")*(機器台帳!$C$2:$C$400&lt;=20)*(機器台帳!$C$2:$C$400+機器台帳!$D$2:$D$400-1&gt;=20))=0,"",INDEX(機器台帳!$F$2:$F$400,MATCH(1,INDEX((機器台帳!$A$2:$A$400="E24-S8-2")*((機器台帳!$B$2:$B$400="背面")+(機器台帳!$B$2:$B$400="両面")&gt;0)*(機器台帳!$F$2:$F$400&lt;&gt;"")*(機器台帳!$C$2:$C$400&lt;=20)*(機器台帳!$C$2:$C$400+機器台帳!$D$2:$D$400-1&gt;=20),0),0))&amp;IF(INDEX(機器台帳!$G$2:$G$400,MATCH(1,INDEX((機器台帳!$A$2:$A$400="E24-S8-2")*((機器台帳!$B$2:$B$400="背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-2")*((機器台帳!$B$2:$B$400="背面")+(機器台帳!$B$2:$B$400="両面")&gt;0)*(機器台帳!$F$2:$F$400&lt;&gt;"")*(機器台帳!$C$2:$C$400&lt;=20)*(機器台帳!$C$2:$C$400+機器台帳!$D$2:$D$400-1&gt;=20),0),0)))&amp;IF(SUMPRODUCT((機器台帳!$A$2:$A$400="E24-S8-2")*((機器台帳!$B$2:$B$400="背面")+(機器台帳!$B$2:$B$400="両面")&gt;0)*(機器台帳!$F$2:$F$400&lt;&gt;"")*(機器台帳!$C$2:$C$400&lt;=20)*(機器台帳!$C$2:$C$400+機器台帳!$D$2:$D$400-1&gt;=20))&gt;1," 他"&amp;(SUMPRODUCT((機器台帳!$A$2:$A$400="E24-S8-2")*((機器台帳!$B$2:$B$400="背面")+(機器台帳!$B$2:$B$400="両面")&gt;0)*(機器台帳!$F$2:$F$400&lt;&gt;"")*(機器台帳!$C$2:$C$400&lt;=20)*(機器台帳!$C$2:$C$400+機器台帳!$D$2:$D$400-1&gt;=20))-1)&amp;"台",""))</f>
        <v/>
      </c>
      <c r="I31">
        <f>IF(SUMPRODUCT((機器台帳!$A$2:$A$400="E24-S8-2")*((機器台帳!$B$2:$B$400="背面")+(機器台帳!$B$2:$B$400="両面")&gt;0)*(機器台帳!$F$2:$F$400&lt;&gt;"")*(機器台帳!$C$2:$C$400&lt;=20)*(機器台帳!$C$2:$C$400+機器台帳!$D$2:$D$400-1&gt;=20))=0,"",INDEX(機器台帳!$I$2:$I$400,MATCH(1,INDEX((機器台帳!$A$2:$A$400="E24-S8-2")*((機器台帳!$B$2:$B$400="背面")+(機器台帳!$B$2:$B$400="両面")&gt;0)*(機器台帳!$F$2:$F$400&lt;&gt;"")*(機器台帳!$C$2:$C$400&lt;=20)*(機器台帳!$C$2:$C$400+機器台帳!$D$2:$D$400-1&gt;=20),0),0))&amp;IF(INDEX(機器台帳!$Y$2:$Y$400,MATCH(1,INDEX((機器台帳!$A$2:$A$400="E24-S8-2")*((機器台帳!$B$2:$B$400="背面")+(機器台帳!$B$2:$B$400="両面")&gt;0)*(機器台帳!$F$2:$F$400&lt;&gt;"")*(機器台帳!$C$2:$C$400&lt;=20)*(機器台帳!$C$2:$C$400+機器台帳!$D$2:$D$400-1&gt;=20),0),0))=0,"|未記入",""))</f>
        <v/>
      </c>
      <c r="J31" s="12">
        <f>IF(SUMPRODUCT((機器台帳!$A$2:$A$400="E24-S8-3")*((機器台帳!$B$2:$B$400="前面")+(機器台帳!$B$2:$B$400="両面")&gt;0)*(機器台帳!$F$2:$F$400&lt;&gt;"")*(機器台帳!$C$2:$C$400&lt;=20)*(機器台帳!$C$2:$C$400+機器台帳!$D$2:$D$400-1&gt;=20))=0,"",INDEX(機器台帳!$F$2:$F$400,MATCH(1,INDEX((機器台帳!$A$2:$A$400="E24-S8-3")*((機器台帳!$B$2:$B$400="前面")+(機器台帳!$B$2:$B$400="両面")&gt;0)*(機器台帳!$F$2:$F$400&lt;&gt;"")*(機器台帳!$C$2:$C$400&lt;=20)*(機器台帳!$C$2:$C$400+機器台帳!$D$2:$D$400-1&gt;=20),0),0))&amp;IF(INDEX(機器台帳!$G$2:$G$400,MATCH(1,INDEX((機器台帳!$A$2:$A$400="E24-S8-3")*((機器台帳!$B$2:$B$400="前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-3")*((機器台帳!$B$2:$B$400="前面")+(機器台帳!$B$2:$B$400="両面")&gt;0)*(機器台帳!$F$2:$F$400&lt;&gt;"")*(機器台帳!$C$2:$C$400&lt;=20)*(機器台帳!$C$2:$C$400+機器台帳!$D$2:$D$400-1&gt;=20),0),0)))&amp;IF(SUMPRODUCT((機器台帳!$A$2:$A$400="E24-S8-3")*((機器台帳!$B$2:$B$400="前面")+(機器台帳!$B$2:$B$400="両面")&gt;0)*(機器台帳!$F$2:$F$400&lt;&gt;"")*(機器台帳!$C$2:$C$400&lt;=20)*(機器台帳!$C$2:$C$400+機器台帳!$D$2:$D$400-1&gt;=20))&gt;1," 他"&amp;(SUMPRODUCT((機器台帳!$A$2:$A$400="E24-S8-3")*((機器台帳!$B$2:$B$400="前面")+(機器台帳!$B$2:$B$400="両面")&gt;0)*(機器台帳!$F$2:$F$400&lt;&gt;"")*(機器台帳!$C$2:$C$400&lt;=20)*(機器台帳!$C$2:$C$400+機器台帳!$D$2:$D$400-1&gt;=20))-1)&amp;"台",""))</f>
        <v/>
      </c>
      <c r="K31">
        <f>IF(SUMPRODUCT((機器台帳!$A$2:$A$400="E24-S8-3")*((機器台帳!$B$2:$B$400="前面")+(機器台帳!$B$2:$B$400="両面")&gt;0)*(機器台帳!$F$2:$F$400&lt;&gt;"")*(機器台帳!$C$2:$C$400&lt;=20)*(機器台帳!$C$2:$C$400+機器台帳!$D$2:$D$400-1&gt;=20))=0,"",INDEX(機器台帳!$I$2:$I$400,MATCH(1,INDEX((機器台帳!$A$2:$A$400="E24-S8-3")*((機器台帳!$B$2:$B$400="前面")+(機器台帳!$B$2:$B$400="両面")&gt;0)*(機器台帳!$F$2:$F$400&lt;&gt;"")*(機器台帳!$C$2:$C$400&lt;=20)*(機器台帳!$C$2:$C$400+機器台帳!$D$2:$D$400-1&gt;=20),0),0))&amp;IF(INDEX(機器台帳!$Y$2:$Y$400,MATCH(1,INDEX((機器台帳!$A$2:$A$400="E24-S8-3")*((機器台帳!$B$2:$B$400="前面")+(機器台帳!$B$2:$B$400="両面")&gt;0)*(機器台帳!$F$2:$F$400&lt;&gt;"")*(機器台帳!$C$2:$C$400&lt;=20)*(機器台帳!$C$2:$C$400+機器台帳!$D$2:$D$400-1&gt;=20),0),0))=0,"|未記入",""))</f>
        <v/>
      </c>
      <c r="L31" s="12">
        <f>IF(SUMPRODUCT((機器台帳!$A$2:$A$400="E24-S8-3")*((機器台帳!$B$2:$B$400="背面")+(機器台帳!$B$2:$B$400="両面")&gt;0)*(機器台帳!$F$2:$F$400&lt;&gt;"")*(機器台帳!$C$2:$C$400&lt;=20)*(機器台帳!$C$2:$C$400+機器台帳!$D$2:$D$400-1&gt;=20))=0,"",INDEX(機器台帳!$F$2:$F$400,MATCH(1,INDEX((機器台帳!$A$2:$A$400="E24-S8-3")*((機器台帳!$B$2:$B$400="背面")+(機器台帳!$B$2:$B$400="両面")&gt;0)*(機器台帳!$F$2:$F$400&lt;&gt;"")*(機器台帳!$C$2:$C$400&lt;=20)*(機器台帳!$C$2:$C$400+機器台帳!$D$2:$D$400-1&gt;=20),0),0))&amp;IF(INDEX(機器台帳!$G$2:$G$400,MATCH(1,INDEX((機器台帳!$A$2:$A$400="E24-S8-3")*((機器台帳!$B$2:$B$400="背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-3")*((機器台帳!$B$2:$B$400="背面")+(機器台帳!$B$2:$B$400="両面")&gt;0)*(機器台帳!$F$2:$F$400&lt;&gt;"")*(機器台帳!$C$2:$C$400&lt;=20)*(機器台帳!$C$2:$C$400+機器台帳!$D$2:$D$400-1&gt;=20),0),0)))&amp;IF(SUMPRODUCT((機器台帳!$A$2:$A$400="E24-S8-3")*((機器台帳!$B$2:$B$400="背面")+(機器台帳!$B$2:$B$400="両面")&gt;0)*(機器台帳!$F$2:$F$400&lt;&gt;"")*(機器台帳!$C$2:$C$400&lt;=20)*(機器台帳!$C$2:$C$400+機器台帳!$D$2:$D$400-1&gt;=20))&gt;1," 他"&amp;(SUMPRODUCT((機器台帳!$A$2:$A$400="E24-S8-3")*((機器台帳!$B$2:$B$400="背面")+(機器台帳!$B$2:$B$400="両面")&gt;0)*(機器台帳!$F$2:$F$400&lt;&gt;"")*(機器台帳!$C$2:$C$400&lt;=20)*(機器台帳!$C$2:$C$400+機器台帳!$D$2:$D$400-1&gt;=20))-1)&amp;"台",""))</f>
        <v/>
      </c>
      <c r="M31">
        <f>IF(SUMPRODUCT((機器台帳!$A$2:$A$400="E24-S8-3")*((機器台帳!$B$2:$B$400="背面")+(機器台帳!$B$2:$B$400="両面")&gt;0)*(機器台帳!$F$2:$F$400&lt;&gt;"")*(機器台帳!$C$2:$C$400&lt;=20)*(機器台帳!$C$2:$C$400+機器台帳!$D$2:$D$400-1&gt;=20))=0,"",INDEX(機器台帳!$I$2:$I$400,MATCH(1,INDEX((機器台帳!$A$2:$A$400="E24-S8-3")*((機器台帳!$B$2:$B$400="背面")+(機器台帳!$B$2:$B$400="両面")&gt;0)*(機器台帳!$F$2:$F$400&lt;&gt;"")*(機器台帳!$C$2:$C$400&lt;=20)*(機器台帳!$C$2:$C$400+機器台帳!$D$2:$D$400-1&gt;=20),0),0))&amp;IF(INDEX(機器台帳!$Y$2:$Y$400,MATCH(1,INDEX((機器台帳!$A$2:$A$400="E24-S8-3")*((機器台帳!$B$2:$B$400="背面")+(機器台帳!$B$2:$B$400="両面")&gt;0)*(機器台帳!$F$2:$F$400&lt;&gt;"")*(機器台帳!$C$2:$C$400&lt;=20)*(機器台帳!$C$2:$C$400+機器台帳!$D$2:$D$400-1&gt;=20),0),0))=0,"|未記入",""))</f>
        <v/>
      </c>
      <c r="N31" s="12">
        <f>IF(SUMPRODUCT((機器台帳!$A$2:$A$400="E24-S8-4")*((機器台帳!$B$2:$B$400="前面")+(機器台帳!$B$2:$B$400="両面")&gt;0)*(機器台帳!$F$2:$F$400&lt;&gt;"")*(機器台帳!$C$2:$C$400&lt;=20)*(機器台帳!$C$2:$C$400+機器台帳!$D$2:$D$400-1&gt;=20))=0,"",INDEX(機器台帳!$F$2:$F$400,MATCH(1,INDEX((機器台帳!$A$2:$A$400="E24-S8-4")*((機器台帳!$B$2:$B$400="前面")+(機器台帳!$B$2:$B$400="両面")&gt;0)*(機器台帳!$F$2:$F$400&lt;&gt;"")*(機器台帳!$C$2:$C$400&lt;=20)*(機器台帳!$C$2:$C$400+機器台帳!$D$2:$D$400-1&gt;=20),0),0))&amp;IF(INDEX(機器台帳!$G$2:$G$400,MATCH(1,INDEX((機器台帳!$A$2:$A$400="E24-S8-4")*((機器台帳!$B$2:$B$400="前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-4")*((機器台帳!$B$2:$B$400="前面")+(機器台帳!$B$2:$B$400="両面")&gt;0)*(機器台帳!$F$2:$F$400&lt;&gt;"")*(機器台帳!$C$2:$C$400&lt;=20)*(機器台帳!$C$2:$C$400+機器台帳!$D$2:$D$400-1&gt;=20),0),0)))&amp;IF(SUMPRODUCT((機器台帳!$A$2:$A$400="E24-S8-4")*((機器台帳!$B$2:$B$400="前面")+(機器台帳!$B$2:$B$400="両面")&gt;0)*(機器台帳!$F$2:$F$400&lt;&gt;"")*(機器台帳!$C$2:$C$400&lt;=20)*(機器台帳!$C$2:$C$400+機器台帳!$D$2:$D$400-1&gt;=20))&gt;1," 他"&amp;(SUMPRODUCT((機器台帳!$A$2:$A$400="E24-S8-4")*((機器台帳!$B$2:$B$400="前面")+(機器台帳!$B$2:$B$400="両面")&gt;0)*(機器台帳!$F$2:$F$400&lt;&gt;"")*(機器台帳!$C$2:$C$400&lt;=20)*(機器台帳!$C$2:$C$400+機器台帳!$D$2:$D$400-1&gt;=20))-1)&amp;"台",""))</f>
        <v/>
      </c>
      <c r="O31">
        <f>IF(SUMPRODUCT((機器台帳!$A$2:$A$400="E24-S8-4")*((機器台帳!$B$2:$B$400="前面")+(機器台帳!$B$2:$B$400="両面")&gt;0)*(機器台帳!$F$2:$F$400&lt;&gt;"")*(機器台帳!$C$2:$C$400&lt;=20)*(機器台帳!$C$2:$C$400+機器台帳!$D$2:$D$400-1&gt;=20))=0,"",INDEX(機器台帳!$I$2:$I$400,MATCH(1,INDEX((機器台帳!$A$2:$A$400="E24-S8-4")*((機器台帳!$B$2:$B$400="前面")+(機器台帳!$B$2:$B$400="両面")&gt;0)*(機器台帳!$F$2:$F$400&lt;&gt;"")*(機器台帳!$C$2:$C$400&lt;=20)*(機器台帳!$C$2:$C$400+機器台帳!$D$2:$D$400-1&gt;=20),0),0))&amp;IF(INDEX(機器台帳!$Y$2:$Y$400,MATCH(1,INDEX((機器台帳!$A$2:$A$400="E24-S8-4")*((機器台帳!$B$2:$B$400="前面")+(機器台帳!$B$2:$B$400="両面")&gt;0)*(機器台帳!$F$2:$F$400&lt;&gt;"")*(機器台帳!$C$2:$C$400&lt;=20)*(機器台帳!$C$2:$C$400+機器台帳!$D$2:$D$400-1&gt;=20),0),0))=0,"|未記入",""))</f>
        <v/>
      </c>
      <c r="P31" s="12">
        <f>IF(SUMPRODUCT((機器台帳!$A$2:$A$400="E24-S8-4")*((機器台帳!$B$2:$B$400="背面")+(機器台帳!$B$2:$B$400="両面")&gt;0)*(機器台帳!$F$2:$F$400&lt;&gt;"")*(機器台帳!$C$2:$C$400&lt;=20)*(機器台帳!$C$2:$C$400+機器台帳!$D$2:$D$400-1&gt;=20))=0,"",INDEX(機器台帳!$F$2:$F$400,MATCH(1,INDEX((機器台帳!$A$2:$A$400="E24-S8-4")*((機器台帳!$B$2:$B$400="背面")+(機器台帳!$B$2:$B$400="両面")&gt;0)*(機器台帳!$F$2:$F$400&lt;&gt;"")*(機器台帳!$C$2:$C$400&lt;=20)*(機器台帳!$C$2:$C$400+機器台帳!$D$2:$D$400-1&gt;=20),0),0))&amp;IF(INDEX(機器台帳!$G$2:$G$400,MATCH(1,INDEX((機器台帳!$A$2:$A$400="E24-S8-4")*((機器台帳!$B$2:$B$400="背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-4")*((機器台帳!$B$2:$B$400="背面")+(機器台帳!$B$2:$B$400="両面")&gt;0)*(機器台帳!$F$2:$F$400&lt;&gt;"")*(機器台帳!$C$2:$C$400&lt;=20)*(機器台帳!$C$2:$C$400+機器台帳!$D$2:$D$400-1&gt;=20),0),0)))&amp;IF(SUMPRODUCT((機器台帳!$A$2:$A$400="E24-S8-4")*((機器台帳!$B$2:$B$400="背面")+(機器台帳!$B$2:$B$400="両面")&gt;0)*(機器台帳!$F$2:$F$400&lt;&gt;"")*(機器台帳!$C$2:$C$400&lt;=20)*(機器台帳!$C$2:$C$400+機器台帳!$D$2:$D$400-1&gt;=20))&gt;1," 他"&amp;(SUMPRODUCT((機器台帳!$A$2:$A$400="E24-S8-4")*((機器台帳!$B$2:$B$400="背面")+(機器台帳!$B$2:$B$400="両面")&gt;0)*(機器台帳!$F$2:$F$400&lt;&gt;"")*(機器台帳!$C$2:$C$400&lt;=20)*(機器台帳!$C$2:$C$400+機器台帳!$D$2:$D$400-1&gt;=20))-1)&amp;"台",""))</f>
        <v/>
      </c>
      <c r="Q31">
        <f>IF(SUMPRODUCT((機器台帳!$A$2:$A$400="E24-S8-4")*((機器台帳!$B$2:$B$400="背面")+(機器台帳!$B$2:$B$400="両面")&gt;0)*(機器台帳!$F$2:$F$400&lt;&gt;"")*(機器台帳!$C$2:$C$400&lt;=20)*(機器台帳!$C$2:$C$400+機器台帳!$D$2:$D$400-1&gt;=20))=0,"",INDEX(機器台帳!$I$2:$I$400,MATCH(1,INDEX((機器台帳!$A$2:$A$400="E24-S8-4")*((機器台帳!$B$2:$B$400="背面")+(機器台帳!$B$2:$B$400="両面")&gt;0)*(機器台帳!$F$2:$F$400&lt;&gt;"")*(機器台帳!$C$2:$C$400&lt;=20)*(機器台帳!$C$2:$C$400+機器台帳!$D$2:$D$400-1&gt;=20),0),0))&amp;IF(INDEX(機器台帳!$Y$2:$Y$400,MATCH(1,INDEX((機器台帳!$A$2:$A$400="E24-S8-4")*((機器台帳!$B$2:$B$400="背面")+(機器台帳!$B$2:$B$400="両面")&gt;0)*(機器台帳!$F$2:$F$400&lt;&gt;"")*(機器台帳!$C$2:$C$400&lt;=20)*(機器台帳!$C$2:$C$400+機器台帳!$D$2:$D$400-1&gt;=20),0),0))=0,"|未記入",""))</f>
        <v/>
      </c>
      <c r="R31" s="12">
        <f>IF(SUMPRODUCT((機器台帳!$A$2:$A$400="E24-S8-5")*((機器台帳!$B$2:$B$400="前面")+(機器台帳!$B$2:$B$400="両面")&gt;0)*(機器台帳!$F$2:$F$400&lt;&gt;"")*(機器台帳!$C$2:$C$400&lt;=20)*(機器台帳!$C$2:$C$400+機器台帳!$D$2:$D$400-1&gt;=20))=0,"",INDEX(機器台帳!$F$2:$F$400,MATCH(1,INDEX((機器台帳!$A$2:$A$400="E24-S8-5")*((機器台帳!$B$2:$B$400="前面")+(機器台帳!$B$2:$B$400="両面")&gt;0)*(機器台帳!$F$2:$F$400&lt;&gt;"")*(機器台帳!$C$2:$C$400&lt;=20)*(機器台帳!$C$2:$C$400+機器台帳!$D$2:$D$400-1&gt;=20),0),0))&amp;IF(INDEX(機器台帳!$G$2:$G$400,MATCH(1,INDEX((機器台帳!$A$2:$A$400="E24-S8-5")*((機器台帳!$B$2:$B$400="前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-5")*((機器台帳!$B$2:$B$400="前面")+(機器台帳!$B$2:$B$400="両面")&gt;0)*(機器台帳!$F$2:$F$400&lt;&gt;"")*(機器台帳!$C$2:$C$400&lt;=20)*(機器台帳!$C$2:$C$400+機器台帳!$D$2:$D$400-1&gt;=20),0),0)))&amp;IF(SUMPRODUCT((機器台帳!$A$2:$A$400="E24-S8-5")*((機器台帳!$B$2:$B$400="前面")+(機器台帳!$B$2:$B$400="両面")&gt;0)*(機器台帳!$F$2:$F$400&lt;&gt;"")*(機器台帳!$C$2:$C$400&lt;=20)*(機器台帳!$C$2:$C$400+機器台帳!$D$2:$D$400-1&gt;=20))&gt;1," 他"&amp;(SUMPRODUCT((機器台帳!$A$2:$A$400="E24-S8-5")*((機器台帳!$B$2:$B$400="前面")+(機器台帳!$B$2:$B$400="両面")&gt;0)*(機器台帳!$F$2:$F$400&lt;&gt;"")*(機器台帳!$C$2:$C$400&lt;=20)*(機器台帳!$C$2:$C$400+機器台帳!$D$2:$D$400-1&gt;=20))-1)&amp;"台",""))</f>
        <v/>
      </c>
      <c r="S31">
        <f>IF(SUMPRODUCT((機器台帳!$A$2:$A$400="E24-S8-5")*((機器台帳!$B$2:$B$400="前面")+(機器台帳!$B$2:$B$400="両面")&gt;0)*(機器台帳!$F$2:$F$400&lt;&gt;"")*(機器台帳!$C$2:$C$400&lt;=20)*(機器台帳!$C$2:$C$400+機器台帳!$D$2:$D$400-1&gt;=20))=0,"",INDEX(機器台帳!$I$2:$I$400,MATCH(1,INDEX((機器台帳!$A$2:$A$400="E24-S8-5")*((機器台帳!$B$2:$B$400="前面")+(機器台帳!$B$2:$B$400="両面")&gt;0)*(機器台帳!$F$2:$F$400&lt;&gt;"")*(機器台帳!$C$2:$C$400&lt;=20)*(機器台帳!$C$2:$C$400+機器台帳!$D$2:$D$400-1&gt;=20),0),0))&amp;IF(INDEX(機器台帳!$Y$2:$Y$400,MATCH(1,INDEX((機器台帳!$A$2:$A$400="E24-S8-5")*((機器台帳!$B$2:$B$400="前面")+(機器台帳!$B$2:$B$400="両面")&gt;0)*(機器台帳!$F$2:$F$400&lt;&gt;"")*(機器台帳!$C$2:$C$400&lt;=20)*(機器台帳!$C$2:$C$400+機器台帳!$D$2:$D$400-1&gt;=20),0),0))=0,"|未記入",""))</f>
        <v/>
      </c>
      <c r="T31" s="12">
        <f>IF(SUMPRODUCT((機器台帳!$A$2:$A$400="E24-S8-5")*((機器台帳!$B$2:$B$400="背面")+(機器台帳!$B$2:$B$400="両面")&gt;0)*(機器台帳!$F$2:$F$400&lt;&gt;"")*(機器台帳!$C$2:$C$400&lt;=20)*(機器台帳!$C$2:$C$400+機器台帳!$D$2:$D$400-1&gt;=20))=0,"",INDEX(機器台帳!$F$2:$F$400,MATCH(1,INDEX((機器台帳!$A$2:$A$400="E24-S8-5")*((機器台帳!$B$2:$B$400="背面")+(機器台帳!$B$2:$B$400="両面")&gt;0)*(機器台帳!$F$2:$F$400&lt;&gt;"")*(機器台帳!$C$2:$C$400&lt;=20)*(機器台帳!$C$2:$C$400+機器台帳!$D$2:$D$400-1&gt;=20),0),0))&amp;IF(INDEX(機器台帳!$G$2:$G$400,MATCH(1,INDEX((機器台帳!$A$2:$A$400="E24-S8-5")*((機器台帳!$B$2:$B$400="背面")+(機器台帳!$B$2:$B$400="両面")&gt;0)*(機器台帳!$F$2:$F$400&lt;&gt;"")*(機器台帳!$C$2:$C$400&lt;=20)*(機器台帳!$C$2:$C$400+機器台帳!$D$2:$D$400-1&gt;=20),0),0))=""," "," "&amp;INDEX(機器台帳!$G$2:$G$400,MATCH(1,INDEX((機器台帳!$A$2:$A$400="E24-S8-5")*((機器台帳!$B$2:$B$400="背面")+(機器台帳!$B$2:$B$400="両面")&gt;0)*(機器台帳!$F$2:$F$400&lt;&gt;"")*(機器台帳!$C$2:$C$400&lt;=20)*(機器台帳!$C$2:$C$400+機器台帳!$D$2:$D$400-1&gt;=20),0),0)))&amp;IF(SUMPRODUCT((機器台帳!$A$2:$A$400="E24-S8-5")*((機器台帳!$B$2:$B$400="背面")+(機器台帳!$B$2:$B$400="両面")&gt;0)*(機器台帳!$F$2:$F$400&lt;&gt;"")*(機器台帳!$C$2:$C$400&lt;=20)*(機器台帳!$C$2:$C$400+機器台帳!$D$2:$D$400-1&gt;=20))&gt;1," 他"&amp;(SUMPRODUCT((機器台帳!$A$2:$A$400="E24-S8-5")*((機器台帳!$B$2:$B$400="背面")+(機器台帳!$B$2:$B$400="両面")&gt;0)*(機器台帳!$F$2:$F$400&lt;&gt;"")*(機器台帳!$C$2:$C$400&lt;=20)*(機器台帳!$C$2:$C$400+機器台帳!$D$2:$D$400-1&gt;=20))-1)&amp;"台",""))</f>
        <v/>
      </c>
      <c r="U31">
        <f>IF(SUMPRODUCT((機器台帳!$A$2:$A$400="E24-S8-5")*((機器台帳!$B$2:$B$400="背面")+(機器台帳!$B$2:$B$400="両面")&gt;0)*(機器台帳!$F$2:$F$400&lt;&gt;"")*(機器台帳!$C$2:$C$400&lt;=20)*(機器台帳!$C$2:$C$400+機器台帳!$D$2:$D$400-1&gt;=20))=0,"",INDEX(機器台帳!$I$2:$I$400,MATCH(1,INDEX((機器台帳!$A$2:$A$400="E24-S8-5")*((機器台帳!$B$2:$B$400="背面")+(機器台帳!$B$2:$B$400="両面")&gt;0)*(機器台帳!$F$2:$F$400&lt;&gt;"")*(機器台帳!$C$2:$C$400&lt;=20)*(機器台帳!$C$2:$C$400+機器台帳!$D$2:$D$400-1&gt;=20),0),0))&amp;IF(INDEX(機器台帳!$Y$2:$Y$400,MATCH(1,INDEX((機器台帳!$A$2:$A$400="E24-S8-5")*((機器台帳!$B$2:$B$400="背面")+(機器台帳!$B$2:$B$400="両面")&gt;0)*(機器台帳!$F$2:$F$400&lt;&gt;"")*(機器台帳!$C$2:$C$400&lt;=20)*(機器台帳!$C$2:$C$400+機器台帳!$D$2:$D$400-1&gt;=20),0),0))=0,"|未記入",""))</f>
        <v/>
      </c>
      <c r="V31" s="12">
        <f>IF(SUMPRODUCT((機器台帳!$A$2:$A$400="E24-S6-1")*((機器台帳!$B$2:$B$400="前面")+(機器台帳!$B$2:$B$400="両面")&gt;0)*(機器台帳!$F$2:$F$400&lt;&gt;"")*(機器台帳!$C$2:$C$400&lt;=20)*(機器台帳!$C$2:$C$400+機器台帳!$D$2:$D$400-1&gt;=20))=0,"",INDEX(機器台帳!$F$2:$F$400,MATCH(1,INDEX((機器台帳!$A$2:$A$400="E24-S6-1")*((機器台帳!$B$2:$B$400="前面")+(機器台帳!$B$2:$B$400="両面")&gt;0)*(機器台帳!$F$2:$F$400&lt;&gt;"")*(機器台帳!$C$2:$C$400&lt;=20)*(機器台帳!$C$2:$C$400+機器台帳!$D$2:$D$400-1&gt;=20),0),0))&amp;IF(INDEX(機器台帳!$G$2:$G$400,MATCH(1,INDEX((機器台帳!$A$2:$A$400="E24-S6-1")*((機器台帳!$B$2:$B$400="前面")+(機器台帳!$B$2:$B$400="両面")&gt;0)*(機器台帳!$F$2:$F$400&lt;&gt;"")*(機器台帳!$C$2:$C$400&lt;=20)*(機器台帳!$C$2:$C$400+機器台帳!$D$2:$D$400-1&gt;=20),0),0))=""," "," "&amp;INDEX(機器台帳!$G$2:$G$400,MATCH(1,INDEX((機器台帳!$A$2:$A$400="E24-S6-1")*((機器台帳!$B$2:$B$400="前面")+(機器台帳!$B$2:$B$400="両面")&gt;0)*(機器台帳!$F$2:$F$400&lt;&gt;"")*(機器台帳!$C$2:$C$400&lt;=20)*(機器台帳!$C$2:$C$400+機器台帳!$D$2:$D$400-1&gt;=20),0),0)))&amp;IF(SUMPRODUCT((機器台帳!$A$2:$A$400="E24-S6-1")*((機器台帳!$B$2:$B$400="前面")+(機器台帳!$B$2:$B$400="両面")&gt;0)*(機器台帳!$F$2:$F$400&lt;&gt;"")*(機器台帳!$C$2:$C$400&lt;=20)*(機器台帳!$C$2:$C$400+機器台帳!$D$2:$D$400-1&gt;=20))&gt;1," 他"&amp;(SUMPRODUCT((機器台帳!$A$2:$A$400="E24-S6-1")*((機器台帳!$B$2:$B$400="前面")+(機器台帳!$B$2:$B$400="両面")&gt;0)*(機器台帳!$F$2:$F$400&lt;&gt;"")*(機器台帳!$C$2:$C$400&lt;=20)*(機器台帳!$C$2:$C$400+機器台帳!$D$2:$D$400-1&gt;=20))-1)&amp;"台",""))</f>
        <v/>
      </c>
      <c r="W31">
        <f>IF(SUMPRODUCT((機器台帳!$A$2:$A$400="E24-S6-1")*((機器台帳!$B$2:$B$400="前面")+(機器台帳!$B$2:$B$400="両面")&gt;0)*(機器台帳!$F$2:$F$400&lt;&gt;"")*(機器台帳!$C$2:$C$400&lt;=20)*(機器台帳!$C$2:$C$400+機器台帳!$D$2:$D$400-1&gt;=20))=0,"",INDEX(機器台帳!$I$2:$I$400,MATCH(1,INDEX((機器台帳!$A$2:$A$400="E24-S6-1")*((機器台帳!$B$2:$B$400="前面")+(機器台帳!$B$2:$B$400="両面")&gt;0)*(機器台帳!$F$2:$F$400&lt;&gt;"")*(機器台帳!$C$2:$C$400&lt;=20)*(機器台帳!$C$2:$C$400+機器台帳!$D$2:$D$400-1&gt;=20),0),0))&amp;IF(INDEX(機器台帳!$Y$2:$Y$400,MATCH(1,INDEX((機器台帳!$A$2:$A$400="E24-S6-1")*((機器台帳!$B$2:$B$400="前面")+(機器台帳!$B$2:$B$400="両面")&gt;0)*(機器台帳!$F$2:$F$400&lt;&gt;"")*(機器台帳!$C$2:$C$400&lt;=20)*(機器台帳!$C$2:$C$400+機器台帳!$D$2:$D$400-1&gt;=20),0),0))=0,"|未記入",""))</f>
        <v/>
      </c>
      <c r="X31" s="12">
        <f>IF(SUMPRODUCT((機器台帳!$A$2:$A$400="E24-S6-1")*((機器台帳!$B$2:$B$400="背面")+(機器台帳!$B$2:$B$400="両面")&gt;0)*(機器台帳!$F$2:$F$400&lt;&gt;"")*(機器台帳!$C$2:$C$400&lt;=20)*(機器台帳!$C$2:$C$400+機器台帳!$D$2:$D$400-1&gt;=20))=0,"",INDEX(機器台帳!$F$2:$F$400,MATCH(1,INDEX((機器台帳!$A$2:$A$400="E24-S6-1")*((機器台帳!$B$2:$B$400="背面")+(機器台帳!$B$2:$B$400="両面")&gt;0)*(機器台帳!$F$2:$F$400&lt;&gt;"")*(機器台帳!$C$2:$C$400&lt;=20)*(機器台帳!$C$2:$C$400+機器台帳!$D$2:$D$400-1&gt;=20),0),0))&amp;IF(INDEX(機器台帳!$G$2:$G$400,MATCH(1,INDEX((機器台帳!$A$2:$A$400="E24-S6-1")*((機器台帳!$B$2:$B$400="背面")+(機器台帳!$B$2:$B$400="両面")&gt;0)*(機器台帳!$F$2:$F$400&lt;&gt;"")*(機器台帳!$C$2:$C$400&lt;=20)*(機器台帳!$C$2:$C$400+機器台帳!$D$2:$D$400-1&gt;=20),0),0))=""," "," "&amp;INDEX(機器台帳!$G$2:$G$400,MATCH(1,INDEX((機器台帳!$A$2:$A$400="E24-S6-1")*((機器台帳!$B$2:$B$400="背面")+(機器台帳!$B$2:$B$400="両面")&gt;0)*(機器台帳!$F$2:$F$400&lt;&gt;"")*(機器台帳!$C$2:$C$400&lt;=20)*(機器台帳!$C$2:$C$400+機器台帳!$D$2:$D$400-1&gt;=20),0),0)))&amp;IF(SUMPRODUCT((機器台帳!$A$2:$A$400="E24-S6-1")*((機器台帳!$B$2:$B$400="背面")+(機器台帳!$B$2:$B$400="両面")&gt;0)*(機器台帳!$F$2:$F$400&lt;&gt;"")*(機器台帳!$C$2:$C$400&lt;=20)*(機器台帳!$C$2:$C$400+機器台帳!$D$2:$D$400-1&gt;=20))&gt;1," 他"&amp;(SUMPRODUCT((機器台帳!$A$2:$A$400="E24-S6-1")*((機器台帳!$B$2:$B$400="背面")+(機器台帳!$B$2:$B$400="両面")&gt;0)*(機器台帳!$F$2:$F$400&lt;&gt;"")*(機器台帳!$C$2:$C$400&lt;=20)*(機器台帳!$C$2:$C$400+機器台帳!$D$2:$D$400-1&gt;=20))-1)&amp;"台",""))</f>
        <v/>
      </c>
      <c r="Y31">
        <f>IF(SUMPRODUCT((機器台帳!$A$2:$A$400="E24-S6-1")*((機器台帳!$B$2:$B$400="背面")+(機器台帳!$B$2:$B$400="両面")&gt;0)*(機器台帳!$F$2:$F$400&lt;&gt;"")*(機器台帳!$C$2:$C$400&lt;=20)*(機器台帳!$C$2:$C$400+機器台帳!$D$2:$D$400-1&gt;=20))=0,"",INDEX(機器台帳!$I$2:$I$400,MATCH(1,INDEX((機器台帳!$A$2:$A$400="E24-S6-1")*((機器台帳!$B$2:$B$400="背面")+(機器台帳!$B$2:$B$400="両面")&gt;0)*(機器台帳!$F$2:$F$400&lt;&gt;"")*(機器台帳!$C$2:$C$400&lt;=20)*(機器台帳!$C$2:$C$400+機器台帳!$D$2:$D$400-1&gt;=20),0),0))&amp;IF(INDEX(機器台帳!$Y$2:$Y$400,MATCH(1,INDEX((機器台帳!$A$2:$A$400="E24-S6-1")*((機器台帳!$B$2:$B$400="背面")+(機器台帳!$B$2:$B$400="両面")&gt;0)*(機器台帳!$F$2:$F$400&lt;&gt;"")*(機器台帳!$C$2:$C$400&lt;=20)*(機器台帳!$C$2:$C$400+機器台帳!$D$2:$D$400-1&gt;=20),0),0))=0,"|未記入",""))</f>
        <v/>
      </c>
    </row>
    <row r="32">
      <c r="A32" s="11" t="n">
        <v>19</v>
      </c>
      <c r="B32" s="12">
        <f>IF(SUMPRODUCT((機器台帳!$A$2:$A$400="E24-S8-1")*((機器台帳!$B$2:$B$400="前面")+(機器台帳!$B$2:$B$400="両面")&gt;0)*(機器台帳!$F$2:$F$400&lt;&gt;"")*(機器台帳!$C$2:$C$400&lt;=19)*(機器台帳!$C$2:$C$400+機器台帳!$D$2:$D$400-1&gt;=19))=0,"",INDEX(機器台帳!$F$2:$F$400,MATCH(1,INDEX((機器台帳!$A$2:$A$400="E24-S8-1")*((機器台帳!$B$2:$B$400="前面")+(機器台帳!$B$2:$B$400="両面")&gt;0)*(機器台帳!$F$2:$F$400&lt;&gt;"")*(機器台帳!$C$2:$C$400&lt;=19)*(機器台帳!$C$2:$C$400+機器台帳!$D$2:$D$400-1&gt;=19),0),0))&amp;IF(INDEX(機器台帳!$G$2:$G$400,MATCH(1,INDEX((機器台帳!$A$2:$A$400="E24-S8-1")*((機器台帳!$B$2:$B$400="前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-1")*((機器台帳!$B$2:$B$400="前面")+(機器台帳!$B$2:$B$400="両面")&gt;0)*(機器台帳!$F$2:$F$400&lt;&gt;"")*(機器台帳!$C$2:$C$400&lt;=19)*(機器台帳!$C$2:$C$400+機器台帳!$D$2:$D$400-1&gt;=19),0),0)))&amp;IF(SUMPRODUCT((機器台帳!$A$2:$A$400="E24-S8-1")*((機器台帳!$B$2:$B$400="前面")+(機器台帳!$B$2:$B$400="両面")&gt;0)*(機器台帳!$F$2:$F$400&lt;&gt;"")*(機器台帳!$C$2:$C$400&lt;=19)*(機器台帳!$C$2:$C$400+機器台帳!$D$2:$D$400-1&gt;=19))&gt;1," 他"&amp;(SUMPRODUCT((機器台帳!$A$2:$A$400="E24-S8-1")*((機器台帳!$B$2:$B$400="前面")+(機器台帳!$B$2:$B$400="両面")&gt;0)*(機器台帳!$F$2:$F$400&lt;&gt;"")*(機器台帳!$C$2:$C$400&lt;=19)*(機器台帳!$C$2:$C$400+機器台帳!$D$2:$D$400-1&gt;=19))-1)&amp;"台",""))</f>
        <v/>
      </c>
      <c r="C32">
        <f>IF(SUMPRODUCT((機器台帳!$A$2:$A$400="E24-S8-1")*((機器台帳!$B$2:$B$400="前面")+(機器台帳!$B$2:$B$400="両面")&gt;0)*(機器台帳!$F$2:$F$400&lt;&gt;"")*(機器台帳!$C$2:$C$400&lt;=19)*(機器台帳!$C$2:$C$400+機器台帳!$D$2:$D$400-1&gt;=19))=0,"",INDEX(機器台帳!$I$2:$I$400,MATCH(1,INDEX((機器台帳!$A$2:$A$400="E24-S8-1")*((機器台帳!$B$2:$B$400="前面")+(機器台帳!$B$2:$B$400="両面")&gt;0)*(機器台帳!$F$2:$F$400&lt;&gt;"")*(機器台帳!$C$2:$C$400&lt;=19)*(機器台帳!$C$2:$C$400+機器台帳!$D$2:$D$400-1&gt;=19),0),0))&amp;IF(INDEX(機器台帳!$Y$2:$Y$400,MATCH(1,INDEX((機器台帳!$A$2:$A$400="E24-S8-1")*((機器台帳!$B$2:$B$400="前面")+(機器台帳!$B$2:$B$400="両面")&gt;0)*(機器台帳!$F$2:$F$400&lt;&gt;"")*(機器台帳!$C$2:$C$400&lt;=19)*(機器台帳!$C$2:$C$400+機器台帳!$D$2:$D$400-1&gt;=19),0),0))=0,"|未記入",""))</f>
        <v/>
      </c>
      <c r="D32" s="12">
        <f>IF(SUMPRODUCT((機器台帳!$A$2:$A$400="E24-S8-1")*((機器台帳!$B$2:$B$400="背面")+(機器台帳!$B$2:$B$400="両面")&gt;0)*(機器台帳!$F$2:$F$400&lt;&gt;"")*(機器台帳!$C$2:$C$400&lt;=19)*(機器台帳!$C$2:$C$400+機器台帳!$D$2:$D$400-1&gt;=19))=0,"",INDEX(機器台帳!$F$2:$F$400,MATCH(1,INDEX((機器台帳!$A$2:$A$400="E24-S8-1")*((機器台帳!$B$2:$B$400="背面")+(機器台帳!$B$2:$B$400="両面")&gt;0)*(機器台帳!$F$2:$F$400&lt;&gt;"")*(機器台帳!$C$2:$C$400&lt;=19)*(機器台帳!$C$2:$C$400+機器台帳!$D$2:$D$400-1&gt;=19),0),0))&amp;IF(INDEX(機器台帳!$G$2:$G$400,MATCH(1,INDEX((機器台帳!$A$2:$A$400="E24-S8-1")*((機器台帳!$B$2:$B$400="背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-1")*((機器台帳!$B$2:$B$400="背面")+(機器台帳!$B$2:$B$400="両面")&gt;0)*(機器台帳!$F$2:$F$400&lt;&gt;"")*(機器台帳!$C$2:$C$400&lt;=19)*(機器台帳!$C$2:$C$400+機器台帳!$D$2:$D$400-1&gt;=19),0),0)))&amp;IF(SUMPRODUCT((機器台帳!$A$2:$A$400="E24-S8-1")*((機器台帳!$B$2:$B$400="背面")+(機器台帳!$B$2:$B$400="両面")&gt;0)*(機器台帳!$F$2:$F$400&lt;&gt;"")*(機器台帳!$C$2:$C$400&lt;=19)*(機器台帳!$C$2:$C$400+機器台帳!$D$2:$D$400-1&gt;=19))&gt;1," 他"&amp;(SUMPRODUCT((機器台帳!$A$2:$A$400="E24-S8-1")*((機器台帳!$B$2:$B$400="背面")+(機器台帳!$B$2:$B$400="両面")&gt;0)*(機器台帳!$F$2:$F$400&lt;&gt;"")*(機器台帳!$C$2:$C$400&lt;=19)*(機器台帳!$C$2:$C$400+機器台帳!$D$2:$D$400-1&gt;=19))-1)&amp;"台",""))</f>
        <v/>
      </c>
      <c r="E32">
        <f>IF(SUMPRODUCT((機器台帳!$A$2:$A$400="E24-S8-1")*((機器台帳!$B$2:$B$400="背面")+(機器台帳!$B$2:$B$400="両面")&gt;0)*(機器台帳!$F$2:$F$400&lt;&gt;"")*(機器台帳!$C$2:$C$400&lt;=19)*(機器台帳!$C$2:$C$400+機器台帳!$D$2:$D$400-1&gt;=19))=0,"",INDEX(機器台帳!$I$2:$I$400,MATCH(1,INDEX((機器台帳!$A$2:$A$400="E24-S8-1")*((機器台帳!$B$2:$B$400="背面")+(機器台帳!$B$2:$B$400="両面")&gt;0)*(機器台帳!$F$2:$F$400&lt;&gt;"")*(機器台帳!$C$2:$C$400&lt;=19)*(機器台帳!$C$2:$C$400+機器台帳!$D$2:$D$400-1&gt;=19),0),0))&amp;IF(INDEX(機器台帳!$Y$2:$Y$400,MATCH(1,INDEX((機器台帳!$A$2:$A$400="E24-S8-1")*((機器台帳!$B$2:$B$400="背面")+(機器台帳!$B$2:$B$400="両面")&gt;0)*(機器台帳!$F$2:$F$400&lt;&gt;"")*(機器台帳!$C$2:$C$400&lt;=19)*(機器台帳!$C$2:$C$400+機器台帳!$D$2:$D$400-1&gt;=19),0),0))=0,"|未記入",""))</f>
        <v/>
      </c>
      <c r="F32" s="12">
        <f>IF(SUMPRODUCT((機器台帳!$A$2:$A$400="E24-S8-2")*((機器台帳!$B$2:$B$400="前面")+(機器台帳!$B$2:$B$400="両面")&gt;0)*(機器台帳!$F$2:$F$400&lt;&gt;"")*(機器台帳!$C$2:$C$400&lt;=19)*(機器台帳!$C$2:$C$400+機器台帳!$D$2:$D$400-1&gt;=19))=0,"",INDEX(機器台帳!$F$2:$F$400,MATCH(1,INDEX((機器台帳!$A$2:$A$400="E24-S8-2")*((機器台帳!$B$2:$B$400="前面")+(機器台帳!$B$2:$B$400="両面")&gt;0)*(機器台帳!$F$2:$F$400&lt;&gt;"")*(機器台帳!$C$2:$C$400&lt;=19)*(機器台帳!$C$2:$C$400+機器台帳!$D$2:$D$400-1&gt;=19),0),0))&amp;IF(INDEX(機器台帳!$G$2:$G$400,MATCH(1,INDEX((機器台帳!$A$2:$A$400="E24-S8-2")*((機器台帳!$B$2:$B$400="前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-2")*((機器台帳!$B$2:$B$400="前面")+(機器台帳!$B$2:$B$400="両面")&gt;0)*(機器台帳!$F$2:$F$400&lt;&gt;"")*(機器台帳!$C$2:$C$400&lt;=19)*(機器台帳!$C$2:$C$400+機器台帳!$D$2:$D$400-1&gt;=19),0),0)))&amp;IF(SUMPRODUCT((機器台帳!$A$2:$A$400="E24-S8-2")*((機器台帳!$B$2:$B$400="前面")+(機器台帳!$B$2:$B$400="両面")&gt;0)*(機器台帳!$F$2:$F$400&lt;&gt;"")*(機器台帳!$C$2:$C$400&lt;=19)*(機器台帳!$C$2:$C$400+機器台帳!$D$2:$D$400-1&gt;=19))&gt;1," 他"&amp;(SUMPRODUCT((機器台帳!$A$2:$A$400="E24-S8-2")*((機器台帳!$B$2:$B$400="前面")+(機器台帳!$B$2:$B$400="両面")&gt;0)*(機器台帳!$F$2:$F$400&lt;&gt;"")*(機器台帳!$C$2:$C$400&lt;=19)*(機器台帳!$C$2:$C$400+機器台帳!$D$2:$D$400-1&gt;=19))-1)&amp;"台",""))</f>
        <v/>
      </c>
      <c r="G32">
        <f>IF(SUMPRODUCT((機器台帳!$A$2:$A$400="E24-S8-2")*((機器台帳!$B$2:$B$400="前面")+(機器台帳!$B$2:$B$400="両面")&gt;0)*(機器台帳!$F$2:$F$400&lt;&gt;"")*(機器台帳!$C$2:$C$400&lt;=19)*(機器台帳!$C$2:$C$400+機器台帳!$D$2:$D$400-1&gt;=19))=0,"",INDEX(機器台帳!$I$2:$I$400,MATCH(1,INDEX((機器台帳!$A$2:$A$400="E24-S8-2")*((機器台帳!$B$2:$B$400="前面")+(機器台帳!$B$2:$B$400="両面")&gt;0)*(機器台帳!$F$2:$F$400&lt;&gt;"")*(機器台帳!$C$2:$C$400&lt;=19)*(機器台帳!$C$2:$C$400+機器台帳!$D$2:$D$400-1&gt;=19),0),0))&amp;IF(INDEX(機器台帳!$Y$2:$Y$400,MATCH(1,INDEX((機器台帳!$A$2:$A$400="E24-S8-2")*((機器台帳!$B$2:$B$400="前面")+(機器台帳!$B$2:$B$400="両面")&gt;0)*(機器台帳!$F$2:$F$400&lt;&gt;"")*(機器台帳!$C$2:$C$400&lt;=19)*(機器台帳!$C$2:$C$400+機器台帳!$D$2:$D$400-1&gt;=19),0),0))=0,"|未記入",""))</f>
        <v/>
      </c>
      <c r="H32" s="12">
        <f>IF(SUMPRODUCT((機器台帳!$A$2:$A$400="E24-S8-2")*((機器台帳!$B$2:$B$400="背面")+(機器台帳!$B$2:$B$400="両面")&gt;0)*(機器台帳!$F$2:$F$400&lt;&gt;"")*(機器台帳!$C$2:$C$400&lt;=19)*(機器台帳!$C$2:$C$400+機器台帳!$D$2:$D$400-1&gt;=19))=0,"",INDEX(機器台帳!$F$2:$F$400,MATCH(1,INDEX((機器台帳!$A$2:$A$400="E24-S8-2")*((機器台帳!$B$2:$B$400="背面")+(機器台帳!$B$2:$B$400="両面")&gt;0)*(機器台帳!$F$2:$F$400&lt;&gt;"")*(機器台帳!$C$2:$C$400&lt;=19)*(機器台帳!$C$2:$C$400+機器台帳!$D$2:$D$400-1&gt;=19),0),0))&amp;IF(INDEX(機器台帳!$G$2:$G$400,MATCH(1,INDEX((機器台帳!$A$2:$A$400="E24-S8-2")*((機器台帳!$B$2:$B$400="背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-2")*((機器台帳!$B$2:$B$400="背面")+(機器台帳!$B$2:$B$400="両面")&gt;0)*(機器台帳!$F$2:$F$400&lt;&gt;"")*(機器台帳!$C$2:$C$400&lt;=19)*(機器台帳!$C$2:$C$400+機器台帳!$D$2:$D$400-1&gt;=19),0),0)))&amp;IF(SUMPRODUCT((機器台帳!$A$2:$A$400="E24-S8-2")*((機器台帳!$B$2:$B$400="背面")+(機器台帳!$B$2:$B$400="両面")&gt;0)*(機器台帳!$F$2:$F$400&lt;&gt;"")*(機器台帳!$C$2:$C$400&lt;=19)*(機器台帳!$C$2:$C$400+機器台帳!$D$2:$D$400-1&gt;=19))&gt;1," 他"&amp;(SUMPRODUCT((機器台帳!$A$2:$A$400="E24-S8-2")*((機器台帳!$B$2:$B$400="背面")+(機器台帳!$B$2:$B$400="両面")&gt;0)*(機器台帳!$F$2:$F$400&lt;&gt;"")*(機器台帳!$C$2:$C$400&lt;=19)*(機器台帳!$C$2:$C$400+機器台帳!$D$2:$D$400-1&gt;=19))-1)&amp;"台",""))</f>
        <v/>
      </c>
      <c r="I32">
        <f>IF(SUMPRODUCT((機器台帳!$A$2:$A$400="E24-S8-2")*((機器台帳!$B$2:$B$400="背面")+(機器台帳!$B$2:$B$400="両面")&gt;0)*(機器台帳!$F$2:$F$400&lt;&gt;"")*(機器台帳!$C$2:$C$400&lt;=19)*(機器台帳!$C$2:$C$400+機器台帳!$D$2:$D$400-1&gt;=19))=0,"",INDEX(機器台帳!$I$2:$I$400,MATCH(1,INDEX((機器台帳!$A$2:$A$400="E24-S8-2")*((機器台帳!$B$2:$B$400="背面")+(機器台帳!$B$2:$B$400="両面")&gt;0)*(機器台帳!$F$2:$F$400&lt;&gt;"")*(機器台帳!$C$2:$C$400&lt;=19)*(機器台帳!$C$2:$C$400+機器台帳!$D$2:$D$400-1&gt;=19),0),0))&amp;IF(INDEX(機器台帳!$Y$2:$Y$400,MATCH(1,INDEX((機器台帳!$A$2:$A$400="E24-S8-2")*((機器台帳!$B$2:$B$400="背面")+(機器台帳!$B$2:$B$400="両面")&gt;0)*(機器台帳!$F$2:$F$400&lt;&gt;"")*(機器台帳!$C$2:$C$400&lt;=19)*(機器台帳!$C$2:$C$400+機器台帳!$D$2:$D$400-1&gt;=19),0),0))=0,"|未記入",""))</f>
        <v/>
      </c>
      <c r="J32" s="12">
        <f>IF(SUMPRODUCT((機器台帳!$A$2:$A$400="E24-S8-3")*((機器台帳!$B$2:$B$400="前面")+(機器台帳!$B$2:$B$400="両面")&gt;0)*(機器台帳!$F$2:$F$400&lt;&gt;"")*(機器台帳!$C$2:$C$400&lt;=19)*(機器台帳!$C$2:$C$400+機器台帳!$D$2:$D$400-1&gt;=19))=0,"",INDEX(機器台帳!$F$2:$F$400,MATCH(1,INDEX((機器台帳!$A$2:$A$400="E24-S8-3")*((機器台帳!$B$2:$B$400="前面")+(機器台帳!$B$2:$B$400="両面")&gt;0)*(機器台帳!$F$2:$F$400&lt;&gt;"")*(機器台帳!$C$2:$C$400&lt;=19)*(機器台帳!$C$2:$C$400+機器台帳!$D$2:$D$400-1&gt;=19),0),0))&amp;IF(INDEX(機器台帳!$G$2:$G$400,MATCH(1,INDEX((機器台帳!$A$2:$A$400="E24-S8-3")*((機器台帳!$B$2:$B$400="前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-3")*((機器台帳!$B$2:$B$400="前面")+(機器台帳!$B$2:$B$400="両面")&gt;0)*(機器台帳!$F$2:$F$400&lt;&gt;"")*(機器台帳!$C$2:$C$400&lt;=19)*(機器台帳!$C$2:$C$400+機器台帳!$D$2:$D$400-1&gt;=19),0),0)))&amp;IF(SUMPRODUCT((機器台帳!$A$2:$A$400="E24-S8-3")*((機器台帳!$B$2:$B$400="前面")+(機器台帳!$B$2:$B$400="両面")&gt;0)*(機器台帳!$F$2:$F$400&lt;&gt;"")*(機器台帳!$C$2:$C$400&lt;=19)*(機器台帳!$C$2:$C$400+機器台帳!$D$2:$D$400-1&gt;=19))&gt;1," 他"&amp;(SUMPRODUCT((機器台帳!$A$2:$A$400="E24-S8-3")*((機器台帳!$B$2:$B$400="前面")+(機器台帳!$B$2:$B$400="両面")&gt;0)*(機器台帳!$F$2:$F$400&lt;&gt;"")*(機器台帳!$C$2:$C$400&lt;=19)*(機器台帳!$C$2:$C$400+機器台帳!$D$2:$D$400-1&gt;=19))-1)&amp;"台",""))</f>
        <v/>
      </c>
      <c r="K32">
        <f>IF(SUMPRODUCT((機器台帳!$A$2:$A$400="E24-S8-3")*((機器台帳!$B$2:$B$400="前面")+(機器台帳!$B$2:$B$400="両面")&gt;0)*(機器台帳!$F$2:$F$400&lt;&gt;"")*(機器台帳!$C$2:$C$400&lt;=19)*(機器台帳!$C$2:$C$400+機器台帳!$D$2:$D$400-1&gt;=19))=0,"",INDEX(機器台帳!$I$2:$I$400,MATCH(1,INDEX((機器台帳!$A$2:$A$400="E24-S8-3")*((機器台帳!$B$2:$B$400="前面")+(機器台帳!$B$2:$B$400="両面")&gt;0)*(機器台帳!$F$2:$F$400&lt;&gt;"")*(機器台帳!$C$2:$C$400&lt;=19)*(機器台帳!$C$2:$C$400+機器台帳!$D$2:$D$400-1&gt;=19),0),0))&amp;IF(INDEX(機器台帳!$Y$2:$Y$400,MATCH(1,INDEX((機器台帳!$A$2:$A$400="E24-S8-3")*((機器台帳!$B$2:$B$400="前面")+(機器台帳!$B$2:$B$400="両面")&gt;0)*(機器台帳!$F$2:$F$400&lt;&gt;"")*(機器台帳!$C$2:$C$400&lt;=19)*(機器台帳!$C$2:$C$400+機器台帳!$D$2:$D$400-1&gt;=19),0),0))=0,"|未記入",""))</f>
        <v/>
      </c>
      <c r="L32" s="12">
        <f>IF(SUMPRODUCT((機器台帳!$A$2:$A$400="E24-S8-3")*((機器台帳!$B$2:$B$400="背面")+(機器台帳!$B$2:$B$400="両面")&gt;0)*(機器台帳!$F$2:$F$400&lt;&gt;"")*(機器台帳!$C$2:$C$400&lt;=19)*(機器台帳!$C$2:$C$400+機器台帳!$D$2:$D$400-1&gt;=19))=0,"",INDEX(機器台帳!$F$2:$F$400,MATCH(1,INDEX((機器台帳!$A$2:$A$400="E24-S8-3")*((機器台帳!$B$2:$B$400="背面")+(機器台帳!$B$2:$B$400="両面")&gt;0)*(機器台帳!$F$2:$F$400&lt;&gt;"")*(機器台帳!$C$2:$C$400&lt;=19)*(機器台帳!$C$2:$C$400+機器台帳!$D$2:$D$400-1&gt;=19),0),0))&amp;IF(INDEX(機器台帳!$G$2:$G$400,MATCH(1,INDEX((機器台帳!$A$2:$A$400="E24-S8-3")*((機器台帳!$B$2:$B$400="背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-3")*((機器台帳!$B$2:$B$400="背面")+(機器台帳!$B$2:$B$400="両面")&gt;0)*(機器台帳!$F$2:$F$400&lt;&gt;"")*(機器台帳!$C$2:$C$400&lt;=19)*(機器台帳!$C$2:$C$400+機器台帳!$D$2:$D$400-1&gt;=19),0),0)))&amp;IF(SUMPRODUCT((機器台帳!$A$2:$A$400="E24-S8-3")*((機器台帳!$B$2:$B$400="背面")+(機器台帳!$B$2:$B$400="両面")&gt;0)*(機器台帳!$F$2:$F$400&lt;&gt;"")*(機器台帳!$C$2:$C$400&lt;=19)*(機器台帳!$C$2:$C$400+機器台帳!$D$2:$D$400-1&gt;=19))&gt;1," 他"&amp;(SUMPRODUCT((機器台帳!$A$2:$A$400="E24-S8-3")*((機器台帳!$B$2:$B$400="背面")+(機器台帳!$B$2:$B$400="両面")&gt;0)*(機器台帳!$F$2:$F$400&lt;&gt;"")*(機器台帳!$C$2:$C$400&lt;=19)*(機器台帳!$C$2:$C$400+機器台帳!$D$2:$D$400-1&gt;=19))-1)&amp;"台",""))</f>
        <v/>
      </c>
      <c r="M32">
        <f>IF(SUMPRODUCT((機器台帳!$A$2:$A$400="E24-S8-3")*((機器台帳!$B$2:$B$400="背面")+(機器台帳!$B$2:$B$400="両面")&gt;0)*(機器台帳!$F$2:$F$400&lt;&gt;"")*(機器台帳!$C$2:$C$400&lt;=19)*(機器台帳!$C$2:$C$400+機器台帳!$D$2:$D$400-1&gt;=19))=0,"",INDEX(機器台帳!$I$2:$I$400,MATCH(1,INDEX((機器台帳!$A$2:$A$400="E24-S8-3")*((機器台帳!$B$2:$B$400="背面")+(機器台帳!$B$2:$B$400="両面")&gt;0)*(機器台帳!$F$2:$F$400&lt;&gt;"")*(機器台帳!$C$2:$C$400&lt;=19)*(機器台帳!$C$2:$C$400+機器台帳!$D$2:$D$400-1&gt;=19),0),0))&amp;IF(INDEX(機器台帳!$Y$2:$Y$400,MATCH(1,INDEX((機器台帳!$A$2:$A$400="E24-S8-3")*((機器台帳!$B$2:$B$400="背面")+(機器台帳!$B$2:$B$400="両面")&gt;0)*(機器台帳!$F$2:$F$400&lt;&gt;"")*(機器台帳!$C$2:$C$400&lt;=19)*(機器台帳!$C$2:$C$400+機器台帳!$D$2:$D$400-1&gt;=19),0),0))=0,"|未記入",""))</f>
        <v/>
      </c>
      <c r="N32" s="12">
        <f>IF(SUMPRODUCT((機器台帳!$A$2:$A$400="E24-S8-4")*((機器台帳!$B$2:$B$400="前面")+(機器台帳!$B$2:$B$400="両面")&gt;0)*(機器台帳!$F$2:$F$400&lt;&gt;"")*(機器台帳!$C$2:$C$400&lt;=19)*(機器台帳!$C$2:$C$400+機器台帳!$D$2:$D$400-1&gt;=19))=0,"",INDEX(機器台帳!$F$2:$F$400,MATCH(1,INDEX((機器台帳!$A$2:$A$400="E24-S8-4")*((機器台帳!$B$2:$B$400="前面")+(機器台帳!$B$2:$B$400="両面")&gt;0)*(機器台帳!$F$2:$F$400&lt;&gt;"")*(機器台帳!$C$2:$C$400&lt;=19)*(機器台帳!$C$2:$C$400+機器台帳!$D$2:$D$400-1&gt;=19),0),0))&amp;IF(INDEX(機器台帳!$G$2:$G$400,MATCH(1,INDEX((機器台帳!$A$2:$A$400="E24-S8-4")*((機器台帳!$B$2:$B$400="前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-4")*((機器台帳!$B$2:$B$400="前面")+(機器台帳!$B$2:$B$400="両面")&gt;0)*(機器台帳!$F$2:$F$400&lt;&gt;"")*(機器台帳!$C$2:$C$400&lt;=19)*(機器台帳!$C$2:$C$400+機器台帳!$D$2:$D$400-1&gt;=19),0),0)))&amp;IF(SUMPRODUCT((機器台帳!$A$2:$A$400="E24-S8-4")*((機器台帳!$B$2:$B$400="前面")+(機器台帳!$B$2:$B$400="両面")&gt;0)*(機器台帳!$F$2:$F$400&lt;&gt;"")*(機器台帳!$C$2:$C$400&lt;=19)*(機器台帳!$C$2:$C$400+機器台帳!$D$2:$D$400-1&gt;=19))&gt;1," 他"&amp;(SUMPRODUCT((機器台帳!$A$2:$A$400="E24-S8-4")*((機器台帳!$B$2:$B$400="前面")+(機器台帳!$B$2:$B$400="両面")&gt;0)*(機器台帳!$F$2:$F$400&lt;&gt;"")*(機器台帳!$C$2:$C$400&lt;=19)*(機器台帳!$C$2:$C$400+機器台帳!$D$2:$D$400-1&gt;=19))-1)&amp;"台",""))</f>
        <v/>
      </c>
      <c r="O32">
        <f>IF(SUMPRODUCT((機器台帳!$A$2:$A$400="E24-S8-4")*((機器台帳!$B$2:$B$400="前面")+(機器台帳!$B$2:$B$400="両面")&gt;0)*(機器台帳!$F$2:$F$400&lt;&gt;"")*(機器台帳!$C$2:$C$400&lt;=19)*(機器台帳!$C$2:$C$400+機器台帳!$D$2:$D$400-1&gt;=19))=0,"",INDEX(機器台帳!$I$2:$I$400,MATCH(1,INDEX((機器台帳!$A$2:$A$400="E24-S8-4")*((機器台帳!$B$2:$B$400="前面")+(機器台帳!$B$2:$B$400="両面")&gt;0)*(機器台帳!$F$2:$F$400&lt;&gt;"")*(機器台帳!$C$2:$C$400&lt;=19)*(機器台帳!$C$2:$C$400+機器台帳!$D$2:$D$400-1&gt;=19),0),0))&amp;IF(INDEX(機器台帳!$Y$2:$Y$400,MATCH(1,INDEX((機器台帳!$A$2:$A$400="E24-S8-4")*((機器台帳!$B$2:$B$400="前面")+(機器台帳!$B$2:$B$400="両面")&gt;0)*(機器台帳!$F$2:$F$400&lt;&gt;"")*(機器台帳!$C$2:$C$400&lt;=19)*(機器台帳!$C$2:$C$400+機器台帳!$D$2:$D$400-1&gt;=19),0),0))=0,"|未記入",""))</f>
        <v/>
      </c>
      <c r="P32" s="12">
        <f>IF(SUMPRODUCT((機器台帳!$A$2:$A$400="E24-S8-4")*((機器台帳!$B$2:$B$400="背面")+(機器台帳!$B$2:$B$400="両面")&gt;0)*(機器台帳!$F$2:$F$400&lt;&gt;"")*(機器台帳!$C$2:$C$400&lt;=19)*(機器台帳!$C$2:$C$400+機器台帳!$D$2:$D$400-1&gt;=19))=0,"",INDEX(機器台帳!$F$2:$F$400,MATCH(1,INDEX((機器台帳!$A$2:$A$400="E24-S8-4")*((機器台帳!$B$2:$B$400="背面")+(機器台帳!$B$2:$B$400="両面")&gt;0)*(機器台帳!$F$2:$F$400&lt;&gt;"")*(機器台帳!$C$2:$C$400&lt;=19)*(機器台帳!$C$2:$C$400+機器台帳!$D$2:$D$400-1&gt;=19),0),0))&amp;IF(INDEX(機器台帳!$G$2:$G$400,MATCH(1,INDEX((機器台帳!$A$2:$A$400="E24-S8-4")*((機器台帳!$B$2:$B$400="背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-4")*((機器台帳!$B$2:$B$400="背面")+(機器台帳!$B$2:$B$400="両面")&gt;0)*(機器台帳!$F$2:$F$400&lt;&gt;"")*(機器台帳!$C$2:$C$400&lt;=19)*(機器台帳!$C$2:$C$400+機器台帳!$D$2:$D$400-1&gt;=19),0),0)))&amp;IF(SUMPRODUCT((機器台帳!$A$2:$A$400="E24-S8-4")*((機器台帳!$B$2:$B$400="背面")+(機器台帳!$B$2:$B$400="両面")&gt;0)*(機器台帳!$F$2:$F$400&lt;&gt;"")*(機器台帳!$C$2:$C$400&lt;=19)*(機器台帳!$C$2:$C$400+機器台帳!$D$2:$D$400-1&gt;=19))&gt;1," 他"&amp;(SUMPRODUCT((機器台帳!$A$2:$A$400="E24-S8-4")*((機器台帳!$B$2:$B$400="背面")+(機器台帳!$B$2:$B$400="両面")&gt;0)*(機器台帳!$F$2:$F$400&lt;&gt;"")*(機器台帳!$C$2:$C$400&lt;=19)*(機器台帳!$C$2:$C$400+機器台帳!$D$2:$D$400-1&gt;=19))-1)&amp;"台",""))</f>
        <v/>
      </c>
      <c r="Q32">
        <f>IF(SUMPRODUCT((機器台帳!$A$2:$A$400="E24-S8-4")*((機器台帳!$B$2:$B$400="背面")+(機器台帳!$B$2:$B$400="両面")&gt;0)*(機器台帳!$F$2:$F$400&lt;&gt;"")*(機器台帳!$C$2:$C$400&lt;=19)*(機器台帳!$C$2:$C$400+機器台帳!$D$2:$D$400-1&gt;=19))=0,"",INDEX(機器台帳!$I$2:$I$400,MATCH(1,INDEX((機器台帳!$A$2:$A$400="E24-S8-4")*((機器台帳!$B$2:$B$400="背面")+(機器台帳!$B$2:$B$400="両面")&gt;0)*(機器台帳!$F$2:$F$400&lt;&gt;"")*(機器台帳!$C$2:$C$400&lt;=19)*(機器台帳!$C$2:$C$400+機器台帳!$D$2:$D$400-1&gt;=19),0),0))&amp;IF(INDEX(機器台帳!$Y$2:$Y$400,MATCH(1,INDEX((機器台帳!$A$2:$A$400="E24-S8-4")*((機器台帳!$B$2:$B$400="背面")+(機器台帳!$B$2:$B$400="両面")&gt;0)*(機器台帳!$F$2:$F$400&lt;&gt;"")*(機器台帳!$C$2:$C$400&lt;=19)*(機器台帳!$C$2:$C$400+機器台帳!$D$2:$D$400-1&gt;=19),0),0))=0,"|未記入",""))</f>
        <v/>
      </c>
      <c r="R32" s="12">
        <f>IF(SUMPRODUCT((機器台帳!$A$2:$A$400="E24-S8-5")*((機器台帳!$B$2:$B$400="前面")+(機器台帳!$B$2:$B$400="両面")&gt;0)*(機器台帳!$F$2:$F$400&lt;&gt;"")*(機器台帳!$C$2:$C$400&lt;=19)*(機器台帳!$C$2:$C$400+機器台帳!$D$2:$D$400-1&gt;=19))=0,"",INDEX(機器台帳!$F$2:$F$400,MATCH(1,INDEX((機器台帳!$A$2:$A$400="E24-S8-5")*((機器台帳!$B$2:$B$400="前面")+(機器台帳!$B$2:$B$400="両面")&gt;0)*(機器台帳!$F$2:$F$400&lt;&gt;"")*(機器台帳!$C$2:$C$400&lt;=19)*(機器台帳!$C$2:$C$400+機器台帳!$D$2:$D$400-1&gt;=19),0),0))&amp;IF(INDEX(機器台帳!$G$2:$G$400,MATCH(1,INDEX((機器台帳!$A$2:$A$400="E24-S8-5")*((機器台帳!$B$2:$B$400="前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-5")*((機器台帳!$B$2:$B$400="前面")+(機器台帳!$B$2:$B$400="両面")&gt;0)*(機器台帳!$F$2:$F$400&lt;&gt;"")*(機器台帳!$C$2:$C$400&lt;=19)*(機器台帳!$C$2:$C$400+機器台帳!$D$2:$D$400-1&gt;=19),0),0)))&amp;IF(SUMPRODUCT((機器台帳!$A$2:$A$400="E24-S8-5")*((機器台帳!$B$2:$B$400="前面")+(機器台帳!$B$2:$B$400="両面")&gt;0)*(機器台帳!$F$2:$F$400&lt;&gt;"")*(機器台帳!$C$2:$C$400&lt;=19)*(機器台帳!$C$2:$C$400+機器台帳!$D$2:$D$400-1&gt;=19))&gt;1," 他"&amp;(SUMPRODUCT((機器台帳!$A$2:$A$400="E24-S8-5")*((機器台帳!$B$2:$B$400="前面")+(機器台帳!$B$2:$B$400="両面")&gt;0)*(機器台帳!$F$2:$F$400&lt;&gt;"")*(機器台帳!$C$2:$C$400&lt;=19)*(機器台帳!$C$2:$C$400+機器台帳!$D$2:$D$400-1&gt;=19))-1)&amp;"台",""))</f>
        <v/>
      </c>
      <c r="S32">
        <f>IF(SUMPRODUCT((機器台帳!$A$2:$A$400="E24-S8-5")*((機器台帳!$B$2:$B$400="前面")+(機器台帳!$B$2:$B$400="両面")&gt;0)*(機器台帳!$F$2:$F$400&lt;&gt;"")*(機器台帳!$C$2:$C$400&lt;=19)*(機器台帳!$C$2:$C$400+機器台帳!$D$2:$D$400-1&gt;=19))=0,"",INDEX(機器台帳!$I$2:$I$400,MATCH(1,INDEX((機器台帳!$A$2:$A$400="E24-S8-5")*((機器台帳!$B$2:$B$400="前面")+(機器台帳!$B$2:$B$400="両面")&gt;0)*(機器台帳!$F$2:$F$400&lt;&gt;"")*(機器台帳!$C$2:$C$400&lt;=19)*(機器台帳!$C$2:$C$400+機器台帳!$D$2:$D$400-1&gt;=19),0),0))&amp;IF(INDEX(機器台帳!$Y$2:$Y$400,MATCH(1,INDEX((機器台帳!$A$2:$A$400="E24-S8-5")*((機器台帳!$B$2:$B$400="前面")+(機器台帳!$B$2:$B$400="両面")&gt;0)*(機器台帳!$F$2:$F$400&lt;&gt;"")*(機器台帳!$C$2:$C$400&lt;=19)*(機器台帳!$C$2:$C$400+機器台帳!$D$2:$D$400-1&gt;=19),0),0))=0,"|未記入",""))</f>
        <v/>
      </c>
      <c r="T32" s="12">
        <f>IF(SUMPRODUCT((機器台帳!$A$2:$A$400="E24-S8-5")*((機器台帳!$B$2:$B$400="背面")+(機器台帳!$B$2:$B$400="両面")&gt;0)*(機器台帳!$F$2:$F$400&lt;&gt;"")*(機器台帳!$C$2:$C$400&lt;=19)*(機器台帳!$C$2:$C$400+機器台帳!$D$2:$D$400-1&gt;=19))=0,"",INDEX(機器台帳!$F$2:$F$400,MATCH(1,INDEX((機器台帳!$A$2:$A$400="E24-S8-5")*((機器台帳!$B$2:$B$400="背面")+(機器台帳!$B$2:$B$400="両面")&gt;0)*(機器台帳!$F$2:$F$400&lt;&gt;"")*(機器台帳!$C$2:$C$400&lt;=19)*(機器台帳!$C$2:$C$400+機器台帳!$D$2:$D$400-1&gt;=19),0),0))&amp;IF(INDEX(機器台帳!$G$2:$G$400,MATCH(1,INDEX((機器台帳!$A$2:$A$400="E24-S8-5")*((機器台帳!$B$2:$B$400="背面")+(機器台帳!$B$2:$B$400="両面")&gt;0)*(機器台帳!$F$2:$F$400&lt;&gt;"")*(機器台帳!$C$2:$C$400&lt;=19)*(機器台帳!$C$2:$C$400+機器台帳!$D$2:$D$400-1&gt;=19),0),0))=""," "," "&amp;INDEX(機器台帳!$G$2:$G$400,MATCH(1,INDEX((機器台帳!$A$2:$A$400="E24-S8-5")*((機器台帳!$B$2:$B$400="背面")+(機器台帳!$B$2:$B$400="両面")&gt;0)*(機器台帳!$F$2:$F$400&lt;&gt;"")*(機器台帳!$C$2:$C$400&lt;=19)*(機器台帳!$C$2:$C$400+機器台帳!$D$2:$D$400-1&gt;=19),0),0)))&amp;IF(SUMPRODUCT((機器台帳!$A$2:$A$400="E24-S8-5")*((機器台帳!$B$2:$B$400="背面")+(機器台帳!$B$2:$B$400="両面")&gt;0)*(機器台帳!$F$2:$F$400&lt;&gt;"")*(機器台帳!$C$2:$C$400&lt;=19)*(機器台帳!$C$2:$C$400+機器台帳!$D$2:$D$400-1&gt;=19))&gt;1," 他"&amp;(SUMPRODUCT((機器台帳!$A$2:$A$400="E24-S8-5")*((機器台帳!$B$2:$B$400="背面")+(機器台帳!$B$2:$B$400="両面")&gt;0)*(機器台帳!$F$2:$F$400&lt;&gt;"")*(機器台帳!$C$2:$C$400&lt;=19)*(機器台帳!$C$2:$C$400+機器台帳!$D$2:$D$400-1&gt;=19))-1)&amp;"台",""))</f>
        <v/>
      </c>
      <c r="U32">
        <f>IF(SUMPRODUCT((機器台帳!$A$2:$A$400="E24-S8-5")*((機器台帳!$B$2:$B$400="背面")+(機器台帳!$B$2:$B$400="両面")&gt;0)*(機器台帳!$F$2:$F$400&lt;&gt;"")*(機器台帳!$C$2:$C$400&lt;=19)*(機器台帳!$C$2:$C$400+機器台帳!$D$2:$D$400-1&gt;=19))=0,"",INDEX(機器台帳!$I$2:$I$400,MATCH(1,INDEX((機器台帳!$A$2:$A$400="E24-S8-5")*((機器台帳!$B$2:$B$400="背面")+(機器台帳!$B$2:$B$400="両面")&gt;0)*(機器台帳!$F$2:$F$400&lt;&gt;"")*(機器台帳!$C$2:$C$400&lt;=19)*(機器台帳!$C$2:$C$400+機器台帳!$D$2:$D$400-1&gt;=19),0),0))&amp;IF(INDEX(機器台帳!$Y$2:$Y$400,MATCH(1,INDEX((機器台帳!$A$2:$A$400="E24-S8-5")*((機器台帳!$B$2:$B$400="背面")+(機器台帳!$B$2:$B$400="両面")&gt;0)*(機器台帳!$F$2:$F$400&lt;&gt;"")*(機器台帳!$C$2:$C$400&lt;=19)*(機器台帳!$C$2:$C$400+機器台帳!$D$2:$D$400-1&gt;=19),0),0))=0,"|未記入",""))</f>
        <v/>
      </c>
      <c r="V32" s="12">
        <f>IF(SUMPRODUCT((機器台帳!$A$2:$A$400="E24-S6-1")*((機器台帳!$B$2:$B$400="前面")+(機器台帳!$B$2:$B$400="両面")&gt;0)*(機器台帳!$F$2:$F$400&lt;&gt;"")*(機器台帳!$C$2:$C$400&lt;=19)*(機器台帳!$C$2:$C$400+機器台帳!$D$2:$D$400-1&gt;=19))=0,"",INDEX(機器台帳!$F$2:$F$400,MATCH(1,INDEX((機器台帳!$A$2:$A$400="E24-S6-1")*((機器台帳!$B$2:$B$400="前面")+(機器台帳!$B$2:$B$400="両面")&gt;0)*(機器台帳!$F$2:$F$400&lt;&gt;"")*(機器台帳!$C$2:$C$400&lt;=19)*(機器台帳!$C$2:$C$400+機器台帳!$D$2:$D$400-1&gt;=19),0),0))&amp;IF(INDEX(機器台帳!$G$2:$G$400,MATCH(1,INDEX((機器台帳!$A$2:$A$400="E24-S6-1")*((機器台帳!$B$2:$B$400="前面")+(機器台帳!$B$2:$B$400="両面")&gt;0)*(機器台帳!$F$2:$F$400&lt;&gt;"")*(機器台帳!$C$2:$C$400&lt;=19)*(機器台帳!$C$2:$C$400+機器台帳!$D$2:$D$400-1&gt;=19),0),0))=""," "," "&amp;INDEX(機器台帳!$G$2:$G$400,MATCH(1,INDEX((機器台帳!$A$2:$A$400="E24-S6-1")*((機器台帳!$B$2:$B$400="前面")+(機器台帳!$B$2:$B$400="両面")&gt;0)*(機器台帳!$F$2:$F$400&lt;&gt;"")*(機器台帳!$C$2:$C$400&lt;=19)*(機器台帳!$C$2:$C$400+機器台帳!$D$2:$D$400-1&gt;=19),0),0)))&amp;IF(SUMPRODUCT((機器台帳!$A$2:$A$400="E24-S6-1")*((機器台帳!$B$2:$B$400="前面")+(機器台帳!$B$2:$B$400="両面")&gt;0)*(機器台帳!$F$2:$F$400&lt;&gt;"")*(機器台帳!$C$2:$C$400&lt;=19)*(機器台帳!$C$2:$C$400+機器台帳!$D$2:$D$400-1&gt;=19))&gt;1," 他"&amp;(SUMPRODUCT((機器台帳!$A$2:$A$400="E24-S6-1")*((機器台帳!$B$2:$B$400="前面")+(機器台帳!$B$2:$B$400="両面")&gt;0)*(機器台帳!$F$2:$F$400&lt;&gt;"")*(機器台帳!$C$2:$C$400&lt;=19)*(機器台帳!$C$2:$C$400+機器台帳!$D$2:$D$400-1&gt;=19))-1)&amp;"台",""))</f>
        <v/>
      </c>
      <c r="W32">
        <f>IF(SUMPRODUCT((機器台帳!$A$2:$A$400="E24-S6-1")*((機器台帳!$B$2:$B$400="前面")+(機器台帳!$B$2:$B$400="両面")&gt;0)*(機器台帳!$F$2:$F$400&lt;&gt;"")*(機器台帳!$C$2:$C$400&lt;=19)*(機器台帳!$C$2:$C$400+機器台帳!$D$2:$D$400-1&gt;=19))=0,"",INDEX(機器台帳!$I$2:$I$400,MATCH(1,INDEX((機器台帳!$A$2:$A$400="E24-S6-1")*((機器台帳!$B$2:$B$400="前面")+(機器台帳!$B$2:$B$400="両面")&gt;0)*(機器台帳!$F$2:$F$400&lt;&gt;"")*(機器台帳!$C$2:$C$400&lt;=19)*(機器台帳!$C$2:$C$400+機器台帳!$D$2:$D$400-1&gt;=19),0),0))&amp;IF(INDEX(機器台帳!$Y$2:$Y$400,MATCH(1,INDEX((機器台帳!$A$2:$A$400="E24-S6-1")*((機器台帳!$B$2:$B$400="前面")+(機器台帳!$B$2:$B$400="両面")&gt;0)*(機器台帳!$F$2:$F$400&lt;&gt;"")*(機器台帳!$C$2:$C$400&lt;=19)*(機器台帳!$C$2:$C$400+機器台帳!$D$2:$D$400-1&gt;=19),0),0))=0,"|未記入",""))</f>
        <v/>
      </c>
      <c r="X32" s="12">
        <f>IF(SUMPRODUCT((機器台帳!$A$2:$A$400="E24-S6-1")*((機器台帳!$B$2:$B$400="背面")+(機器台帳!$B$2:$B$400="両面")&gt;0)*(機器台帳!$F$2:$F$400&lt;&gt;"")*(機器台帳!$C$2:$C$400&lt;=19)*(機器台帳!$C$2:$C$400+機器台帳!$D$2:$D$400-1&gt;=19))=0,"",INDEX(機器台帳!$F$2:$F$400,MATCH(1,INDEX((機器台帳!$A$2:$A$400="E24-S6-1")*((機器台帳!$B$2:$B$400="背面")+(機器台帳!$B$2:$B$400="両面")&gt;0)*(機器台帳!$F$2:$F$400&lt;&gt;"")*(機器台帳!$C$2:$C$400&lt;=19)*(機器台帳!$C$2:$C$400+機器台帳!$D$2:$D$400-1&gt;=19),0),0))&amp;IF(INDEX(機器台帳!$G$2:$G$400,MATCH(1,INDEX((機器台帳!$A$2:$A$400="E24-S6-1")*((機器台帳!$B$2:$B$400="背面")+(機器台帳!$B$2:$B$400="両面")&gt;0)*(機器台帳!$F$2:$F$400&lt;&gt;"")*(機器台帳!$C$2:$C$400&lt;=19)*(機器台帳!$C$2:$C$400+機器台帳!$D$2:$D$400-1&gt;=19),0),0))=""," "," "&amp;INDEX(機器台帳!$G$2:$G$400,MATCH(1,INDEX((機器台帳!$A$2:$A$400="E24-S6-1")*((機器台帳!$B$2:$B$400="背面")+(機器台帳!$B$2:$B$400="両面")&gt;0)*(機器台帳!$F$2:$F$400&lt;&gt;"")*(機器台帳!$C$2:$C$400&lt;=19)*(機器台帳!$C$2:$C$400+機器台帳!$D$2:$D$400-1&gt;=19),0),0)))&amp;IF(SUMPRODUCT((機器台帳!$A$2:$A$400="E24-S6-1")*((機器台帳!$B$2:$B$400="背面")+(機器台帳!$B$2:$B$400="両面")&gt;0)*(機器台帳!$F$2:$F$400&lt;&gt;"")*(機器台帳!$C$2:$C$400&lt;=19)*(機器台帳!$C$2:$C$400+機器台帳!$D$2:$D$400-1&gt;=19))&gt;1," 他"&amp;(SUMPRODUCT((機器台帳!$A$2:$A$400="E24-S6-1")*((機器台帳!$B$2:$B$400="背面")+(機器台帳!$B$2:$B$400="両面")&gt;0)*(機器台帳!$F$2:$F$400&lt;&gt;"")*(機器台帳!$C$2:$C$400&lt;=19)*(機器台帳!$C$2:$C$400+機器台帳!$D$2:$D$400-1&gt;=19))-1)&amp;"台",""))</f>
        <v/>
      </c>
      <c r="Y32">
        <f>IF(SUMPRODUCT((機器台帳!$A$2:$A$400="E24-S6-1")*((機器台帳!$B$2:$B$400="背面")+(機器台帳!$B$2:$B$400="両面")&gt;0)*(機器台帳!$F$2:$F$400&lt;&gt;"")*(機器台帳!$C$2:$C$400&lt;=19)*(機器台帳!$C$2:$C$400+機器台帳!$D$2:$D$400-1&gt;=19))=0,"",INDEX(機器台帳!$I$2:$I$400,MATCH(1,INDEX((機器台帳!$A$2:$A$400="E24-S6-1")*((機器台帳!$B$2:$B$400="背面")+(機器台帳!$B$2:$B$400="両面")&gt;0)*(機器台帳!$F$2:$F$400&lt;&gt;"")*(機器台帳!$C$2:$C$400&lt;=19)*(機器台帳!$C$2:$C$400+機器台帳!$D$2:$D$400-1&gt;=19),0),0))&amp;IF(INDEX(機器台帳!$Y$2:$Y$400,MATCH(1,INDEX((機器台帳!$A$2:$A$400="E24-S6-1")*((機器台帳!$B$2:$B$400="背面")+(機器台帳!$B$2:$B$400="両面")&gt;0)*(機器台帳!$F$2:$F$400&lt;&gt;"")*(機器台帳!$C$2:$C$400&lt;=19)*(機器台帳!$C$2:$C$400+機器台帳!$D$2:$D$400-1&gt;=19),0),0))=0,"|未記入",""))</f>
        <v/>
      </c>
    </row>
    <row r="33">
      <c r="A33" s="11" t="n">
        <v>18</v>
      </c>
      <c r="B33" s="12">
        <f>IF(SUMPRODUCT((機器台帳!$A$2:$A$400="E24-S8-1")*((機器台帳!$B$2:$B$400="前面")+(機器台帳!$B$2:$B$400="両面")&gt;0)*(機器台帳!$F$2:$F$400&lt;&gt;"")*(機器台帳!$C$2:$C$400&lt;=18)*(機器台帳!$C$2:$C$400+機器台帳!$D$2:$D$400-1&gt;=18))=0,"",INDEX(機器台帳!$F$2:$F$400,MATCH(1,INDEX((機器台帳!$A$2:$A$400="E24-S8-1")*((機器台帳!$B$2:$B$400="前面")+(機器台帳!$B$2:$B$400="両面")&gt;0)*(機器台帳!$F$2:$F$400&lt;&gt;"")*(機器台帳!$C$2:$C$400&lt;=18)*(機器台帳!$C$2:$C$400+機器台帳!$D$2:$D$400-1&gt;=18),0),0))&amp;IF(INDEX(機器台帳!$G$2:$G$400,MATCH(1,INDEX((機器台帳!$A$2:$A$400="E24-S8-1")*((機器台帳!$B$2:$B$400="前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-1")*((機器台帳!$B$2:$B$400="前面")+(機器台帳!$B$2:$B$400="両面")&gt;0)*(機器台帳!$F$2:$F$400&lt;&gt;"")*(機器台帳!$C$2:$C$400&lt;=18)*(機器台帳!$C$2:$C$400+機器台帳!$D$2:$D$400-1&gt;=18),0),0)))&amp;IF(SUMPRODUCT((機器台帳!$A$2:$A$400="E24-S8-1")*((機器台帳!$B$2:$B$400="前面")+(機器台帳!$B$2:$B$400="両面")&gt;0)*(機器台帳!$F$2:$F$400&lt;&gt;"")*(機器台帳!$C$2:$C$400&lt;=18)*(機器台帳!$C$2:$C$400+機器台帳!$D$2:$D$400-1&gt;=18))&gt;1," 他"&amp;(SUMPRODUCT((機器台帳!$A$2:$A$400="E24-S8-1")*((機器台帳!$B$2:$B$400="前面")+(機器台帳!$B$2:$B$400="両面")&gt;0)*(機器台帳!$F$2:$F$400&lt;&gt;"")*(機器台帳!$C$2:$C$400&lt;=18)*(機器台帳!$C$2:$C$400+機器台帳!$D$2:$D$400-1&gt;=18))-1)&amp;"台",""))</f>
        <v/>
      </c>
      <c r="C33">
        <f>IF(SUMPRODUCT((機器台帳!$A$2:$A$400="E24-S8-1")*((機器台帳!$B$2:$B$400="前面")+(機器台帳!$B$2:$B$400="両面")&gt;0)*(機器台帳!$F$2:$F$400&lt;&gt;"")*(機器台帳!$C$2:$C$400&lt;=18)*(機器台帳!$C$2:$C$400+機器台帳!$D$2:$D$400-1&gt;=18))=0,"",INDEX(機器台帳!$I$2:$I$400,MATCH(1,INDEX((機器台帳!$A$2:$A$400="E24-S8-1")*((機器台帳!$B$2:$B$400="前面")+(機器台帳!$B$2:$B$400="両面")&gt;0)*(機器台帳!$F$2:$F$400&lt;&gt;"")*(機器台帳!$C$2:$C$400&lt;=18)*(機器台帳!$C$2:$C$400+機器台帳!$D$2:$D$400-1&gt;=18),0),0))&amp;IF(INDEX(機器台帳!$Y$2:$Y$400,MATCH(1,INDEX((機器台帳!$A$2:$A$400="E24-S8-1")*((機器台帳!$B$2:$B$400="前面")+(機器台帳!$B$2:$B$400="両面")&gt;0)*(機器台帳!$F$2:$F$400&lt;&gt;"")*(機器台帳!$C$2:$C$400&lt;=18)*(機器台帳!$C$2:$C$400+機器台帳!$D$2:$D$400-1&gt;=18),0),0))=0,"|未記入",""))</f>
        <v/>
      </c>
      <c r="D33" s="12">
        <f>IF(SUMPRODUCT((機器台帳!$A$2:$A$400="E24-S8-1")*((機器台帳!$B$2:$B$400="背面")+(機器台帳!$B$2:$B$400="両面")&gt;0)*(機器台帳!$F$2:$F$400&lt;&gt;"")*(機器台帳!$C$2:$C$400&lt;=18)*(機器台帳!$C$2:$C$400+機器台帳!$D$2:$D$400-1&gt;=18))=0,"",INDEX(機器台帳!$F$2:$F$400,MATCH(1,INDEX((機器台帳!$A$2:$A$400="E24-S8-1")*((機器台帳!$B$2:$B$400="背面")+(機器台帳!$B$2:$B$400="両面")&gt;0)*(機器台帳!$F$2:$F$400&lt;&gt;"")*(機器台帳!$C$2:$C$400&lt;=18)*(機器台帳!$C$2:$C$400+機器台帳!$D$2:$D$400-1&gt;=18),0),0))&amp;IF(INDEX(機器台帳!$G$2:$G$400,MATCH(1,INDEX((機器台帳!$A$2:$A$400="E24-S8-1")*((機器台帳!$B$2:$B$400="背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-1")*((機器台帳!$B$2:$B$400="背面")+(機器台帳!$B$2:$B$400="両面")&gt;0)*(機器台帳!$F$2:$F$400&lt;&gt;"")*(機器台帳!$C$2:$C$400&lt;=18)*(機器台帳!$C$2:$C$400+機器台帳!$D$2:$D$400-1&gt;=18),0),0)))&amp;IF(SUMPRODUCT((機器台帳!$A$2:$A$400="E24-S8-1")*((機器台帳!$B$2:$B$400="背面")+(機器台帳!$B$2:$B$400="両面")&gt;0)*(機器台帳!$F$2:$F$400&lt;&gt;"")*(機器台帳!$C$2:$C$400&lt;=18)*(機器台帳!$C$2:$C$400+機器台帳!$D$2:$D$400-1&gt;=18))&gt;1," 他"&amp;(SUMPRODUCT((機器台帳!$A$2:$A$400="E24-S8-1")*((機器台帳!$B$2:$B$400="背面")+(機器台帳!$B$2:$B$400="両面")&gt;0)*(機器台帳!$F$2:$F$400&lt;&gt;"")*(機器台帳!$C$2:$C$400&lt;=18)*(機器台帳!$C$2:$C$400+機器台帳!$D$2:$D$400-1&gt;=18))-1)&amp;"台",""))</f>
        <v/>
      </c>
      <c r="E33">
        <f>IF(SUMPRODUCT((機器台帳!$A$2:$A$400="E24-S8-1")*((機器台帳!$B$2:$B$400="背面")+(機器台帳!$B$2:$B$400="両面")&gt;0)*(機器台帳!$F$2:$F$400&lt;&gt;"")*(機器台帳!$C$2:$C$400&lt;=18)*(機器台帳!$C$2:$C$400+機器台帳!$D$2:$D$400-1&gt;=18))=0,"",INDEX(機器台帳!$I$2:$I$400,MATCH(1,INDEX((機器台帳!$A$2:$A$400="E24-S8-1")*((機器台帳!$B$2:$B$400="背面")+(機器台帳!$B$2:$B$400="両面")&gt;0)*(機器台帳!$F$2:$F$400&lt;&gt;"")*(機器台帳!$C$2:$C$400&lt;=18)*(機器台帳!$C$2:$C$400+機器台帳!$D$2:$D$400-1&gt;=18),0),0))&amp;IF(INDEX(機器台帳!$Y$2:$Y$400,MATCH(1,INDEX((機器台帳!$A$2:$A$400="E24-S8-1")*((機器台帳!$B$2:$B$400="背面")+(機器台帳!$B$2:$B$400="両面")&gt;0)*(機器台帳!$F$2:$F$400&lt;&gt;"")*(機器台帳!$C$2:$C$400&lt;=18)*(機器台帳!$C$2:$C$400+機器台帳!$D$2:$D$400-1&gt;=18),0),0))=0,"|未記入",""))</f>
        <v/>
      </c>
      <c r="F33" s="12">
        <f>IF(SUMPRODUCT((機器台帳!$A$2:$A$400="E24-S8-2")*((機器台帳!$B$2:$B$400="前面")+(機器台帳!$B$2:$B$400="両面")&gt;0)*(機器台帳!$F$2:$F$400&lt;&gt;"")*(機器台帳!$C$2:$C$400&lt;=18)*(機器台帳!$C$2:$C$400+機器台帳!$D$2:$D$400-1&gt;=18))=0,"",INDEX(機器台帳!$F$2:$F$400,MATCH(1,INDEX((機器台帳!$A$2:$A$400="E24-S8-2")*((機器台帳!$B$2:$B$400="前面")+(機器台帳!$B$2:$B$400="両面")&gt;0)*(機器台帳!$F$2:$F$400&lt;&gt;"")*(機器台帳!$C$2:$C$400&lt;=18)*(機器台帳!$C$2:$C$400+機器台帳!$D$2:$D$400-1&gt;=18),0),0))&amp;IF(INDEX(機器台帳!$G$2:$G$400,MATCH(1,INDEX((機器台帳!$A$2:$A$400="E24-S8-2")*((機器台帳!$B$2:$B$400="前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-2")*((機器台帳!$B$2:$B$400="前面")+(機器台帳!$B$2:$B$400="両面")&gt;0)*(機器台帳!$F$2:$F$400&lt;&gt;"")*(機器台帳!$C$2:$C$400&lt;=18)*(機器台帳!$C$2:$C$400+機器台帳!$D$2:$D$400-1&gt;=18),0),0)))&amp;IF(SUMPRODUCT((機器台帳!$A$2:$A$400="E24-S8-2")*((機器台帳!$B$2:$B$400="前面")+(機器台帳!$B$2:$B$400="両面")&gt;0)*(機器台帳!$F$2:$F$400&lt;&gt;"")*(機器台帳!$C$2:$C$400&lt;=18)*(機器台帳!$C$2:$C$400+機器台帳!$D$2:$D$400-1&gt;=18))&gt;1," 他"&amp;(SUMPRODUCT((機器台帳!$A$2:$A$400="E24-S8-2")*((機器台帳!$B$2:$B$400="前面")+(機器台帳!$B$2:$B$400="両面")&gt;0)*(機器台帳!$F$2:$F$400&lt;&gt;"")*(機器台帳!$C$2:$C$400&lt;=18)*(機器台帳!$C$2:$C$400+機器台帳!$D$2:$D$400-1&gt;=18))-1)&amp;"台",""))</f>
        <v/>
      </c>
      <c r="G33">
        <f>IF(SUMPRODUCT((機器台帳!$A$2:$A$400="E24-S8-2")*((機器台帳!$B$2:$B$400="前面")+(機器台帳!$B$2:$B$400="両面")&gt;0)*(機器台帳!$F$2:$F$400&lt;&gt;"")*(機器台帳!$C$2:$C$400&lt;=18)*(機器台帳!$C$2:$C$400+機器台帳!$D$2:$D$400-1&gt;=18))=0,"",INDEX(機器台帳!$I$2:$I$400,MATCH(1,INDEX((機器台帳!$A$2:$A$400="E24-S8-2")*((機器台帳!$B$2:$B$400="前面")+(機器台帳!$B$2:$B$400="両面")&gt;0)*(機器台帳!$F$2:$F$400&lt;&gt;"")*(機器台帳!$C$2:$C$400&lt;=18)*(機器台帳!$C$2:$C$400+機器台帳!$D$2:$D$400-1&gt;=18),0),0))&amp;IF(INDEX(機器台帳!$Y$2:$Y$400,MATCH(1,INDEX((機器台帳!$A$2:$A$400="E24-S8-2")*((機器台帳!$B$2:$B$400="前面")+(機器台帳!$B$2:$B$400="両面")&gt;0)*(機器台帳!$F$2:$F$400&lt;&gt;"")*(機器台帳!$C$2:$C$400&lt;=18)*(機器台帳!$C$2:$C$400+機器台帳!$D$2:$D$400-1&gt;=18),0),0))=0,"|未記入",""))</f>
        <v/>
      </c>
      <c r="H33" s="12">
        <f>IF(SUMPRODUCT((機器台帳!$A$2:$A$400="E24-S8-2")*((機器台帳!$B$2:$B$400="背面")+(機器台帳!$B$2:$B$400="両面")&gt;0)*(機器台帳!$F$2:$F$400&lt;&gt;"")*(機器台帳!$C$2:$C$400&lt;=18)*(機器台帳!$C$2:$C$400+機器台帳!$D$2:$D$400-1&gt;=18))=0,"",INDEX(機器台帳!$F$2:$F$400,MATCH(1,INDEX((機器台帳!$A$2:$A$400="E24-S8-2")*((機器台帳!$B$2:$B$400="背面")+(機器台帳!$B$2:$B$400="両面")&gt;0)*(機器台帳!$F$2:$F$400&lt;&gt;"")*(機器台帳!$C$2:$C$400&lt;=18)*(機器台帳!$C$2:$C$400+機器台帳!$D$2:$D$400-1&gt;=18),0),0))&amp;IF(INDEX(機器台帳!$G$2:$G$400,MATCH(1,INDEX((機器台帳!$A$2:$A$400="E24-S8-2")*((機器台帳!$B$2:$B$400="背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-2")*((機器台帳!$B$2:$B$400="背面")+(機器台帳!$B$2:$B$400="両面")&gt;0)*(機器台帳!$F$2:$F$400&lt;&gt;"")*(機器台帳!$C$2:$C$400&lt;=18)*(機器台帳!$C$2:$C$400+機器台帳!$D$2:$D$400-1&gt;=18),0),0)))&amp;IF(SUMPRODUCT((機器台帳!$A$2:$A$400="E24-S8-2")*((機器台帳!$B$2:$B$400="背面")+(機器台帳!$B$2:$B$400="両面")&gt;0)*(機器台帳!$F$2:$F$400&lt;&gt;"")*(機器台帳!$C$2:$C$400&lt;=18)*(機器台帳!$C$2:$C$400+機器台帳!$D$2:$D$400-1&gt;=18))&gt;1," 他"&amp;(SUMPRODUCT((機器台帳!$A$2:$A$400="E24-S8-2")*((機器台帳!$B$2:$B$400="背面")+(機器台帳!$B$2:$B$400="両面")&gt;0)*(機器台帳!$F$2:$F$400&lt;&gt;"")*(機器台帳!$C$2:$C$400&lt;=18)*(機器台帳!$C$2:$C$400+機器台帳!$D$2:$D$400-1&gt;=18))-1)&amp;"台",""))</f>
        <v/>
      </c>
      <c r="I33">
        <f>IF(SUMPRODUCT((機器台帳!$A$2:$A$400="E24-S8-2")*((機器台帳!$B$2:$B$400="背面")+(機器台帳!$B$2:$B$400="両面")&gt;0)*(機器台帳!$F$2:$F$400&lt;&gt;"")*(機器台帳!$C$2:$C$400&lt;=18)*(機器台帳!$C$2:$C$400+機器台帳!$D$2:$D$400-1&gt;=18))=0,"",INDEX(機器台帳!$I$2:$I$400,MATCH(1,INDEX((機器台帳!$A$2:$A$400="E24-S8-2")*((機器台帳!$B$2:$B$400="背面")+(機器台帳!$B$2:$B$400="両面")&gt;0)*(機器台帳!$F$2:$F$400&lt;&gt;"")*(機器台帳!$C$2:$C$400&lt;=18)*(機器台帳!$C$2:$C$400+機器台帳!$D$2:$D$400-1&gt;=18),0),0))&amp;IF(INDEX(機器台帳!$Y$2:$Y$400,MATCH(1,INDEX((機器台帳!$A$2:$A$400="E24-S8-2")*((機器台帳!$B$2:$B$400="背面")+(機器台帳!$B$2:$B$400="両面")&gt;0)*(機器台帳!$F$2:$F$400&lt;&gt;"")*(機器台帳!$C$2:$C$400&lt;=18)*(機器台帳!$C$2:$C$400+機器台帳!$D$2:$D$400-1&gt;=18),0),0))=0,"|未記入",""))</f>
        <v/>
      </c>
      <c r="J33" s="12">
        <f>IF(SUMPRODUCT((機器台帳!$A$2:$A$400="E24-S8-3")*((機器台帳!$B$2:$B$400="前面")+(機器台帳!$B$2:$B$400="両面")&gt;0)*(機器台帳!$F$2:$F$400&lt;&gt;"")*(機器台帳!$C$2:$C$400&lt;=18)*(機器台帳!$C$2:$C$400+機器台帳!$D$2:$D$400-1&gt;=18))=0,"",INDEX(機器台帳!$F$2:$F$400,MATCH(1,INDEX((機器台帳!$A$2:$A$400="E24-S8-3")*((機器台帳!$B$2:$B$400="前面")+(機器台帳!$B$2:$B$400="両面")&gt;0)*(機器台帳!$F$2:$F$400&lt;&gt;"")*(機器台帳!$C$2:$C$400&lt;=18)*(機器台帳!$C$2:$C$400+機器台帳!$D$2:$D$400-1&gt;=18),0),0))&amp;IF(INDEX(機器台帳!$G$2:$G$400,MATCH(1,INDEX((機器台帳!$A$2:$A$400="E24-S8-3")*((機器台帳!$B$2:$B$400="前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-3")*((機器台帳!$B$2:$B$400="前面")+(機器台帳!$B$2:$B$400="両面")&gt;0)*(機器台帳!$F$2:$F$400&lt;&gt;"")*(機器台帳!$C$2:$C$400&lt;=18)*(機器台帳!$C$2:$C$400+機器台帳!$D$2:$D$400-1&gt;=18),0),0)))&amp;IF(SUMPRODUCT((機器台帳!$A$2:$A$400="E24-S8-3")*((機器台帳!$B$2:$B$400="前面")+(機器台帳!$B$2:$B$400="両面")&gt;0)*(機器台帳!$F$2:$F$400&lt;&gt;"")*(機器台帳!$C$2:$C$400&lt;=18)*(機器台帳!$C$2:$C$400+機器台帳!$D$2:$D$400-1&gt;=18))&gt;1," 他"&amp;(SUMPRODUCT((機器台帳!$A$2:$A$400="E24-S8-3")*((機器台帳!$B$2:$B$400="前面")+(機器台帳!$B$2:$B$400="両面")&gt;0)*(機器台帳!$F$2:$F$400&lt;&gt;"")*(機器台帳!$C$2:$C$400&lt;=18)*(機器台帳!$C$2:$C$400+機器台帳!$D$2:$D$400-1&gt;=18))-1)&amp;"台",""))</f>
        <v/>
      </c>
      <c r="K33">
        <f>IF(SUMPRODUCT((機器台帳!$A$2:$A$400="E24-S8-3")*((機器台帳!$B$2:$B$400="前面")+(機器台帳!$B$2:$B$400="両面")&gt;0)*(機器台帳!$F$2:$F$400&lt;&gt;"")*(機器台帳!$C$2:$C$400&lt;=18)*(機器台帳!$C$2:$C$400+機器台帳!$D$2:$D$400-1&gt;=18))=0,"",INDEX(機器台帳!$I$2:$I$400,MATCH(1,INDEX((機器台帳!$A$2:$A$400="E24-S8-3")*((機器台帳!$B$2:$B$400="前面")+(機器台帳!$B$2:$B$400="両面")&gt;0)*(機器台帳!$F$2:$F$400&lt;&gt;"")*(機器台帳!$C$2:$C$400&lt;=18)*(機器台帳!$C$2:$C$400+機器台帳!$D$2:$D$400-1&gt;=18),0),0))&amp;IF(INDEX(機器台帳!$Y$2:$Y$400,MATCH(1,INDEX((機器台帳!$A$2:$A$400="E24-S8-3")*((機器台帳!$B$2:$B$400="前面")+(機器台帳!$B$2:$B$400="両面")&gt;0)*(機器台帳!$F$2:$F$400&lt;&gt;"")*(機器台帳!$C$2:$C$400&lt;=18)*(機器台帳!$C$2:$C$400+機器台帳!$D$2:$D$400-1&gt;=18),0),0))=0,"|未記入",""))</f>
        <v/>
      </c>
      <c r="L33" s="12">
        <f>IF(SUMPRODUCT((機器台帳!$A$2:$A$400="E24-S8-3")*((機器台帳!$B$2:$B$400="背面")+(機器台帳!$B$2:$B$400="両面")&gt;0)*(機器台帳!$F$2:$F$400&lt;&gt;"")*(機器台帳!$C$2:$C$400&lt;=18)*(機器台帳!$C$2:$C$400+機器台帳!$D$2:$D$400-1&gt;=18))=0,"",INDEX(機器台帳!$F$2:$F$400,MATCH(1,INDEX((機器台帳!$A$2:$A$400="E24-S8-3")*((機器台帳!$B$2:$B$400="背面")+(機器台帳!$B$2:$B$400="両面")&gt;0)*(機器台帳!$F$2:$F$400&lt;&gt;"")*(機器台帳!$C$2:$C$400&lt;=18)*(機器台帳!$C$2:$C$400+機器台帳!$D$2:$D$400-1&gt;=18),0),0))&amp;IF(INDEX(機器台帳!$G$2:$G$400,MATCH(1,INDEX((機器台帳!$A$2:$A$400="E24-S8-3")*((機器台帳!$B$2:$B$400="背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-3")*((機器台帳!$B$2:$B$400="背面")+(機器台帳!$B$2:$B$400="両面")&gt;0)*(機器台帳!$F$2:$F$400&lt;&gt;"")*(機器台帳!$C$2:$C$400&lt;=18)*(機器台帳!$C$2:$C$400+機器台帳!$D$2:$D$400-1&gt;=18),0),0)))&amp;IF(SUMPRODUCT((機器台帳!$A$2:$A$400="E24-S8-3")*((機器台帳!$B$2:$B$400="背面")+(機器台帳!$B$2:$B$400="両面")&gt;0)*(機器台帳!$F$2:$F$400&lt;&gt;"")*(機器台帳!$C$2:$C$400&lt;=18)*(機器台帳!$C$2:$C$400+機器台帳!$D$2:$D$400-1&gt;=18))&gt;1," 他"&amp;(SUMPRODUCT((機器台帳!$A$2:$A$400="E24-S8-3")*((機器台帳!$B$2:$B$400="背面")+(機器台帳!$B$2:$B$400="両面")&gt;0)*(機器台帳!$F$2:$F$400&lt;&gt;"")*(機器台帳!$C$2:$C$400&lt;=18)*(機器台帳!$C$2:$C$400+機器台帳!$D$2:$D$400-1&gt;=18))-1)&amp;"台",""))</f>
        <v/>
      </c>
      <c r="M33">
        <f>IF(SUMPRODUCT((機器台帳!$A$2:$A$400="E24-S8-3")*((機器台帳!$B$2:$B$400="背面")+(機器台帳!$B$2:$B$400="両面")&gt;0)*(機器台帳!$F$2:$F$400&lt;&gt;"")*(機器台帳!$C$2:$C$400&lt;=18)*(機器台帳!$C$2:$C$400+機器台帳!$D$2:$D$400-1&gt;=18))=0,"",INDEX(機器台帳!$I$2:$I$400,MATCH(1,INDEX((機器台帳!$A$2:$A$400="E24-S8-3")*((機器台帳!$B$2:$B$400="背面")+(機器台帳!$B$2:$B$400="両面")&gt;0)*(機器台帳!$F$2:$F$400&lt;&gt;"")*(機器台帳!$C$2:$C$400&lt;=18)*(機器台帳!$C$2:$C$400+機器台帳!$D$2:$D$400-1&gt;=18),0),0))&amp;IF(INDEX(機器台帳!$Y$2:$Y$400,MATCH(1,INDEX((機器台帳!$A$2:$A$400="E24-S8-3")*((機器台帳!$B$2:$B$400="背面")+(機器台帳!$B$2:$B$400="両面")&gt;0)*(機器台帳!$F$2:$F$400&lt;&gt;"")*(機器台帳!$C$2:$C$400&lt;=18)*(機器台帳!$C$2:$C$400+機器台帳!$D$2:$D$400-1&gt;=18),0),0))=0,"|未記入",""))</f>
        <v/>
      </c>
      <c r="N33" s="12">
        <f>IF(SUMPRODUCT((機器台帳!$A$2:$A$400="E24-S8-4")*((機器台帳!$B$2:$B$400="前面")+(機器台帳!$B$2:$B$400="両面")&gt;0)*(機器台帳!$F$2:$F$400&lt;&gt;"")*(機器台帳!$C$2:$C$400&lt;=18)*(機器台帳!$C$2:$C$400+機器台帳!$D$2:$D$400-1&gt;=18))=0,"",INDEX(機器台帳!$F$2:$F$400,MATCH(1,INDEX((機器台帳!$A$2:$A$400="E24-S8-4")*((機器台帳!$B$2:$B$400="前面")+(機器台帳!$B$2:$B$400="両面")&gt;0)*(機器台帳!$F$2:$F$400&lt;&gt;"")*(機器台帳!$C$2:$C$400&lt;=18)*(機器台帳!$C$2:$C$400+機器台帳!$D$2:$D$400-1&gt;=18),0),0))&amp;IF(INDEX(機器台帳!$G$2:$G$400,MATCH(1,INDEX((機器台帳!$A$2:$A$400="E24-S8-4")*((機器台帳!$B$2:$B$400="前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-4")*((機器台帳!$B$2:$B$400="前面")+(機器台帳!$B$2:$B$400="両面")&gt;0)*(機器台帳!$F$2:$F$400&lt;&gt;"")*(機器台帳!$C$2:$C$400&lt;=18)*(機器台帳!$C$2:$C$400+機器台帳!$D$2:$D$400-1&gt;=18),0),0)))&amp;IF(SUMPRODUCT((機器台帳!$A$2:$A$400="E24-S8-4")*((機器台帳!$B$2:$B$400="前面")+(機器台帳!$B$2:$B$400="両面")&gt;0)*(機器台帳!$F$2:$F$400&lt;&gt;"")*(機器台帳!$C$2:$C$400&lt;=18)*(機器台帳!$C$2:$C$400+機器台帳!$D$2:$D$400-1&gt;=18))&gt;1," 他"&amp;(SUMPRODUCT((機器台帳!$A$2:$A$400="E24-S8-4")*((機器台帳!$B$2:$B$400="前面")+(機器台帳!$B$2:$B$400="両面")&gt;0)*(機器台帳!$F$2:$F$400&lt;&gt;"")*(機器台帳!$C$2:$C$400&lt;=18)*(機器台帳!$C$2:$C$400+機器台帳!$D$2:$D$400-1&gt;=18))-1)&amp;"台",""))</f>
        <v/>
      </c>
      <c r="O33">
        <f>IF(SUMPRODUCT((機器台帳!$A$2:$A$400="E24-S8-4")*((機器台帳!$B$2:$B$400="前面")+(機器台帳!$B$2:$B$400="両面")&gt;0)*(機器台帳!$F$2:$F$400&lt;&gt;"")*(機器台帳!$C$2:$C$400&lt;=18)*(機器台帳!$C$2:$C$400+機器台帳!$D$2:$D$400-1&gt;=18))=0,"",INDEX(機器台帳!$I$2:$I$400,MATCH(1,INDEX((機器台帳!$A$2:$A$400="E24-S8-4")*((機器台帳!$B$2:$B$400="前面")+(機器台帳!$B$2:$B$400="両面")&gt;0)*(機器台帳!$F$2:$F$400&lt;&gt;"")*(機器台帳!$C$2:$C$400&lt;=18)*(機器台帳!$C$2:$C$400+機器台帳!$D$2:$D$400-1&gt;=18),0),0))&amp;IF(INDEX(機器台帳!$Y$2:$Y$400,MATCH(1,INDEX((機器台帳!$A$2:$A$400="E24-S8-4")*((機器台帳!$B$2:$B$400="前面")+(機器台帳!$B$2:$B$400="両面")&gt;0)*(機器台帳!$F$2:$F$400&lt;&gt;"")*(機器台帳!$C$2:$C$400&lt;=18)*(機器台帳!$C$2:$C$400+機器台帳!$D$2:$D$400-1&gt;=18),0),0))=0,"|未記入",""))</f>
        <v/>
      </c>
      <c r="P33" s="12">
        <f>IF(SUMPRODUCT((機器台帳!$A$2:$A$400="E24-S8-4")*((機器台帳!$B$2:$B$400="背面")+(機器台帳!$B$2:$B$400="両面")&gt;0)*(機器台帳!$F$2:$F$400&lt;&gt;"")*(機器台帳!$C$2:$C$400&lt;=18)*(機器台帳!$C$2:$C$400+機器台帳!$D$2:$D$400-1&gt;=18))=0,"",INDEX(機器台帳!$F$2:$F$400,MATCH(1,INDEX((機器台帳!$A$2:$A$400="E24-S8-4")*((機器台帳!$B$2:$B$400="背面")+(機器台帳!$B$2:$B$400="両面")&gt;0)*(機器台帳!$F$2:$F$400&lt;&gt;"")*(機器台帳!$C$2:$C$400&lt;=18)*(機器台帳!$C$2:$C$400+機器台帳!$D$2:$D$400-1&gt;=18),0),0))&amp;IF(INDEX(機器台帳!$G$2:$G$400,MATCH(1,INDEX((機器台帳!$A$2:$A$400="E24-S8-4")*((機器台帳!$B$2:$B$400="背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-4")*((機器台帳!$B$2:$B$400="背面")+(機器台帳!$B$2:$B$400="両面")&gt;0)*(機器台帳!$F$2:$F$400&lt;&gt;"")*(機器台帳!$C$2:$C$400&lt;=18)*(機器台帳!$C$2:$C$400+機器台帳!$D$2:$D$400-1&gt;=18),0),0)))&amp;IF(SUMPRODUCT((機器台帳!$A$2:$A$400="E24-S8-4")*((機器台帳!$B$2:$B$400="背面")+(機器台帳!$B$2:$B$400="両面")&gt;0)*(機器台帳!$F$2:$F$400&lt;&gt;"")*(機器台帳!$C$2:$C$400&lt;=18)*(機器台帳!$C$2:$C$400+機器台帳!$D$2:$D$400-1&gt;=18))&gt;1," 他"&amp;(SUMPRODUCT((機器台帳!$A$2:$A$400="E24-S8-4")*((機器台帳!$B$2:$B$400="背面")+(機器台帳!$B$2:$B$400="両面")&gt;0)*(機器台帳!$F$2:$F$400&lt;&gt;"")*(機器台帳!$C$2:$C$400&lt;=18)*(機器台帳!$C$2:$C$400+機器台帳!$D$2:$D$400-1&gt;=18))-1)&amp;"台",""))</f>
        <v/>
      </c>
      <c r="Q33">
        <f>IF(SUMPRODUCT((機器台帳!$A$2:$A$400="E24-S8-4")*((機器台帳!$B$2:$B$400="背面")+(機器台帳!$B$2:$B$400="両面")&gt;0)*(機器台帳!$F$2:$F$400&lt;&gt;"")*(機器台帳!$C$2:$C$400&lt;=18)*(機器台帳!$C$2:$C$400+機器台帳!$D$2:$D$400-1&gt;=18))=0,"",INDEX(機器台帳!$I$2:$I$400,MATCH(1,INDEX((機器台帳!$A$2:$A$400="E24-S8-4")*((機器台帳!$B$2:$B$400="背面")+(機器台帳!$B$2:$B$400="両面")&gt;0)*(機器台帳!$F$2:$F$400&lt;&gt;"")*(機器台帳!$C$2:$C$400&lt;=18)*(機器台帳!$C$2:$C$400+機器台帳!$D$2:$D$400-1&gt;=18),0),0))&amp;IF(INDEX(機器台帳!$Y$2:$Y$400,MATCH(1,INDEX((機器台帳!$A$2:$A$400="E24-S8-4")*((機器台帳!$B$2:$B$400="背面")+(機器台帳!$B$2:$B$400="両面")&gt;0)*(機器台帳!$F$2:$F$400&lt;&gt;"")*(機器台帳!$C$2:$C$400&lt;=18)*(機器台帳!$C$2:$C$400+機器台帳!$D$2:$D$400-1&gt;=18),0),0))=0,"|未記入",""))</f>
        <v/>
      </c>
      <c r="R33" s="12">
        <f>IF(SUMPRODUCT((機器台帳!$A$2:$A$400="E24-S8-5")*((機器台帳!$B$2:$B$400="前面")+(機器台帳!$B$2:$B$400="両面")&gt;0)*(機器台帳!$F$2:$F$400&lt;&gt;"")*(機器台帳!$C$2:$C$400&lt;=18)*(機器台帳!$C$2:$C$400+機器台帳!$D$2:$D$400-1&gt;=18))=0,"",INDEX(機器台帳!$F$2:$F$400,MATCH(1,INDEX((機器台帳!$A$2:$A$400="E24-S8-5")*((機器台帳!$B$2:$B$400="前面")+(機器台帳!$B$2:$B$400="両面")&gt;0)*(機器台帳!$F$2:$F$400&lt;&gt;"")*(機器台帳!$C$2:$C$400&lt;=18)*(機器台帳!$C$2:$C$400+機器台帳!$D$2:$D$400-1&gt;=18),0),0))&amp;IF(INDEX(機器台帳!$G$2:$G$400,MATCH(1,INDEX((機器台帳!$A$2:$A$400="E24-S8-5")*((機器台帳!$B$2:$B$400="前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-5")*((機器台帳!$B$2:$B$400="前面")+(機器台帳!$B$2:$B$400="両面")&gt;0)*(機器台帳!$F$2:$F$400&lt;&gt;"")*(機器台帳!$C$2:$C$400&lt;=18)*(機器台帳!$C$2:$C$400+機器台帳!$D$2:$D$400-1&gt;=18),0),0)))&amp;IF(SUMPRODUCT((機器台帳!$A$2:$A$400="E24-S8-5")*((機器台帳!$B$2:$B$400="前面")+(機器台帳!$B$2:$B$400="両面")&gt;0)*(機器台帳!$F$2:$F$400&lt;&gt;"")*(機器台帳!$C$2:$C$400&lt;=18)*(機器台帳!$C$2:$C$400+機器台帳!$D$2:$D$400-1&gt;=18))&gt;1," 他"&amp;(SUMPRODUCT((機器台帳!$A$2:$A$400="E24-S8-5")*((機器台帳!$B$2:$B$400="前面")+(機器台帳!$B$2:$B$400="両面")&gt;0)*(機器台帳!$F$2:$F$400&lt;&gt;"")*(機器台帳!$C$2:$C$400&lt;=18)*(機器台帳!$C$2:$C$400+機器台帳!$D$2:$D$400-1&gt;=18))-1)&amp;"台",""))</f>
        <v/>
      </c>
      <c r="S33">
        <f>IF(SUMPRODUCT((機器台帳!$A$2:$A$400="E24-S8-5")*((機器台帳!$B$2:$B$400="前面")+(機器台帳!$B$2:$B$400="両面")&gt;0)*(機器台帳!$F$2:$F$400&lt;&gt;"")*(機器台帳!$C$2:$C$400&lt;=18)*(機器台帳!$C$2:$C$400+機器台帳!$D$2:$D$400-1&gt;=18))=0,"",INDEX(機器台帳!$I$2:$I$400,MATCH(1,INDEX((機器台帳!$A$2:$A$400="E24-S8-5")*((機器台帳!$B$2:$B$400="前面")+(機器台帳!$B$2:$B$400="両面")&gt;0)*(機器台帳!$F$2:$F$400&lt;&gt;"")*(機器台帳!$C$2:$C$400&lt;=18)*(機器台帳!$C$2:$C$400+機器台帳!$D$2:$D$400-1&gt;=18),0),0))&amp;IF(INDEX(機器台帳!$Y$2:$Y$400,MATCH(1,INDEX((機器台帳!$A$2:$A$400="E24-S8-5")*((機器台帳!$B$2:$B$400="前面")+(機器台帳!$B$2:$B$400="両面")&gt;0)*(機器台帳!$F$2:$F$400&lt;&gt;"")*(機器台帳!$C$2:$C$400&lt;=18)*(機器台帳!$C$2:$C$400+機器台帳!$D$2:$D$400-1&gt;=18),0),0))=0,"|未記入",""))</f>
        <v/>
      </c>
      <c r="T33" s="12">
        <f>IF(SUMPRODUCT((機器台帳!$A$2:$A$400="E24-S8-5")*((機器台帳!$B$2:$B$400="背面")+(機器台帳!$B$2:$B$400="両面")&gt;0)*(機器台帳!$F$2:$F$400&lt;&gt;"")*(機器台帳!$C$2:$C$400&lt;=18)*(機器台帳!$C$2:$C$400+機器台帳!$D$2:$D$400-1&gt;=18))=0,"",INDEX(機器台帳!$F$2:$F$400,MATCH(1,INDEX((機器台帳!$A$2:$A$400="E24-S8-5")*((機器台帳!$B$2:$B$400="背面")+(機器台帳!$B$2:$B$400="両面")&gt;0)*(機器台帳!$F$2:$F$400&lt;&gt;"")*(機器台帳!$C$2:$C$400&lt;=18)*(機器台帳!$C$2:$C$400+機器台帳!$D$2:$D$400-1&gt;=18),0),0))&amp;IF(INDEX(機器台帳!$G$2:$G$400,MATCH(1,INDEX((機器台帳!$A$2:$A$400="E24-S8-5")*((機器台帳!$B$2:$B$400="背面")+(機器台帳!$B$2:$B$400="両面")&gt;0)*(機器台帳!$F$2:$F$400&lt;&gt;"")*(機器台帳!$C$2:$C$400&lt;=18)*(機器台帳!$C$2:$C$400+機器台帳!$D$2:$D$400-1&gt;=18),0),0))=""," "," "&amp;INDEX(機器台帳!$G$2:$G$400,MATCH(1,INDEX((機器台帳!$A$2:$A$400="E24-S8-5")*((機器台帳!$B$2:$B$400="背面")+(機器台帳!$B$2:$B$400="両面")&gt;0)*(機器台帳!$F$2:$F$400&lt;&gt;"")*(機器台帳!$C$2:$C$400&lt;=18)*(機器台帳!$C$2:$C$400+機器台帳!$D$2:$D$400-1&gt;=18),0),0)))&amp;IF(SUMPRODUCT((機器台帳!$A$2:$A$400="E24-S8-5")*((機器台帳!$B$2:$B$400="背面")+(機器台帳!$B$2:$B$400="両面")&gt;0)*(機器台帳!$F$2:$F$400&lt;&gt;"")*(機器台帳!$C$2:$C$400&lt;=18)*(機器台帳!$C$2:$C$400+機器台帳!$D$2:$D$400-1&gt;=18))&gt;1," 他"&amp;(SUMPRODUCT((機器台帳!$A$2:$A$400="E24-S8-5")*((機器台帳!$B$2:$B$400="背面")+(機器台帳!$B$2:$B$400="両面")&gt;0)*(機器台帳!$F$2:$F$400&lt;&gt;"")*(機器台帳!$C$2:$C$400&lt;=18)*(機器台帳!$C$2:$C$400+機器台帳!$D$2:$D$400-1&gt;=18))-1)&amp;"台",""))</f>
        <v/>
      </c>
      <c r="U33">
        <f>IF(SUMPRODUCT((機器台帳!$A$2:$A$400="E24-S8-5")*((機器台帳!$B$2:$B$400="背面")+(機器台帳!$B$2:$B$400="両面")&gt;0)*(機器台帳!$F$2:$F$400&lt;&gt;"")*(機器台帳!$C$2:$C$400&lt;=18)*(機器台帳!$C$2:$C$400+機器台帳!$D$2:$D$400-1&gt;=18))=0,"",INDEX(機器台帳!$I$2:$I$400,MATCH(1,INDEX((機器台帳!$A$2:$A$400="E24-S8-5")*((機器台帳!$B$2:$B$400="背面")+(機器台帳!$B$2:$B$400="両面")&gt;0)*(機器台帳!$F$2:$F$400&lt;&gt;"")*(機器台帳!$C$2:$C$400&lt;=18)*(機器台帳!$C$2:$C$400+機器台帳!$D$2:$D$400-1&gt;=18),0),0))&amp;IF(INDEX(機器台帳!$Y$2:$Y$400,MATCH(1,INDEX((機器台帳!$A$2:$A$400="E24-S8-5")*((機器台帳!$B$2:$B$400="背面")+(機器台帳!$B$2:$B$400="両面")&gt;0)*(機器台帳!$F$2:$F$400&lt;&gt;"")*(機器台帳!$C$2:$C$400&lt;=18)*(機器台帳!$C$2:$C$400+機器台帳!$D$2:$D$400-1&gt;=18),0),0))=0,"|未記入",""))</f>
        <v/>
      </c>
      <c r="V33" s="12">
        <f>IF(SUMPRODUCT((機器台帳!$A$2:$A$400="E24-S6-1")*((機器台帳!$B$2:$B$400="前面")+(機器台帳!$B$2:$B$400="両面")&gt;0)*(機器台帳!$F$2:$F$400&lt;&gt;"")*(機器台帳!$C$2:$C$400&lt;=18)*(機器台帳!$C$2:$C$400+機器台帳!$D$2:$D$400-1&gt;=18))=0,"",INDEX(機器台帳!$F$2:$F$400,MATCH(1,INDEX((機器台帳!$A$2:$A$400="E24-S6-1")*((機器台帳!$B$2:$B$400="前面")+(機器台帳!$B$2:$B$400="両面")&gt;0)*(機器台帳!$F$2:$F$400&lt;&gt;"")*(機器台帳!$C$2:$C$400&lt;=18)*(機器台帳!$C$2:$C$400+機器台帳!$D$2:$D$400-1&gt;=18),0),0))&amp;IF(INDEX(機器台帳!$G$2:$G$400,MATCH(1,INDEX((機器台帳!$A$2:$A$400="E24-S6-1")*((機器台帳!$B$2:$B$400="前面")+(機器台帳!$B$2:$B$400="両面")&gt;0)*(機器台帳!$F$2:$F$400&lt;&gt;"")*(機器台帳!$C$2:$C$400&lt;=18)*(機器台帳!$C$2:$C$400+機器台帳!$D$2:$D$400-1&gt;=18),0),0))=""," "," "&amp;INDEX(機器台帳!$G$2:$G$400,MATCH(1,INDEX((機器台帳!$A$2:$A$400="E24-S6-1")*((機器台帳!$B$2:$B$400="前面")+(機器台帳!$B$2:$B$400="両面")&gt;0)*(機器台帳!$F$2:$F$400&lt;&gt;"")*(機器台帳!$C$2:$C$400&lt;=18)*(機器台帳!$C$2:$C$400+機器台帳!$D$2:$D$400-1&gt;=18),0),0)))&amp;IF(SUMPRODUCT((機器台帳!$A$2:$A$400="E24-S6-1")*((機器台帳!$B$2:$B$400="前面")+(機器台帳!$B$2:$B$400="両面")&gt;0)*(機器台帳!$F$2:$F$400&lt;&gt;"")*(機器台帳!$C$2:$C$400&lt;=18)*(機器台帳!$C$2:$C$400+機器台帳!$D$2:$D$400-1&gt;=18))&gt;1," 他"&amp;(SUMPRODUCT((機器台帳!$A$2:$A$400="E24-S6-1")*((機器台帳!$B$2:$B$400="前面")+(機器台帳!$B$2:$B$400="両面")&gt;0)*(機器台帳!$F$2:$F$400&lt;&gt;"")*(機器台帳!$C$2:$C$400&lt;=18)*(機器台帳!$C$2:$C$400+機器台帳!$D$2:$D$400-1&gt;=18))-1)&amp;"台",""))</f>
        <v/>
      </c>
      <c r="W33">
        <f>IF(SUMPRODUCT((機器台帳!$A$2:$A$400="E24-S6-1")*((機器台帳!$B$2:$B$400="前面")+(機器台帳!$B$2:$B$400="両面")&gt;0)*(機器台帳!$F$2:$F$400&lt;&gt;"")*(機器台帳!$C$2:$C$400&lt;=18)*(機器台帳!$C$2:$C$400+機器台帳!$D$2:$D$400-1&gt;=18))=0,"",INDEX(機器台帳!$I$2:$I$400,MATCH(1,INDEX((機器台帳!$A$2:$A$400="E24-S6-1")*((機器台帳!$B$2:$B$400="前面")+(機器台帳!$B$2:$B$400="両面")&gt;0)*(機器台帳!$F$2:$F$400&lt;&gt;"")*(機器台帳!$C$2:$C$400&lt;=18)*(機器台帳!$C$2:$C$400+機器台帳!$D$2:$D$400-1&gt;=18),0),0))&amp;IF(INDEX(機器台帳!$Y$2:$Y$400,MATCH(1,INDEX((機器台帳!$A$2:$A$400="E24-S6-1")*((機器台帳!$B$2:$B$400="前面")+(機器台帳!$B$2:$B$400="両面")&gt;0)*(機器台帳!$F$2:$F$400&lt;&gt;"")*(機器台帳!$C$2:$C$400&lt;=18)*(機器台帳!$C$2:$C$400+機器台帳!$D$2:$D$400-1&gt;=18),0),0))=0,"|未記入",""))</f>
        <v/>
      </c>
      <c r="X33" s="12">
        <f>IF(SUMPRODUCT((機器台帳!$A$2:$A$400="E24-S6-1")*((機器台帳!$B$2:$B$400="背面")+(機器台帳!$B$2:$B$400="両面")&gt;0)*(機器台帳!$F$2:$F$400&lt;&gt;"")*(機器台帳!$C$2:$C$400&lt;=18)*(機器台帳!$C$2:$C$400+機器台帳!$D$2:$D$400-1&gt;=18))=0,"",INDEX(機器台帳!$F$2:$F$400,MATCH(1,INDEX((機器台帳!$A$2:$A$400="E24-S6-1")*((機器台帳!$B$2:$B$400="背面")+(機器台帳!$B$2:$B$400="両面")&gt;0)*(機器台帳!$F$2:$F$400&lt;&gt;"")*(機器台帳!$C$2:$C$400&lt;=18)*(機器台帳!$C$2:$C$400+機器台帳!$D$2:$D$400-1&gt;=18),0),0))&amp;IF(INDEX(機器台帳!$G$2:$G$400,MATCH(1,INDEX((機器台帳!$A$2:$A$400="E24-S6-1")*((機器台帳!$B$2:$B$400="背面")+(機器台帳!$B$2:$B$400="両面")&gt;0)*(機器台帳!$F$2:$F$400&lt;&gt;"")*(機器台帳!$C$2:$C$400&lt;=18)*(機器台帳!$C$2:$C$400+機器台帳!$D$2:$D$400-1&gt;=18),0),0))=""," "," "&amp;INDEX(機器台帳!$G$2:$G$400,MATCH(1,INDEX((機器台帳!$A$2:$A$400="E24-S6-1")*((機器台帳!$B$2:$B$400="背面")+(機器台帳!$B$2:$B$400="両面")&gt;0)*(機器台帳!$F$2:$F$400&lt;&gt;"")*(機器台帳!$C$2:$C$400&lt;=18)*(機器台帳!$C$2:$C$400+機器台帳!$D$2:$D$400-1&gt;=18),0),0)))&amp;IF(SUMPRODUCT((機器台帳!$A$2:$A$400="E24-S6-1")*((機器台帳!$B$2:$B$400="背面")+(機器台帳!$B$2:$B$400="両面")&gt;0)*(機器台帳!$F$2:$F$400&lt;&gt;"")*(機器台帳!$C$2:$C$400&lt;=18)*(機器台帳!$C$2:$C$400+機器台帳!$D$2:$D$400-1&gt;=18))&gt;1," 他"&amp;(SUMPRODUCT((機器台帳!$A$2:$A$400="E24-S6-1")*((機器台帳!$B$2:$B$400="背面")+(機器台帳!$B$2:$B$400="両面")&gt;0)*(機器台帳!$F$2:$F$400&lt;&gt;"")*(機器台帳!$C$2:$C$400&lt;=18)*(機器台帳!$C$2:$C$400+機器台帳!$D$2:$D$400-1&gt;=18))-1)&amp;"台",""))</f>
        <v/>
      </c>
      <c r="Y33">
        <f>IF(SUMPRODUCT((機器台帳!$A$2:$A$400="E24-S6-1")*((機器台帳!$B$2:$B$400="背面")+(機器台帳!$B$2:$B$400="両面")&gt;0)*(機器台帳!$F$2:$F$400&lt;&gt;"")*(機器台帳!$C$2:$C$400&lt;=18)*(機器台帳!$C$2:$C$400+機器台帳!$D$2:$D$400-1&gt;=18))=0,"",INDEX(機器台帳!$I$2:$I$400,MATCH(1,INDEX((機器台帳!$A$2:$A$400="E24-S6-1")*((機器台帳!$B$2:$B$400="背面")+(機器台帳!$B$2:$B$400="両面")&gt;0)*(機器台帳!$F$2:$F$400&lt;&gt;"")*(機器台帳!$C$2:$C$400&lt;=18)*(機器台帳!$C$2:$C$400+機器台帳!$D$2:$D$400-1&gt;=18),0),0))&amp;IF(INDEX(機器台帳!$Y$2:$Y$400,MATCH(1,INDEX((機器台帳!$A$2:$A$400="E24-S6-1")*((機器台帳!$B$2:$B$400="背面")+(機器台帳!$B$2:$B$400="両面")&gt;0)*(機器台帳!$F$2:$F$400&lt;&gt;"")*(機器台帳!$C$2:$C$400&lt;=18)*(機器台帳!$C$2:$C$400+機器台帳!$D$2:$D$400-1&gt;=18),0),0))=0,"|未記入",""))</f>
        <v/>
      </c>
    </row>
    <row r="34">
      <c r="A34" s="11" t="n">
        <v>17</v>
      </c>
      <c r="B34" s="12">
        <f>IF(SUMPRODUCT((機器台帳!$A$2:$A$400="E24-S8-1")*((機器台帳!$B$2:$B$400="前面")+(機器台帳!$B$2:$B$400="両面")&gt;0)*(機器台帳!$F$2:$F$400&lt;&gt;"")*(機器台帳!$C$2:$C$400&lt;=17)*(機器台帳!$C$2:$C$400+機器台帳!$D$2:$D$400-1&gt;=17))=0,"",INDEX(機器台帳!$F$2:$F$400,MATCH(1,INDEX((機器台帳!$A$2:$A$400="E24-S8-1")*((機器台帳!$B$2:$B$400="前面")+(機器台帳!$B$2:$B$400="両面")&gt;0)*(機器台帳!$F$2:$F$400&lt;&gt;"")*(機器台帳!$C$2:$C$400&lt;=17)*(機器台帳!$C$2:$C$400+機器台帳!$D$2:$D$400-1&gt;=17),0),0))&amp;IF(INDEX(機器台帳!$G$2:$G$400,MATCH(1,INDEX((機器台帳!$A$2:$A$400="E24-S8-1")*((機器台帳!$B$2:$B$400="前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-1")*((機器台帳!$B$2:$B$400="前面")+(機器台帳!$B$2:$B$400="両面")&gt;0)*(機器台帳!$F$2:$F$400&lt;&gt;"")*(機器台帳!$C$2:$C$400&lt;=17)*(機器台帳!$C$2:$C$400+機器台帳!$D$2:$D$400-1&gt;=17),0),0)))&amp;IF(SUMPRODUCT((機器台帳!$A$2:$A$400="E24-S8-1")*((機器台帳!$B$2:$B$400="前面")+(機器台帳!$B$2:$B$400="両面")&gt;0)*(機器台帳!$F$2:$F$400&lt;&gt;"")*(機器台帳!$C$2:$C$400&lt;=17)*(機器台帳!$C$2:$C$400+機器台帳!$D$2:$D$400-1&gt;=17))&gt;1," 他"&amp;(SUMPRODUCT((機器台帳!$A$2:$A$400="E24-S8-1")*((機器台帳!$B$2:$B$400="前面")+(機器台帳!$B$2:$B$400="両面")&gt;0)*(機器台帳!$F$2:$F$400&lt;&gt;"")*(機器台帳!$C$2:$C$400&lt;=17)*(機器台帳!$C$2:$C$400+機器台帳!$D$2:$D$400-1&gt;=17))-1)&amp;"台",""))</f>
        <v/>
      </c>
      <c r="C34">
        <f>IF(SUMPRODUCT((機器台帳!$A$2:$A$400="E24-S8-1")*((機器台帳!$B$2:$B$400="前面")+(機器台帳!$B$2:$B$400="両面")&gt;0)*(機器台帳!$F$2:$F$400&lt;&gt;"")*(機器台帳!$C$2:$C$400&lt;=17)*(機器台帳!$C$2:$C$400+機器台帳!$D$2:$D$400-1&gt;=17))=0,"",INDEX(機器台帳!$I$2:$I$400,MATCH(1,INDEX((機器台帳!$A$2:$A$400="E24-S8-1")*((機器台帳!$B$2:$B$400="前面")+(機器台帳!$B$2:$B$400="両面")&gt;0)*(機器台帳!$F$2:$F$400&lt;&gt;"")*(機器台帳!$C$2:$C$400&lt;=17)*(機器台帳!$C$2:$C$400+機器台帳!$D$2:$D$400-1&gt;=17),0),0))&amp;IF(INDEX(機器台帳!$Y$2:$Y$400,MATCH(1,INDEX((機器台帳!$A$2:$A$400="E24-S8-1")*((機器台帳!$B$2:$B$400="前面")+(機器台帳!$B$2:$B$400="両面")&gt;0)*(機器台帳!$F$2:$F$400&lt;&gt;"")*(機器台帳!$C$2:$C$400&lt;=17)*(機器台帳!$C$2:$C$400+機器台帳!$D$2:$D$400-1&gt;=17),0),0))=0,"|未記入",""))</f>
        <v/>
      </c>
      <c r="D34" s="12">
        <f>IF(SUMPRODUCT((機器台帳!$A$2:$A$400="E24-S8-1")*((機器台帳!$B$2:$B$400="背面")+(機器台帳!$B$2:$B$400="両面")&gt;0)*(機器台帳!$F$2:$F$400&lt;&gt;"")*(機器台帳!$C$2:$C$400&lt;=17)*(機器台帳!$C$2:$C$400+機器台帳!$D$2:$D$400-1&gt;=17))=0,"",INDEX(機器台帳!$F$2:$F$400,MATCH(1,INDEX((機器台帳!$A$2:$A$400="E24-S8-1")*((機器台帳!$B$2:$B$400="背面")+(機器台帳!$B$2:$B$400="両面")&gt;0)*(機器台帳!$F$2:$F$400&lt;&gt;"")*(機器台帳!$C$2:$C$400&lt;=17)*(機器台帳!$C$2:$C$400+機器台帳!$D$2:$D$400-1&gt;=17),0),0))&amp;IF(INDEX(機器台帳!$G$2:$G$400,MATCH(1,INDEX((機器台帳!$A$2:$A$400="E24-S8-1")*((機器台帳!$B$2:$B$400="背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-1")*((機器台帳!$B$2:$B$400="背面")+(機器台帳!$B$2:$B$400="両面")&gt;0)*(機器台帳!$F$2:$F$400&lt;&gt;"")*(機器台帳!$C$2:$C$400&lt;=17)*(機器台帳!$C$2:$C$400+機器台帳!$D$2:$D$400-1&gt;=17),0),0)))&amp;IF(SUMPRODUCT((機器台帳!$A$2:$A$400="E24-S8-1")*((機器台帳!$B$2:$B$400="背面")+(機器台帳!$B$2:$B$400="両面")&gt;0)*(機器台帳!$F$2:$F$400&lt;&gt;"")*(機器台帳!$C$2:$C$400&lt;=17)*(機器台帳!$C$2:$C$400+機器台帳!$D$2:$D$400-1&gt;=17))&gt;1," 他"&amp;(SUMPRODUCT((機器台帳!$A$2:$A$400="E24-S8-1")*((機器台帳!$B$2:$B$400="背面")+(機器台帳!$B$2:$B$400="両面")&gt;0)*(機器台帳!$F$2:$F$400&lt;&gt;"")*(機器台帳!$C$2:$C$400&lt;=17)*(機器台帳!$C$2:$C$400+機器台帳!$D$2:$D$400-1&gt;=17))-1)&amp;"台",""))</f>
        <v/>
      </c>
      <c r="E34">
        <f>IF(SUMPRODUCT((機器台帳!$A$2:$A$400="E24-S8-1")*((機器台帳!$B$2:$B$400="背面")+(機器台帳!$B$2:$B$400="両面")&gt;0)*(機器台帳!$F$2:$F$400&lt;&gt;"")*(機器台帳!$C$2:$C$400&lt;=17)*(機器台帳!$C$2:$C$400+機器台帳!$D$2:$D$400-1&gt;=17))=0,"",INDEX(機器台帳!$I$2:$I$400,MATCH(1,INDEX((機器台帳!$A$2:$A$400="E24-S8-1")*((機器台帳!$B$2:$B$400="背面")+(機器台帳!$B$2:$B$400="両面")&gt;0)*(機器台帳!$F$2:$F$400&lt;&gt;"")*(機器台帳!$C$2:$C$400&lt;=17)*(機器台帳!$C$2:$C$400+機器台帳!$D$2:$D$400-1&gt;=17),0),0))&amp;IF(INDEX(機器台帳!$Y$2:$Y$400,MATCH(1,INDEX((機器台帳!$A$2:$A$400="E24-S8-1")*((機器台帳!$B$2:$B$400="背面")+(機器台帳!$B$2:$B$400="両面")&gt;0)*(機器台帳!$F$2:$F$400&lt;&gt;"")*(機器台帳!$C$2:$C$400&lt;=17)*(機器台帳!$C$2:$C$400+機器台帳!$D$2:$D$400-1&gt;=17),0),0))=0,"|未記入",""))</f>
        <v/>
      </c>
      <c r="F34" s="12">
        <f>IF(SUMPRODUCT((機器台帳!$A$2:$A$400="E24-S8-2")*((機器台帳!$B$2:$B$400="前面")+(機器台帳!$B$2:$B$400="両面")&gt;0)*(機器台帳!$F$2:$F$400&lt;&gt;"")*(機器台帳!$C$2:$C$400&lt;=17)*(機器台帳!$C$2:$C$400+機器台帳!$D$2:$D$400-1&gt;=17))=0,"",INDEX(機器台帳!$F$2:$F$400,MATCH(1,INDEX((機器台帳!$A$2:$A$400="E24-S8-2")*((機器台帳!$B$2:$B$400="前面")+(機器台帳!$B$2:$B$400="両面")&gt;0)*(機器台帳!$F$2:$F$400&lt;&gt;"")*(機器台帳!$C$2:$C$400&lt;=17)*(機器台帳!$C$2:$C$400+機器台帳!$D$2:$D$400-1&gt;=17),0),0))&amp;IF(INDEX(機器台帳!$G$2:$G$400,MATCH(1,INDEX((機器台帳!$A$2:$A$400="E24-S8-2")*((機器台帳!$B$2:$B$400="前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-2")*((機器台帳!$B$2:$B$400="前面")+(機器台帳!$B$2:$B$400="両面")&gt;0)*(機器台帳!$F$2:$F$400&lt;&gt;"")*(機器台帳!$C$2:$C$400&lt;=17)*(機器台帳!$C$2:$C$400+機器台帳!$D$2:$D$400-1&gt;=17),0),0)))&amp;IF(SUMPRODUCT((機器台帳!$A$2:$A$400="E24-S8-2")*((機器台帳!$B$2:$B$400="前面")+(機器台帳!$B$2:$B$400="両面")&gt;0)*(機器台帳!$F$2:$F$400&lt;&gt;"")*(機器台帳!$C$2:$C$400&lt;=17)*(機器台帳!$C$2:$C$400+機器台帳!$D$2:$D$400-1&gt;=17))&gt;1," 他"&amp;(SUMPRODUCT((機器台帳!$A$2:$A$400="E24-S8-2")*((機器台帳!$B$2:$B$400="前面")+(機器台帳!$B$2:$B$400="両面")&gt;0)*(機器台帳!$F$2:$F$400&lt;&gt;"")*(機器台帳!$C$2:$C$400&lt;=17)*(機器台帳!$C$2:$C$400+機器台帳!$D$2:$D$400-1&gt;=17))-1)&amp;"台",""))</f>
        <v/>
      </c>
      <c r="G34">
        <f>IF(SUMPRODUCT((機器台帳!$A$2:$A$400="E24-S8-2")*((機器台帳!$B$2:$B$400="前面")+(機器台帳!$B$2:$B$400="両面")&gt;0)*(機器台帳!$F$2:$F$400&lt;&gt;"")*(機器台帳!$C$2:$C$400&lt;=17)*(機器台帳!$C$2:$C$400+機器台帳!$D$2:$D$400-1&gt;=17))=0,"",INDEX(機器台帳!$I$2:$I$400,MATCH(1,INDEX((機器台帳!$A$2:$A$400="E24-S8-2")*((機器台帳!$B$2:$B$400="前面")+(機器台帳!$B$2:$B$400="両面")&gt;0)*(機器台帳!$F$2:$F$400&lt;&gt;"")*(機器台帳!$C$2:$C$400&lt;=17)*(機器台帳!$C$2:$C$400+機器台帳!$D$2:$D$400-1&gt;=17),0),0))&amp;IF(INDEX(機器台帳!$Y$2:$Y$400,MATCH(1,INDEX((機器台帳!$A$2:$A$400="E24-S8-2")*((機器台帳!$B$2:$B$400="前面")+(機器台帳!$B$2:$B$400="両面")&gt;0)*(機器台帳!$F$2:$F$400&lt;&gt;"")*(機器台帳!$C$2:$C$400&lt;=17)*(機器台帳!$C$2:$C$400+機器台帳!$D$2:$D$400-1&gt;=17),0),0))=0,"|未記入",""))</f>
        <v/>
      </c>
      <c r="H34" s="12">
        <f>IF(SUMPRODUCT((機器台帳!$A$2:$A$400="E24-S8-2")*((機器台帳!$B$2:$B$400="背面")+(機器台帳!$B$2:$B$400="両面")&gt;0)*(機器台帳!$F$2:$F$400&lt;&gt;"")*(機器台帳!$C$2:$C$400&lt;=17)*(機器台帳!$C$2:$C$400+機器台帳!$D$2:$D$400-1&gt;=17))=0,"",INDEX(機器台帳!$F$2:$F$400,MATCH(1,INDEX((機器台帳!$A$2:$A$400="E24-S8-2")*((機器台帳!$B$2:$B$400="背面")+(機器台帳!$B$2:$B$400="両面")&gt;0)*(機器台帳!$F$2:$F$400&lt;&gt;"")*(機器台帳!$C$2:$C$400&lt;=17)*(機器台帳!$C$2:$C$400+機器台帳!$D$2:$D$400-1&gt;=17),0),0))&amp;IF(INDEX(機器台帳!$G$2:$G$400,MATCH(1,INDEX((機器台帳!$A$2:$A$400="E24-S8-2")*((機器台帳!$B$2:$B$400="背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-2")*((機器台帳!$B$2:$B$400="背面")+(機器台帳!$B$2:$B$400="両面")&gt;0)*(機器台帳!$F$2:$F$400&lt;&gt;"")*(機器台帳!$C$2:$C$400&lt;=17)*(機器台帳!$C$2:$C$400+機器台帳!$D$2:$D$400-1&gt;=17),0),0)))&amp;IF(SUMPRODUCT((機器台帳!$A$2:$A$400="E24-S8-2")*((機器台帳!$B$2:$B$400="背面")+(機器台帳!$B$2:$B$400="両面")&gt;0)*(機器台帳!$F$2:$F$400&lt;&gt;"")*(機器台帳!$C$2:$C$400&lt;=17)*(機器台帳!$C$2:$C$400+機器台帳!$D$2:$D$400-1&gt;=17))&gt;1," 他"&amp;(SUMPRODUCT((機器台帳!$A$2:$A$400="E24-S8-2")*((機器台帳!$B$2:$B$400="背面")+(機器台帳!$B$2:$B$400="両面")&gt;0)*(機器台帳!$F$2:$F$400&lt;&gt;"")*(機器台帳!$C$2:$C$400&lt;=17)*(機器台帳!$C$2:$C$400+機器台帳!$D$2:$D$400-1&gt;=17))-1)&amp;"台",""))</f>
        <v/>
      </c>
      <c r="I34">
        <f>IF(SUMPRODUCT((機器台帳!$A$2:$A$400="E24-S8-2")*((機器台帳!$B$2:$B$400="背面")+(機器台帳!$B$2:$B$400="両面")&gt;0)*(機器台帳!$F$2:$F$400&lt;&gt;"")*(機器台帳!$C$2:$C$400&lt;=17)*(機器台帳!$C$2:$C$400+機器台帳!$D$2:$D$400-1&gt;=17))=0,"",INDEX(機器台帳!$I$2:$I$400,MATCH(1,INDEX((機器台帳!$A$2:$A$400="E24-S8-2")*((機器台帳!$B$2:$B$400="背面")+(機器台帳!$B$2:$B$400="両面")&gt;0)*(機器台帳!$F$2:$F$400&lt;&gt;"")*(機器台帳!$C$2:$C$400&lt;=17)*(機器台帳!$C$2:$C$400+機器台帳!$D$2:$D$400-1&gt;=17),0),0))&amp;IF(INDEX(機器台帳!$Y$2:$Y$400,MATCH(1,INDEX((機器台帳!$A$2:$A$400="E24-S8-2")*((機器台帳!$B$2:$B$400="背面")+(機器台帳!$B$2:$B$400="両面")&gt;0)*(機器台帳!$F$2:$F$400&lt;&gt;"")*(機器台帳!$C$2:$C$400&lt;=17)*(機器台帳!$C$2:$C$400+機器台帳!$D$2:$D$400-1&gt;=17),0),0))=0,"|未記入",""))</f>
        <v/>
      </c>
      <c r="J34" s="12">
        <f>IF(SUMPRODUCT((機器台帳!$A$2:$A$400="E24-S8-3")*((機器台帳!$B$2:$B$400="前面")+(機器台帳!$B$2:$B$400="両面")&gt;0)*(機器台帳!$F$2:$F$400&lt;&gt;"")*(機器台帳!$C$2:$C$400&lt;=17)*(機器台帳!$C$2:$C$400+機器台帳!$D$2:$D$400-1&gt;=17))=0,"",INDEX(機器台帳!$F$2:$F$400,MATCH(1,INDEX((機器台帳!$A$2:$A$400="E24-S8-3")*((機器台帳!$B$2:$B$400="前面")+(機器台帳!$B$2:$B$400="両面")&gt;0)*(機器台帳!$F$2:$F$400&lt;&gt;"")*(機器台帳!$C$2:$C$400&lt;=17)*(機器台帳!$C$2:$C$400+機器台帳!$D$2:$D$400-1&gt;=17),0),0))&amp;IF(INDEX(機器台帳!$G$2:$G$400,MATCH(1,INDEX((機器台帳!$A$2:$A$400="E24-S8-3")*((機器台帳!$B$2:$B$400="前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-3")*((機器台帳!$B$2:$B$400="前面")+(機器台帳!$B$2:$B$400="両面")&gt;0)*(機器台帳!$F$2:$F$400&lt;&gt;"")*(機器台帳!$C$2:$C$400&lt;=17)*(機器台帳!$C$2:$C$400+機器台帳!$D$2:$D$400-1&gt;=17),0),0)))&amp;IF(SUMPRODUCT((機器台帳!$A$2:$A$400="E24-S8-3")*((機器台帳!$B$2:$B$400="前面")+(機器台帳!$B$2:$B$400="両面")&gt;0)*(機器台帳!$F$2:$F$400&lt;&gt;"")*(機器台帳!$C$2:$C$400&lt;=17)*(機器台帳!$C$2:$C$400+機器台帳!$D$2:$D$400-1&gt;=17))&gt;1," 他"&amp;(SUMPRODUCT((機器台帳!$A$2:$A$400="E24-S8-3")*((機器台帳!$B$2:$B$400="前面")+(機器台帳!$B$2:$B$400="両面")&gt;0)*(機器台帳!$F$2:$F$400&lt;&gt;"")*(機器台帳!$C$2:$C$400&lt;=17)*(機器台帳!$C$2:$C$400+機器台帳!$D$2:$D$400-1&gt;=17))-1)&amp;"台",""))</f>
        <v/>
      </c>
      <c r="K34">
        <f>IF(SUMPRODUCT((機器台帳!$A$2:$A$400="E24-S8-3")*((機器台帳!$B$2:$B$400="前面")+(機器台帳!$B$2:$B$400="両面")&gt;0)*(機器台帳!$F$2:$F$400&lt;&gt;"")*(機器台帳!$C$2:$C$400&lt;=17)*(機器台帳!$C$2:$C$400+機器台帳!$D$2:$D$400-1&gt;=17))=0,"",INDEX(機器台帳!$I$2:$I$400,MATCH(1,INDEX((機器台帳!$A$2:$A$400="E24-S8-3")*((機器台帳!$B$2:$B$400="前面")+(機器台帳!$B$2:$B$400="両面")&gt;0)*(機器台帳!$F$2:$F$400&lt;&gt;"")*(機器台帳!$C$2:$C$400&lt;=17)*(機器台帳!$C$2:$C$400+機器台帳!$D$2:$D$400-1&gt;=17),0),0))&amp;IF(INDEX(機器台帳!$Y$2:$Y$400,MATCH(1,INDEX((機器台帳!$A$2:$A$400="E24-S8-3")*((機器台帳!$B$2:$B$400="前面")+(機器台帳!$B$2:$B$400="両面")&gt;0)*(機器台帳!$F$2:$F$400&lt;&gt;"")*(機器台帳!$C$2:$C$400&lt;=17)*(機器台帳!$C$2:$C$400+機器台帳!$D$2:$D$400-1&gt;=17),0),0))=0,"|未記入",""))</f>
        <v/>
      </c>
      <c r="L34" s="12">
        <f>IF(SUMPRODUCT((機器台帳!$A$2:$A$400="E24-S8-3")*((機器台帳!$B$2:$B$400="背面")+(機器台帳!$B$2:$B$400="両面")&gt;0)*(機器台帳!$F$2:$F$400&lt;&gt;"")*(機器台帳!$C$2:$C$400&lt;=17)*(機器台帳!$C$2:$C$400+機器台帳!$D$2:$D$400-1&gt;=17))=0,"",INDEX(機器台帳!$F$2:$F$400,MATCH(1,INDEX((機器台帳!$A$2:$A$400="E24-S8-3")*((機器台帳!$B$2:$B$400="背面")+(機器台帳!$B$2:$B$400="両面")&gt;0)*(機器台帳!$F$2:$F$400&lt;&gt;"")*(機器台帳!$C$2:$C$400&lt;=17)*(機器台帳!$C$2:$C$400+機器台帳!$D$2:$D$400-1&gt;=17),0),0))&amp;IF(INDEX(機器台帳!$G$2:$G$400,MATCH(1,INDEX((機器台帳!$A$2:$A$400="E24-S8-3")*((機器台帳!$B$2:$B$400="背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-3")*((機器台帳!$B$2:$B$400="背面")+(機器台帳!$B$2:$B$400="両面")&gt;0)*(機器台帳!$F$2:$F$400&lt;&gt;"")*(機器台帳!$C$2:$C$400&lt;=17)*(機器台帳!$C$2:$C$400+機器台帳!$D$2:$D$400-1&gt;=17),0),0)))&amp;IF(SUMPRODUCT((機器台帳!$A$2:$A$400="E24-S8-3")*((機器台帳!$B$2:$B$400="背面")+(機器台帳!$B$2:$B$400="両面")&gt;0)*(機器台帳!$F$2:$F$400&lt;&gt;"")*(機器台帳!$C$2:$C$400&lt;=17)*(機器台帳!$C$2:$C$400+機器台帳!$D$2:$D$400-1&gt;=17))&gt;1," 他"&amp;(SUMPRODUCT((機器台帳!$A$2:$A$400="E24-S8-3")*((機器台帳!$B$2:$B$400="背面")+(機器台帳!$B$2:$B$400="両面")&gt;0)*(機器台帳!$F$2:$F$400&lt;&gt;"")*(機器台帳!$C$2:$C$400&lt;=17)*(機器台帳!$C$2:$C$400+機器台帳!$D$2:$D$400-1&gt;=17))-1)&amp;"台",""))</f>
        <v/>
      </c>
      <c r="M34">
        <f>IF(SUMPRODUCT((機器台帳!$A$2:$A$400="E24-S8-3")*((機器台帳!$B$2:$B$400="背面")+(機器台帳!$B$2:$B$400="両面")&gt;0)*(機器台帳!$F$2:$F$400&lt;&gt;"")*(機器台帳!$C$2:$C$400&lt;=17)*(機器台帳!$C$2:$C$400+機器台帳!$D$2:$D$400-1&gt;=17))=0,"",INDEX(機器台帳!$I$2:$I$400,MATCH(1,INDEX((機器台帳!$A$2:$A$400="E24-S8-3")*((機器台帳!$B$2:$B$400="背面")+(機器台帳!$B$2:$B$400="両面")&gt;0)*(機器台帳!$F$2:$F$400&lt;&gt;"")*(機器台帳!$C$2:$C$400&lt;=17)*(機器台帳!$C$2:$C$400+機器台帳!$D$2:$D$400-1&gt;=17),0),0))&amp;IF(INDEX(機器台帳!$Y$2:$Y$400,MATCH(1,INDEX((機器台帳!$A$2:$A$400="E24-S8-3")*((機器台帳!$B$2:$B$400="背面")+(機器台帳!$B$2:$B$400="両面")&gt;0)*(機器台帳!$F$2:$F$400&lt;&gt;"")*(機器台帳!$C$2:$C$400&lt;=17)*(機器台帳!$C$2:$C$400+機器台帳!$D$2:$D$400-1&gt;=17),0),0))=0,"|未記入",""))</f>
        <v/>
      </c>
      <c r="N34" s="12">
        <f>IF(SUMPRODUCT((機器台帳!$A$2:$A$400="E24-S8-4")*((機器台帳!$B$2:$B$400="前面")+(機器台帳!$B$2:$B$400="両面")&gt;0)*(機器台帳!$F$2:$F$400&lt;&gt;"")*(機器台帳!$C$2:$C$400&lt;=17)*(機器台帳!$C$2:$C$400+機器台帳!$D$2:$D$400-1&gt;=17))=0,"",INDEX(機器台帳!$F$2:$F$400,MATCH(1,INDEX((機器台帳!$A$2:$A$400="E24-S8-4")*((機器台帳!$B$2:$B$400="前面")+(機器台帳!$B$2:$B$400="両面")&gt;0)*(機器台帳!$F$2:$F$400&lt;&gt;"")*(機器台帳!$C$2:$C$400&lt;=17)*(機器台帳!$C$2:$C$400+機器台帳!$D$2:$D$400-1&gt;=17),0),0))&amp;IF(INDEX(機器台帳!$G$2:$G$400,MATCH(1,INDEX((機器台帳!$A$2:$A$400="E24-S8-4")*((機器台帳!$B$2:$B$400="前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-4")*((機器台帳!$B$2:$B$400="前面")+(機器台帳!$B$2:$B$400="両面")&gt;0)*(機器台帳!$F$2:$F$400&lt;&gt;"")*(機器台帳!$C$2:$C$400&lt;=17)*(機器台帳!$C$2:$C$400+機器台帳!$D$2:$D$400-1&gt;=17),0),0)))&amp;IF(SUMPRODUCT((機器台帳!$A$2:$A$400="E24-S8-4")*((機器台帳!$B$2:$B$400="前面")+(機器台帳!$B$2:$B$400="両面")&gt;0)*(機器台帳!$F$2:$F$400&lt;&gt;"")*(機器台帳!$C$2:$C$400&lt;=17)*(機器台帳!$C$2:$C$400+機器台帳!$D$2:$D$400-1&gt;=17))&gt;1," 他"&amp;(SUMPRODUCT((機器台帳!$A$2:$A$400="E24-S8-4")*((機器台帳!$B$2:$B$400="前面")+(機器台帳!$B$2:$B$400="両面")&gt;0)*(機器台帳!$F$2:$F$400&lt;&gt;"")*(機器台帳!$C$2:$C$400&lt;=17)*(機器台帳!$C$2:$C$400+機器台帳!$D$2:$D$400-1&gt;=17))-1)&amp;"台",""))</f>
        <v/>
      </c>
      <c r="O34">
        <f>IF(SUMPRODUCT((機器台帳!$A$2:$A$400="E24-S8-4")*((機器台帳!$B$2:$B$400="前面")+(機器台帳!$B$2:$B$400="両面")&gt;0)*(機器台帳!$F$2:$F$400&lt;&gt;"")*(機器台帳!$C$2:$C$400&lt;=17)*(機器台帳!$C$2:$C$400+機器台帳!$D$2:$D$400-1&gt;=17))=0,"",INDEX(機器台帳!$I$2:$I$400,MATCH(1,INDEX((機器台帳!$A$2:$A$400="E24-S8-4")*((機器台帳!$B$2:$B$400="前面")+(機器台帳!$B$2:$B$400="両面")&gt;0)*(機器台帳!$F$2:$F$400&lt;&gt;"")*(機器台帳!$C$2:$C$400&lt;=17)*(機器台帳!$C$2:$C$400+機器台帳!$D$2:$D$400-1&gt;=17),0),0))&amp;IF(INDEX(機器台帳!$Y$2:$Y$400,MATCH(1,INDEX((機器台帳!$A$2:$A$400="E24-S8-4")*((機器台帳!$B$2:$B$400="前面")+(機器台帳!$B$2:$B$400="両面")&gt;0)*(機器台帳!$F$2:$F$400&lt;&gt;"")*(機器台帳!$C$2:$C$400&lt;=17)*(機器台帳!$C$2:$C$400+機器台帳!$D$2:$D$400-1&gt;=17),0),0))=0,"|未記入",""))</f>
        <v/>
      </c>
      <c r="P34" s="12">
        <f>IF(SUMPRODUCT((機器台帳!$A$2:$A$400="E24-S8-4")*((機器台帳!$B$2:$B$400="背面")+(機器台帳!$B$2:$B$400="両面")&gt;0)*(機器台帳!$F$2:$F$400&lt;&gt;"")*(機器台帳!$C$2:$C$400&lt;=17)*(機器台帳!$C$2:$C$400+機器台帳!$D$2:$D$400-1&gt;=17))=0,"",INDEX(機器台帳!$F$2:$F$400,MATCH(1,INDEX((機器台帳!$A$2:$A$400="E24-S8-4")*((機器台帳!$B$2:$B$400="背面")+(機器台帳!$B$2:$B$400="両面")&gt;0)*(機器台帳!$F$2:$F$400&lt;&gt;"")*(機器台帳!$C$2:$C$400&lt;=17)*(機器台帳!$C$2:$C$400+機器台帳!$D$2:$D$400-1&gt;=17),0),0))&amp;IF(INDEX(機器台帳!$G$2:$G$400,MATCH(1,INDEX((機器台帳!$A$2:$A$400="E24-S8-4")*((機器台帳!$B$2:$B$400="背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-4")*((機器台帳!$B$2:$B$400="背面")+(機器台帳!$B$2:$B$400="両面")&gt;0)*(機器台帳!$F$2:$F$400&lt;&gt;"")*(機器台帳!$C$2:$C$400&lt;=17)*(機器台帳!$C$2:$C$400+機器台帳!$D$2:$D$400-1&gt;=17),0),0)))&amp;IF(SUMPRODUCT((機器台帳!$A$2:$A$400="E24-S8-4")*((機器台帳!$B$2:$B$400="背面")+(機器台帳!$B$2:$B$400="両面")&gt;0)*(機器台帳!$F$2:$F$400&lt;&gt;"")*(機器台帳!$C$2:$C$400&lt;=17)*(機器台帳!$C$2:$C$400+機器台帳!$D$2:$D$400-1&gt;=17))&gt;1," 他"&amp;(SUMPRODUCT((機器台帳!$A$2:$A$400="E24-S8-4")*((機器台帳!$B$2:$B$400="背面")+(機器台帳!$B$2:$B$400="両面")&gt;0)*(機器台帳!$F$2:$F$400&lt;&gt;"")*(機器台帳!$C$2:$C$400&lt;=17)*(機器台帳!$C$2:$C$400+機器台帳!$D$2:$D$400-1&gt;=17))-1)&amp;"台",""))</f>
        <v/>
      </c>
      <c r="Q34">
        <f>IF(SUMPRODUCT((機器台帳!$A$2:$A$400="E24-S8-4")*((機器台帳!$B$2:$B$400="背面")+(機器台帳!$B$2:$B$400="両面")&gt;0)*(機器台帳!$F$2:$F$400&lt;&gt;"")*(機器台帳!$C$2:$C$400&lt;=17)*(機器台帳!$C$2:$C$400+機器台帳!$D$2:$D$400-1&gt;=17))=0,"",INDEX(機器台帳!$I$2:$I$400,MATCH(1,INDEX((機器台帳!$A$2:$A$400="E24-S8-4")*((機器台帳!$B$2:$B$400="背面")+(機器台帳!$B$2:$B$400="両面")&gt;0)*(機器台帳!$F$2:$F$400&lt;&gt;"")*(機器台帳!$C$2:$C$400&lt;=17)*(機器台帳!$C$2:$C$400+機器台帳!$D$2:$D$400-1&gt;=17),0),0))&amp;IF(INDEX(機器台帳!$Y$2:$Y$400,MATCH(1,INDEX((機器台帳!$A$2:$A$400="E24-S8-4")*((機器台帳!$B$2:$B$400="背面")+(機器台帳!$B$2:$B$400="両面")&gt;0)*(機器台帳!$F$2:$F$400&lt;&gt;"")*(機器台帳!$C$2:$C$400&lt;=17)*(機器台帳!$C$2:$C$400+機器台帳!$D$2:$D$400-1&gt;=17),0),0))=0,"|未記入",""))</f>
        <v/>
      </c>
      <c r="R34" s="12">
        <f>IF(SUMPRODUCT((機器台帳!$A$2:$A$400="E24-S8-5")*((機器台帳!$B$2:$B$400="前面")+(機器台帳!$B$2:$B$400="両面")&gt;0)*(機器台帳!$F$2:$F$400&lt;&gt;"")*(機器台帳!$C$2:$C$400&lt;=17)*(機器台帳!$C$2:$C$400+機器台帳!$D$2:$D$400-1&gt;=17))=0,"",INDEX(機器台帳!$F$2:$F$400,MATCH(1,INDEX((機器台帳!$A$2:$A$400="E24-S8-5")*((機器台帳!$B$2:$B$400="前面")+(機器台帳!$B$2:$B$400="両面")&gt;0)*(機器台帳!$F$2:$F$400&lt;&gt;"")*(機器台帳!$C$2:$C$400&lt;=17)*(機器台帳!$C$2:$C$400+機器台帳!$D$2:$D$400-1&gt;=17),0),0))&amp;IF(INDEX(機器台帳!$G$2:$G$400,MATCH(1,INDEX((機器台帳!$A$2:$A$400="E24-S8-5")*((機器台帳!$B$2:$B$400="前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-5")*((機器台帳!$B$2:$B$400="前面")+(機器台帳!$B$2:$B$400="両面")&gt;0)*(機器台帳!$F$2:$F$400&lt;&gt;"")*(機器台帳!$C$2:$C$400&lt;=17)*(機器台帳!$C$2:$C$400+機器台帳!$D$2:$D$400-1&gt;=17),0),0)))&amp;IF(SUMPRODUCT((機器台帳!$A$2:$A$400="E24-S8-5")*((機器台帳!$B$2:$B$400="前面")+(機器台帳!$B$2:$B$400="両面")&gt;0)*(機器台帳!$F$2:$F$400&lt;&gt;"")*(機器台帳!$C$2:$C$400&lt;=17)*(機器台帳!$C$2:$C$400+機器台帳!$D$2:$D$400-1&gt;=17))&gt;1," 他"&amp;(SUMPRODUCT((機器台帳!$A$2:$A$400="E24-S8-5")*((機器台帳!$B$2:$B$400="前面")+(機器台帳!$B$2:$B$400="両面")&gt;0)*(機器台帳!$F$2:$F$400&lt;&gt;"")*(機器台帳!$C$2:$C$400&lt;=17)*(機器台帳!$C$2:$C$400+機器台帳!$D$2:$D$400-1&gt;=17))-1)&amp;"台",""))</f>
        <v/>
      </c>
      <c r="S34">
        <f>IF(SUMPRODUCT((機器台帳!$A$2:$A$400="E24-S8-5")*((機器台帳!$B$2:$B$400="前面")+(機器台帳!$B$2:$B$400="両面")&gt;0)*(機器台帳!$F$2:$F$400&lt;&gt;"")*(機器台帳!$C$2:$C$400&lt;=17)*(機器台帳!$C$2:$C$400+機器台帳!$D$2:$D$400-1&gt;=17))=0,"",INDEX(機器台帳!$I$2:$I$400,MATCH(1,INDEX((機器台帳!$A$2:$A$400="E24-S8-5")*((機器台帳!$B$2:$B$400="前面")+(機器台帳!$B$2:$B$400="両面")&gt;0)*(機器台帳!$F$2:$F$400&lt;&gt;"")*(機器台帳!$C$2:$C$400&lt;=17)*(機器台帳!$C$2:$C$400+機器台帳!$D$2:$D$400-1&gt;=17),0),0))&amp;IF(INDEX(機器台帳!$Y$2:$Y$400,MATCH(1,INDEX((機器台帳!$A$2:$A$400="E24-S8-5")*((機器台帳!$B$2:$B$400="前面")+(機器台帳!$B$2:$B$400="両面")&gt;0)*(機器台帳!$F$2:$F$400&lt;&gt;"")*(機器台帳!$C$2:$C$400&lt;=17)*(機器台帳!$C$2:$C$400+機器台帳!$D$2:$D$400-1&gt;=17),0),0))=0,"|未記入",""))</f>
        <v/>
      </c>
      <c r="T34" s="12">
        <f>IF(SUMPRODUCT((機器台帳!$A$2:$A$400="E24-S8-5")*((機器台帳!$B$2:$B$400="背面")+(機器台帳!$B$2:$B$400="両面")&gt;0)*(機器台帳!$F$2:$F$400&lt;&gt;"")*(機器台帳!$C$2:$C$400&lt;=17)*(機器台帳!$C$2:$C$400+機器台帳!$D$2:$D$400-1&gt;=17))=0,"",INDEX(機器台帳!$F$2:$F$400,MATCH(1,INDEX((機器台帳!$A$2:$A$400="E24-S8-5")*((機器台帳!$B$2:$B$400="背面")+(機器台帳!$B$2:$B$400="両面")&gt;0)*(機器台帳!$F$2:$F$400&lt;&gt;"")*(機器台帳!$C$2:$C$400&lt;=17)*(機器台帳!$C$2:$C$400+機器台帳!$D$2:$D$400-1&gt;=17),0),0))&amp;IF(INDEX(機器台帳!$G$2:$G$400,MATCH(1,INDEX((機器台帳!$A$2:$A$400="E24-S8-5")*((機器台帳!$B$2:$B$400="背面")+(機器台帳!$B$2:$B$400="両面")&gt;0)*(機器台帳!$F$2:$F$400&lt;&gt;"")*(機器台帳!$C$2:$C$400&lt;=17)*(機器台帳!$C$2:$C$400+機器台帳!$D$2:$D$400-1&gt;=17),0),0))=""," "," "&amp;INDEX(機器台帳!$G$2:$G$400,MATCH(1,INDEX((機器台帳!$A$2:$A$400="E24-S8-5")*((機器台帳!$B$2:$B$400="背面")+(機器台帳!$B$2:$B$400="両面")&gt;0)*(機器台帳!$F$2:$F$400&lt;&gt;"")*(機器台帳!$C$2:$C$400&lt;=17)*(機器台帳!$C$2:$C$400+機器台帳!$D$2:$D$400-1&gt;=17),0),0)))&amp;IF(SUMPRODUCT((機器台帳!$A$2:$A$400="E24-S8-5")*((機器台帳!$B$2:$B$400="背面")+(機器台帳!$B$2:$B$400="両面")&gt;0)*(機器台帳!$F$2:$F$400&lt;&gt;"")*(機器台帳!$C$2:$C$400&lt;=17)*(機器台帳!$C$2:$C$400+機器台帳!$D$2:$D$400-1&gt;=17))&gt;1," 他"&amp;(SUMPRODUCT((機器台帳!$A$2:$A$400="E24-S8-5")*((機器台帳!$B$2:$B$400="背面")+(機器台帳!$B$2:$B$400="両面")&gt;0)*(機器台帳!$F$2:$F$400&lt;&gt;"")*(機器台帳!$C$2:$C$400&lt;=17)*(機器台帳!$C$2:$C$400+機器台帳!$D$2:$D$400-1&gt;=17))-1)&amp;"台",""))</f>
        <v/>
      </c>
      <c r="U34">
        <f>IF(SUMPRODUCT((機器台帳!$A$2:$A$400="E24-S8-5")*((機器台帳!$B$2:$B$400="背面")+(機器台帳!$B$2:$B$400="両面")&gt;0)*(機器台帳!$F$2:$F$400&lt;&gt;"")*(機器台帳!$C$2:$C$400&lt;=17)*(機器台帳!$C$2:$C$400+機器台帳!$D$2:$D$400-1&gt;=17))=0,"",INDEX(機器台帳!$I$2:$I$400,MATCH(1,INDEX((機器台帳!$A$2:$A$400="E24-S8-5")*((機器台帳!$B$2:$B$400="背面")+(機器台帳!$B$2:$B$400="両面")&gt;0)*(機器台帳!$F$2:$F$400&lt;&gt;"")*(機器台帳!$C$2:$C$400&lt;=17)*(機器台帳!$C$2:$C$400+機器台帳!$D$2:$D$400-1&gt;=17),0),0))&amp;IF(INDEX(機器台帳!$Y$2:$Y$400,MATCH(1,INDEX((機器台帳!$A$2:$A$400="E24-S8-5")*((機器台帳!$B$2:$B$400="背面")+(機器台帳!$B$2:$B$400="両面")&gt;0)*(機器台帳!$F$2:$F$400&lt;&gt;"")*(機器台帳!$C$2:$C$400&lt;=17)*(機器台帳!$C$2:$C$400+機器台帳!$D$2:$D$400-1&gt;=17),0),0))=0,"|未記入",""))</f>
        <v/>
      </c>
      <c r="V34" s="12">
        <f>IF(SUMPRODUCT((機器台帳!$A$2:$A$400="E24-S6-1")*((機器台帳!$B$2:$B$400="前面")+(機器台帳!$B$2:$B$400="両面")&gt;0)*(機器台帳!$F$2:$F$400&lt;&gt;"")*(機器台帳!$C$2:$C$400&lt;=17)*(機器台帳!$C$2:$C$400+機器台帳!$D$2:$D$400-1&gt;=17))=0,"",INDEX(機器台帳!$F$2:$F$400,MATCH(1,INDEX((機器台帳!$A$2:$A$400="E24-S6-1")*((機器台帳!$B$2:$B$400="前面")+(機器台帳!$B$2:$B$400="両面")&gt;0)*(機器台帳!$F$2:$F$400&lt;&gt;"")*(機器台帳!$C$2:$C$400&lt;=17)*(機器台帳!$C$2:$C$400+機器台帳!$D$2:$D$400-1&gt;=17),0),0))&amp;IF(INDEX(機器台帳!$G$2:$G$400,MATCH(1,INDEX((機器台帳!$A$2:$A$400="E24-S6-1")*((機器台帳!$B$2:$B$400="前面")+(機器台帳!$B$2:$B$400="両面")&gt;0)*(機器台帳!$F$2:$F$400&lt;&gt;"")*(機器台帳!$C$2:$C$400&lt;=17)*(機器台帳!$C$2:$C$400+機器台帳!$D$2:$D$400-1&gt;=17),0),0))=""," "," "&amp;INDEX(機器台帳!$G$2:$G$400,MATCH(1,INDEX((機器台帳!$A$2:$A$400="E24-S6-1")*((機器台帳!$B$2:$B$400="前面")+(機器台帳!$B$2:$B$400="両面")&gt;0)*(機器台帳!$F$2:$F$400&lt;&gt;"")*(機器台帳!$C$2:$C$400&lt;=17)*(機器台帳!$C$2:$C$400+機器台帳!$D$2:$D$400-1&gt;=17),0),0)))&amp;IF(SUMPRODUCT((機器台帳!$A$2:$A$400="E24-S6-1")*((機器台帳!$B$2:$B$400="前面")+(機器台帳!$B$2:$B$400="両面")&gt;0)*(機器台帳!$F$2:$F$400&lt;&gt;"")*(機器台帳!$C$2:$C$400&lt;=17)*(機器台帳!$C$2:$C$400+機器台帳!$D$2:$D$400-1&gt;=17))&gt;1," 他"&amp;(SUMPRODUCT((機器台帳!$A$2:$A$400="E24-S6-1")*((機器台帳!$B$2:$B$400="前面")+(機器台帳!$B$2:$B$400="両面")&gt;0)*(機器台帳!$F$2:$F$400&lt;&gt;"")*(機器台帳!$C$2:$C$400&lt;=17)*(機器台帳!$C$2:$C$400+機器台帳!$D$2:$D$400-1&gt;=17))-1)&amp;"台",""))</f>
        <v/>
      </c>
      <c r="W34">
        <f>IF(SUMPRODUCT((機器台帳!$A$2:$A$400="E24-S6-1")*((機器台帳!$B$2:$B$400="前面")+(機器台帳!$B$2:$B$400="両面")&gt;0)*(機器台帳!$F$2:$F$400&lt;&gt;"")*(機器台帳!$C$2:$C$400&lt;=17)*(機器台帳!$C$2:$C$400+機器台帳!$D$2:$D$400-1&gt;=17))=0,"",INDEX(機器台帳!$I$2:$I$400,MATCH(1,INDEX((機器台帳!$A$2:$A$400="E24-S6-1")*((機器台帳!$B$2:$B$400="前面")+(機器台帳!$B$2:$B$400="両面")&gt;0)*(機器台帳!$F$2:$F$400&lt;&gt;"")*(機器台帳!$C$2:$C$400&lt;=17)*(機器台帳!$C$2:$C$400+機器台帳!$D$2:$D$400-1&gt;=17),0),0))&amp;IF(INDEX(機器台帳!$Y$2:$Y$400,MATCH(1,INDEX((機器台帳!$A$2:$A$400="E24-S6-1")*((機器台帳!$B$2:$B$400="前面")+(機器台帳!$B$2:$B$400="両面")&gt;0)*(機器台帳!$F$2:$F$400&lt;&gt;"")*(機器台帳!$C$2:$C$400&lt;=17)*(機器台帳!$C$2:$C$400+機器台帳!$D$2:$D$400-1&gt;=17),0),0))=0,"|未記入",""))</f>
        <v/>
      </c>
      <c r="X34" s="12">
        <f>IF(SUMPRODUCT((機器台帳!$A$2:$A$400="E24-S6-1")*((機器台帳!$B$2:$B$400="背面")+(機器台帳!$B$2:$B$400="両面")&gt;0)*(機器台帳!$F$2:$F$400&lt;&gt;"")*(機器台帳!$C$2:$C$400&lt;=17)*(機器台帳!$C$2:$C$400+機器台帳!$D$2:$D$400-1&gt;=17))=0,"",INDEX(機器台帳!$F$2:$F$400,MATCH(1,INDEX((機器台帳!$A$2:$A$400="E24-S6-1")*((機器台帳!$B$2:$B$400="背面")+(機器台帳!$B$2:$B$400="両面")&gt;0)*(機器台帳!$F$2:$F$400&lt;&gt;"")*(機器台帳!$C$2:$C$400&lt;=17)*(機器台帳!$C$2:$C$400+機器台帳!$D$2:$D$400-1&gt;=17),0),0))&amp;IF(INDEX(機器台帳!$G$2:$G$400,MATCH(1,INDEX((機器台帳!$A$2:$A$400="E24-S6-1")*((機器台帳!$B$2:$B$400="背面")+(機器台帳!$B$2:$B$400="両面")&gt;0)*(機器台帳!$F$2:$F$400&lt;&gt;"")*(機器台帳!$C$2:$C$400&lt;=17)*(機器台帳!$C$2:$C$400+機器台帳!$D$2:$D$400-1&gt;=17),0),0))=""," "," "&amp;INDEX(機器台帳!$G$2:$G$400,MATCH(1,INDEX((機器台帳!$A$2:$A$400="E24-S6-1")*((機器台帳!$B$2:$B$400="背面")+(機器台帳!$B$2:$B$400="両面")&gt;0)*(機器台帳!$F$2:$F$400&lt;&gt;"")*(機器台帳!$C$2:$C$400&lt;=17)*(機器台帳!$C$2:$C$400+機器台帳!$D$2:$D$400-1&gt;=17),0),0)))&amp;IF(SUMPRODUCT((機器台帳!$A$2:$A$400="E24-S6-1")*((機器台帳!$B$2:$B$400="背面")+(機器台帳!$B$2:$B$400="両面")&gt;0)*(機器台帳!$F$2:$F$400&lt;&gt;"")*(機器台帳!$C$2:$C$400&lt;=17)*(機器台帳!$C$2:$C$400+機器台帳!$D$2:$D$400-1&gt;=17))&gt;1," 他"&amp;(SUMPRODUCT((機器台帳!$A$2:$A$400="E24-S6-1")*((機器台帳!$B$2:$B$400="背面")+(機器台帳!$B$2:$B$400="両面")&gt;0)*(機器台帳!$F$2:$F$400&lt;&gt;"")*(機器台帳!$C$2:$C$400&lt;=17)*(機器台帳!$C$2:$C$400+機器台帳!$D$2:$D$400-1&gt;=17))-1)&amp;"台",""))</f>
        <v/>
      </c>
      <c r="Y34">
        <f>IF(SUMPRODUCT((機器台帳!$A$2:$A$400="E24-S6-1")*((機器台帳!$B$2:$B$400="背面")+(機器台帳!$B$2:$B$400="両面")&gt;0)*(機器台帳!$F$2:$F$400&lt;&gt;"")*(機器台帳!$C$2:$C$400&lt;=17)*(機器台帳!$C$2:$C$400+機器台帳!$D$2:$D$400-1&gt;=17))=0,"",INDEX(機器台帳!$I$2:$I$400,MATCH(1,INDEX((機器台帳!$A$2:$A$400="E24-S6-1")*((機器台帳!$B$2:$B$400="背面")+(機器台帳!$B$2:$B$400="両面")&gt;0)*(機器台帳!$F$2:$F$400&lt;&gt;"")*(機器台帳!$C$2:$C$400&lt;=17)*(機器台帳!$C$2:$C$400+機器台帳!$D$2:$D$400-1&gt;=17),0),0))&amp;IF(INDEX(機器台帳!$Y$2:$Y$400,MATCH(1,INDEX((機器台帳!$A$2:$A$400="E24-S6-1")*((機器台帳!$B$2:$B$400="背面")+(機器台帳!$B$2:$B$400="両面")&gt;0)*(機器台帳!$F$2:$F$400&lt;&gt;"")*(機器台帳!$C$2:$C$400&lt;=17)*(機器台帳!$C$2:$C$400+機器台帳!$D$2:$D$400-1&gt;=17),0),0))=0,"|未記入",""))</f>
        <v/>
      </c>
    </row>
    <row r="35">
      <c r="A35" s="11" t="n">
        <v>16</v>
      </c>
      <c r="B35" s="12">
        <f>IF(SUMPRODUCT((機器台帳!$A$2:$A$400="E24-S8-1")*((機器台帳!$B$2:$B$400="前面")+(機器台帳!$B$2:$B$400="両面")&gt;0)*(機器台帳!$F$2:$F$400&lt;&gt;"")*(機器台帳!$C$2:$C$400&lt;=16)*(機器台帳!$C$2:$C$400+機器台帳!$D$2:$D$400-1&gt;=16))=0,"",INDEX(機器台帳!$F$2:$F$400,MATCH(1,INDEX((機器台帳!$A$2:$A$400="E24-S8-1")*((機器台帳!$B$2:$B$400="前面")+(機器台帳!$B$2:$B$400="両面")&gt;0)*(機器台帳!$F$2:$F$400&lt;&gt;"")*(機器台帳!$C$2:$C$400&lt;=16)*(機器台帳!$C$2:$C$400+機器台帳!$D$2:$D$400-1&gt;=16),0),0))&amp;IF(INDEX(機器台帳!$G$2:$G$400,MATCH(1,INDEX((機器台帳!$A$2:$A$400="E24-S8-1")*((機器台帳!$B$2:$B$400="前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-1")*((機器台帳!$B$2:$B$400="前面")+(機器台帳!$B$2:$B$400="両面")&gt;0)*(機器台帳!$F$2:$F$400&lt;&gt;"")*(機器台帳!$C$2:$C$400&lt;=16)*(機器台帳!$C$2:$C$400+機器台帳!$D$2:$D$400-1&gt;=16),0),0)))&amp;IF(SUMPRODUCT((機器台帳!$A$2:$A$400="E24-S8-1")*((機器台帳!$B$2:$B$400="前面")+(機器台帳!$B$2:$B$400="両面")&gt;0)*(機器台帳!$F$2:$F$400&lt;&gt;"")*(機器台帳!$C$2:$C$400&lt;=16)*(機器台帳!$C$2:$C$400+機器台帳!$D$2:$D$400-1&gt;=16))&gt;1," 他"&amp;(SUMPRODUCT((機器台帳!$A$2:$A$400="E24-S8-1")*((機器台帳!$B$2:$B$400="前面")+(機器台帳!$B$2:$B$400="両面")&gt;0)*(機器台帳!$F$2:$F$400&lt;&gt;"")*(機器台帳!$C$2:$C$400&lt;=16)*(機器台帳!$C$2:$C$400+機器台帳!$D$2:$D$400-1&gt;=16))-1)&amp;"台",""))</f>
        <v/>
      </c>
      <c r="C35">
        <f>IF(SUMPRODUCT((機器台帳!$A$2:$A$400="E24-S8-1")*((機器台帳!$B$2:$B$400="前面")+(機器台帳!$B$2:$B$400="両面")&gt;0)*(機器台帳!$F$2:$F$400&lt;&gt;"")*(機器台帳!$C$2:$C$400&lt;=16)*(機器台帳!$C$2:$C$400+機器台帳!$D$2:$D$400-1&gt;=16))=0,"",INDEX(機器台帳!$I$2:$I$400,MATCH(1,INDEX((機器台帳!$A$2:$A$400="E24-S8-1")*((機器台帳!$B$2:$B$400="前面")+(機器台帳!$B$2:$B$400="両面")&gt;0)*(機器台帳!$F$2:$F$400&lt;&gt;"")*(機器台帳!$C$2:$C$400&lt;=16)*(機器台帳!$C$2:$C$400+機器台帳!$D$2:$D$400-1&gt;=16),0),0))&amp;IF(INDEX(機器台帳!$Y$2:$Y$400,MATCH(1,INDEX((機器台帳!$A$2:$A$400="E24-S8-1")*((機器台帳!$B$2:$B$400="前面")+(機器台帳!$B$2:$B$400="両面")&gt;0)*(機器台帳!$F$2:$F$400&lt;&gt;"")*(機器台帳!$C$2:$C$400&lt;=16)*(機器台帳!$C$2:$C$400+機器台帳!$D$2:$D$400-1&gt;=16),0),0))=0,"|未記入",""))</f>
        <v/>
      </c>
      <c r="D35" s="12">
        <f>IF(SUMPRODUCT((機器台帳!$A$2:$A$400="E24-S8-1")*((機器台帳!$B$2:$B$400="背面")+(機器台帳!$B$2:$B$400="両面")&gt;0)*(機器台帳!$F$2:$F$400&lt;&gt;"")*(機器台帳!$C$2:$C$400&lt;=16)*(機器台帳!$C$2:$C$400+機器台帳!$D$2:$D$400-1&gt;=16))=0,"",INDEX(機器台帳!$F$2:$F$400,MATCH(1,INDEX((機器台帳!$A$2:$A$400="E24-S8-1")*((機器台帳!$B$2:$B$400="背面")+(機器台帳!$B$2:$B$400="両面")&gt;0)*(機器台帳!$F$2:$F$400&lt;&gt;"")*(機器台帳!$C$2:$C$400&lt;=16)*(機器台帳!$C$2:$C$400+機器台帳!$D$2:$D$400-1&gt;=16),0),0))&amp;IF(INDEX(機器台帳!$G$2:$G$400,MATCH(1,INDEX((機器台帳!$A$2:$A$400="E24-S8-1")*((機器台帳!$B$2:$B$400="背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-1")*((機器台帳!$B$2:$B$400="背面")+(機器台帳!$B$2:$B$400="両面")&gt;0)*(機器台帳!$F$2:$F$400&lt;&gt;"")*(機器台帳!$C$2:$C$400&lt;=16)*(機器台帳!$C$2:$C$400+機器台帳!$D$2:$D$400-1&gt;=16),0),0)))&amp;IF(SUMPRODUCT((機器台帳!$A$2:$A$400="E24-S8-1")*((機器台帳!$B$2:$B$400="背面")+(機器台帳!$B$2:$B$400="両面")&gt;0)*(機器台帳!$F$2:$F$400&lt;&gt;"")*(機器台帳!$C$2:$C$400&lt;=16)*(機器台帳!$C$2:$C$400+機器台帳!$D$2:$D$400-1&gt;=16))&gt;1," 他"&amp;(SUMPRODUCT((機器台帳!$A$2:$A$400="E24-S8-1")*((機器台帳!$B$2:$B$400="背面")+(機器台帳!$B$2:$B$400="両面")&gt;0)*(機器台帳!$F$2:$F$400&lt;&gt;"")*(機器台帳!$C$2:$C$400&lt;=16)*(機器台帳!$C$2:$C$400+機器台帳!$D$2:$D$400-1&gt;=16))-1)&amp;"台",""))</f>
        <v/>
      </c>
      <c r="E35">
        <f>IF(SUMPRODUCT((機器台帳!$A$2:$A$400="E24-S8-1")*((機器台帳!$B$2:$B$400="背面")+(機器台帳!$B$2:$B$400="両面")&gt;0)*(機器台帳!$F$2:$F$400&lt;&gt;"")*(機器台帳!$C$2:$C$400&lt;=16)*(機器台帳!$C$2:$C$400+機器台帳!$D$2:$D$400-1&gt;=16))=0,"",INDEX(機器台帳!$I$2:$I$400,MATCH(1,INDEX((機器台帳!$A$2:$A$400="E24-S8-1")*((機器台帳!$B$2:$B$400="背面")+(機器台帳!$B$2:$B$400="両面")&gt;0)*(機器台帳!$F$2:$F$400&lt;&gt;"")*(機器台帳!$C$2:$C$400&lt;=16)*(機器台帳!$C$2:$C$400+機器台帳!$D$2:$D$400-1&gt;=16),0),0))&amp;IF(INDEX(機器台帳!$Y$2:$Y$400,MATCH(1,INDEX((機器台帳!$A$2:$A$400="E24-S8-1")*((機器台帳!$B$2:$B$400="背面")+(機器台帳!$B$2:$B$400="両面")&gt;0)*(機器台帳!$F$2:$F$400&lt;&gt;"")*(機器台帳!$C$2:$C$400&lt;=16)*(機器台帳!$C$2:$C$400+機器台帳!$D$2:$D$400-1&gt;=16),0),0))=0,"|未記入",""))</f>
        <v/>
      </c>
      <c r="F35" s="12">
        <f>IF(SUMPRODUCT((機器台帳!$A$2:$A$400="E24-S8-2")*((機器台帳!$B$2:$B$400="前面")+(機器台帳!$B$2:$B$400="両面")&gt;0)*(機器台帳!$F$2:$F$400&lt;&gt;"")*(機器台帳!$C$2:$C$400&lt;=16)*(機器台帳!$C$2:$C$400+機器台帳!$D$2:$D$400-1&gt;=16))=0,"",INDEX(機器台帳!$F$2:$F$400,MATCH(1,INDEX((機器台帳!$A$2:$A$400="E24-S8-2")*((機器台帳!$B$2:$B$400="前面")+(機器台帳!$B$2:$B$400="両面")&gt;0)*(機器台帳!$F$2:$F$400&lt;&gt;"")*(機器台帳!$C$2:$C$400&lt;=16)*(機器台帳!$C$2:$C$400+機器台帳!$D$2:$D$400-1&gt;=16),0),0))&amp;IF(INDEX(機器台帳!$G$2:$G$400,MATCH(1,INDEX((機器台帳!$A$2:$A$400="E24-S8-2")*((機器台帳!$B$2:$B$400="前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-2")*((機器台帳!$B$2:$B$400="前面")+(機器台帳!$B$2:$B$400="両面")&gt;0)*(機器台帳!$F$2:$F$400&lt;&gt;"")*(機器台帳!$C$2:$C$400&lt;=16)*(機器台帳!$C$2:$C$400+機器台帳!$D$2:$D$400-1&gt;=16),0),0)))&amp;IF(SUMPRODUCT((機器台帳!$A$2:$A$400="E24-S8-2")*((機器台帳!$B$2:$B$400="前面")+(機器台帳!$B$2:$B$400="両面")&gt;0)*(機器台帳!$F$2:$F$400&lt;&gt;"")*(機器台帳!$C$2:$C$400&lt;=16)*(機器台帳!$C$2:$C$400+機器台帳!$D$2:$D$400-1&gt;=16))&gt;1," 他"&amp;(SUMPRODUCT((機器台帳!$A$2:$A$400="E24-S8-2")*((機器台帳!$B$2:$B$400="前面")+(機器台帳!$B$2:$B$400="両面")&gt;0)*(機器台帳!$F$2:$F$400&lt;&gt;"")*(機器台帳!$C$2:$C$400&lt;=16)*(機器台帳!$C$2:$C$400+機器台帳!$D$2:$D$400-1&gt;=16))-1)&amp;"台",""))</f>
        <v/>
      </c>
      <c r="G35">
        <f>IF(SUMPRODUCT((機器台帳!$A$2:$A$400="E24-S8-2")*((機器台帳!$B$2:$B$400="前面")+(機器台帳!$B$2:$B$400="両面")&gt;0)*(機器台帳!$F$2:$F$400&lt;&gt;"")*(機器台帳!$C$2:$C$400&lt;=16)*(機器台帳!$C$2:$C$400+機器台帳!$D$2:$D$400-1&gt;=16))=0,"",INDEX(機器台帳!$I$2:$I$400,MATCH(1,INDEX((機器台帳!$A$2:$A$400="E24-S8-2")*((機器台帳!$B$2:$B$400="前面")+(機器台帳!$B$2:$B$400="両面")&gt;0)*(機器台帳!$F$2:$F$400&lt;&gt;"")*(機器台帳!$C$2:$C$400&lt;=16)*(機器台帳!$C$2:$C$400+機器台帳!$D$2:$D$400-1&gt;=16),0),0))&amp;IF(INDEX(機器台帳!$Y$2:$Y$400,MATCH(1,INDEX((機器台帳!$A$2:$A$400="E24-S8-2")*((機器台帳!$B$2:$B$400="前面")+(機器台帳!$B$2:$B$400="両面")&gt;0)*(機器台帳!$F$2:$F$400&lt;&gt;"")*(機器台帳!$C$2:$C$400&lt;=16)*(機器台帳!$C$2:$C$400+機器台帳!$D$2:$D$400-1&gt;=16),0),0))=0,"|未記入",""))</f>
        <v/>
      </c>
      <c r="H35" s="12">
        <f>IF(SUMPRODUCT((機器台帳!$A$2:$A$400="E24-S8-2")*((機器台帳!$B$2:$B$400="背面")+(機器台帳!$B$2:$B$400="両面")&gt;0)*(機器台帳!$F$2:$F$400&lt;&gt;"")*(機器台帳!$C$2:$C$400&lt;=16)*(機器台帳!$C$2:$C$400+機器台帳!$D$2:$D$400-1&gt;=16))=0,"",INDEX(機器台帳!$F$2:$F$400,MATCH(1,INDEX((機器台帳!$A$2:$A$400="E24-S8-2")*((機器台帳!$B$2:$B$400="背面")+(機器台帳!$B$2:$B$400="両面")&gt;0)*(機器台帳!$F$2:$F$400&lt;&gt;"")*(機器台帳!$C$2:$C$400&lt;=16)*(機器台帳!$C$2:$C$400+機器台帳!$D$2:$D$400-1&gt;=16),0),0))&amp;IF(INDEX(機器台帳!$G$2:$G$400,MATCH(1,INDEX((機器台帳!$A$2:$A$400="E24-S8-2")*((機器台帳!$B$2:$B$400="背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-2")*((機器台帳!$B$2:$B$400="背面")+(機器台帳!$B$2:$B$400="両面")&gt;0)*(機器台帳!$F$2:$F$400&lt;&gt;"")*(機器台帳!$C$2:$C$400&lt;=16)*(機器台帳!$C$2:$C$400+機器台帳!$D$2:$D$400-1&gt;=16),0),0)))&amp;IF(SUMPRODUCT((機器台帳!$A$2:$A$400="E24-S8-2")*((機器台帳!$B$2:$B$400="背面")+(機器台帳!$B$2:$B$400="両面")&gt;0)*(機器台帳!$F$2:$F$400&lt;&gt;"")*(機器台帳!$C$2:$C$400&lt;=16)*(機器台帳!$C$2:$C$400+機器台帳!$D$2:$D$400-1&gt;=16))&gt;1," 他"&amp;(SUMPRODUCT((機器台帳!$A$2:$A$400="E24-S8-2")*((機器台帳!$B$2:$B$400="背面")+(機器台帳!$B$2:$B$400="両面")&gt;0)*(機器台帳!$F$2:$F$400&lt;&gt;"")*(機器台帳!$C$2:$C$400&lt;=16)*(機器台帳!$C$2:$C$400+機器台帳!$D$2:$D$400-1&gt;=16))-1)&amp;"台",""))</f>
        <v/>
      </c>
      <c r="I35">
        <f>IF(SUMPRODUCT((機器台帳!$A$2:$A$400="E24-S8-2")*((機器台帳!$B$2:$B$400="背面")+(機器台帳!$B$2:$B$400="両面")&gt;0)*(機器台帳!$F$2:$F$400&lt;&gt;"")*(機器台帳!$C$2:$C$400&lt;=16)*(機器台帳!$C$2:$C$400+機器台帳!$D$2:$D$400-1&gt;=16))=0,"",INDEX(機器台帳!$I$2:$I$400,MATCH(1,INDEX((機器台帳!$A$2:$A$400="E24-S8-2")*((機器台帳!$B$2:$B$400="背面")+(機器台帳!$B$2:$B$400="両面")&gt;0)*(機器台帳!$F$2:$F$400&lt;&gt;"")*(機器台帳!$C$2:$C$400&lt;=16)*(機器台帳!$C$2:$C$400+機器台帳!$D$2:$D$400-1&gt;=16),0),0))&amp;IF(INDEX(機器台帳!$Y$2:$Y$400,MATCH(1,INDEX((機器台帳!$A$2:$A$400="E24-S8-2")*((機器台帳!$B$2:$B$400="背面")+(機器台帳!$B$2:$B$400="両面")&gt;0)*(機器台帳!$F$2:$F$400&lt;&gt;"")*(機器台帳!$C$2:$C$400&lt;=16)*(機器台帳!$C$2:$C$400+機器台帳!$D$2:$D$400-1&gt;=16),0),0))=0,"|未記入",""))</f>
        <v/>
      </c>
      <c r="J35" s="12">
        <f>IF(SUMPRODUCT((機器台帳!$A$2:$A$400="E24-S8-3")*((機器台帳!$B$2:$B$400="前面")+(機器台帳!$B$2:$B$400="両面")&gt;0)*(機器台帳!$F$2:$F$400&lt;&gt;"")*(機器台帳!$C$2:$C$400&lt;=16)*(機器台帳!$C$2:$C$400+機器台帳!$D$2:$D$400-1&gt;=16))=0,"",INDEX(機器台帳!$F$2:$F$400,MATCH(1,INDEX((機器台帳!$A$2:$A$400="E24-S8-3")*((機器台帳!$B$2:$B$400="前面")+(機器台帳!$B$2:$B$400="両面")&gt;0)*(機器台帳!$F$2:$F$400&lt;&gt;"")*(機器台帳!$C$2:$C$400&lt;=16)*(機器台帳!$C$2:$C$400+機器台帳!$D$2:$D$400-1&gt;=16),0),0))&amp;IF(INDEX(機器台帳!$G$2:$G$400,MATCH(1,INDEX((機器台帳!$A$2:$A$400="E24-S8-3")*((機器台帳!$B$2:$B$400="前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-3")*((機器台帳!$B$2:$B$400="前面")+(機器台帳!$B$2:$B$400="両面")&gt;0)*(機器台帳!$F$2:$F$400&lt;&gt;"")*(機器台帳!$C$2:$C$400&lt;=16)*(機器台帳!$C$2:$C$400+機器台帳!$D$2:$D$400-1&gt;=16),0),0)))&amp;IF(SUMPRODUCT((機器台帳!$A$2:$A$400="E24-S8-3")*((機器台帳!$B$2:$B$400="前面")+(機器台帳!$B$2:$B$400="両面")&gt;0)*(機器台帳!$F$2:$F$400&lt;&gt;"")*(機器台帳!$C$2:$C$400&lt;=16)*(機器台帳!$C$2:$C$400+機器台帳!$D$2:$D$400-1&gt;=16))&gt;1," 他"&amp;(SUMPRODUCT((機器台帳!$A$2:$A$400="E24-S8-3")*((機器台帳!$B$2:$B$400="前面")+(機器台帳!$B$2:$B$400="両面")&gt;0)*(機器台帳!$F$2:$F$400&lt;&gt;"")*(機器台帳!$C$2:$C$400&lt;=16)*(機器台帳!$C$2:$C$400+機器台帳!$D$2:$D$400-1&gt;=16))-1)&amp;"台",""))</f>
        <v/>
      </c>
      <c r="K35">
        <f>IF(SUMPRODUCT((機器台帳!$A$2:$A$400="E24-S8-3")*((機器台帳!$B$2:$B$400="前面")+(機器台帳!$B$2:$B$400="両面")&gt;0)*(機器台帳!$F$2:$F$400&lt;&gt;"")*(機器台帳!$C$2:$C$400&lt;=16)*(機器台帳!$C$2:$C$400+機器台帳!$D$2:$D$400-1&gt;=16))=0,"",INDEX(機器台帳!$I$2:$I$400,MATCH(1,INDEX((機器台帳!$A$2:$A$400="E24-S8-3")*((機器台帳!$B$2:$B$400="前面")+(機器台帳!$B$2:$B$400="両面")&gt;0)*(機器台帳!$F$2:$F$400&lt;&gt;"")*(機器台帳!$C$2:$C$400&lt;=16)*(機器台帳!$C$2:$C$400+機器台帳!$D$2:$D$400-1&gt;=16),0),0))&amp;IF(INDEX(機器台帳!$Y$2:$Y$400,MATCH(1,INDEX((機器台帳!$A$2:$A$400="E24-S8-3")*((機器台帳!$B$2:$B$400="前面")+(機器台帳!$B$2:$B$400="両面")&gt;0)*(機器台帳!$F$2:$F$400&lt;&gt;"")*(機器台帳!$C$2:$C$400&lt;=16)*(機器台帳!$C$2:$C$400+機器台帳!$D$2:$D$400-1&gt;=16),0),0))=0,"|未記入",""))</f>
        <v/>
      </c>
      <c r="L35" s="12">
        <f>IF(SUMPRODUCT((機器台帳!$A$2:$A$400="E24-S8-3")*((機器台帳!$B$2:$B$400="背面")+(機器台帳!$B$2:$B$400="両面")&gt;0)*(機器台帳!$F$2:$F$400&lt;&gt;"")*(機器台帳!$C$2:$C$400&lt;=16)*(機器台帳!$C$2:$C$400+機器台帳!$D$2:$D$400-1&gt;=16))=0,"",INDEX(機器台帳!$F$2:$F$400,MATCH(1,INDEX((機器台帳!$A$2:$A$400="E24-S8-3")*((機器台帳!$B$2:$B$400="背面")+(機器台帳!$B$2:$B$400="両面")&gt;0)*(機器台帳!$F$2:$F$400&lt;&gt;"")*(機器台帳!$C$2:$C$400&lt;=16)*(機器台帳!$C$2:$C$400+機器台帳!$D$2:$D$400-1&gt;=16),0),0))&amp;IF(INDEX(機器台帳!$G$2:$G$400,MATCH(1,INDEX((機器台帳!$A$2:$A$400="E24-S8-3")*((機器台帳!$B$2:$B$400="背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-3")*((機器台帳!$B$2:$B$400="背面")+(機器台帳!$B$2:$B$400="両面")&gt;0)*(機器台帳!$F$2:$F$400&lt;&gt;"")*(機器台帳!$C$2:$C$400&lt;=16)*(機器台帳!$C$2:$C$400+機器台帳!$D$2:$D$400-1&gt;=16),0),0)))&amp;IF(SUMPRODUCT((機器台帳!$A$2:$A$400="E24-S8-3")*((機器台帳!$B$2:$B$400="背面")+(機器台帳!$B$2:$B$400="両面")&gt;0)*(機器台帳!$F$2:$F$400&lt;&gt;"")*(機器台帳!$C$2:$C$400&lt;=16)*(機器台帳!$C$2:$C$400+機器台帳!$D$2:$D$400-1&gt;=16))&gt;1," 他"&amp;(SUMPRODUCT((機器台帳!$A$2:$A$400="E24-S8-3")*((機器台帳!$B$2:$B$400="背面")+(機器台帳!$B$2:$B$400="両面")&gt;0)*(機器台帳!$F$2:$F$400&lt;&gt;"")*(機器台帳!$C$2:$C$400&lt;=16)*(機器台帳!$C$2:$C$400+機器台帳!$D$2:$D$400-1&gt;=16))-1)&amp;"台",""))</f>
        <v/>
      </c>
      <c r="M35">
        <f>IF(SUMPRODUCT((機器台帳!$A$2:$A$400="E24-S8-3")*((機器台帳!$B$2:$B$400="背面")+(機器台帳!$B$2:$B$400="両面")&gt;0)*(機器台帳!$F$2:$F$400&lt;&gt;"")*(機器台帳!$C$2:$C$400&lt;=16)*(機器台帳!$C$2:$C$400+機器台帳!$D$2:$D$400-1&gt;=16))=0,"",INDEX(機器台帳!$I$2:$I$400,MATCH(1,INDEX((機器台帳!$A$2:$A$400="E24-S8-3")*((機器台帳!$B$2:$B$400="背面")+(機器台帳!$B$2:$B$400="両面")&gt;0)*(機器台帳!$F$2:$F$400&lt;&gt;"")*(機器台帳!$C$2:$C$400&lt;=16)*(機器台帳!$C$2:$C$400+機器台帳!$D$2:$D$400-1&gt;=16),0),0))&amp;IF(INDEX(機器台帳!$Y$2:$Y$400,MATCH(1,INDEX((機器台帳!$A$2:$A$400="E24-S8-3")*((機器台帳!$B$2:$B$400="背面")+(機器台帳!$B$2:$B$400="両面")&gt;0)*(機器台帳!$F$2:$F$400&lt;&gt;"")*(機器台帳!$C$2:$C$400&lt;=16)*(機器台帳!$C$2:$C$400+機器台帳!$D$2:$D$400-1&gt;=16),0),0))=0,"|未記入",""))</f>
        <v/>
      </c>
      <c r="N35" s="12">
        <f>IF(SUMPRODUCT((機器台帳!$A$2:$A$400="E24-S8-4")*((機器台帳!$B$2:$B$400="前面")+(機器台帳!$B$2:$B$400="両面")&gt;0)*(機器台帳!$F$2:$F$400&lt;&gt;"")*(機器台帳!$C$2:$C$400&lt;=16)*(機器台帳!$C$2:$C$400+機器台帳!$D$2:$D$400-1&gt;=16))=0,"",INDEX(機器台帳!$F$2:$F$400,MATCH(1,INDEX((機器台帳!$A$2:$A$400="E24-S8-4")*((機器台帳!$B$2:$B$400="前面")+(機器台帳!$B$2:$B$400="両面")&gt;0)*(機器台帳!$F$2:$F$400&lt;&gt;"")*(機器台帳!$C$2:$C$400&lt;=16)*(機器台帳!$C$2:$C$400+機器台帳!$D$2:$D$400-1&gt;=16),0),0))&amp;IF(INDEX(機器台帳!$G$2:$G$400,MATCH(1,INDEX((機器台帳!$A$2:$A$400="E24-S8-4")*((機器台帳!$B$2:$B$400="前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-4")*((機器台帳!$B$2:$B$400="前面")+(機器台帳!$B$2:$B$400="両面")&gt;0)*(機器台帳!$F$2:$F$400&lt;&gt;"")*(機器台帳!$C$2:$C$400&lt;=16)*(機器台帳!$C$2:$C$400+機器台帳!$D$2:$D$400-1&gt;=16),0),0)))&amp;IF(SUMPRODUCT((機器台帳!$A$2:$A$400="E24-S8-4")*((機器台帳!$B$2:$B$400="前面")+(機器台帳!$B$2:$B$400="両面")&gt;0)*(機器台帳!$F$2:$F$400&lt;&gt;"")*(機器台帳!$C$2:$C$400&lt;=16)*(機器台帳!$C$2:$C$400+機器台帳!$D$2:$D$400-1&gt;=16))&gt;1," 他"&amp;(SUMPRODUCT((機器台帳!$A$2:$A$400="E24-S8-4")*((機器台帳!$B$2:$B$400="前面")+(機器台帳!$B$2:$B$400="両面")&gt;0)*(機器台帳!$F$2:$F$400&lt;&gt;"")*(機器台帳!$C$2:$C$400&lt;=16)*(機器台帳!$C$2:$C$400+機器台帳!$D$2:$D$400-1&gt;=16))-1)&amp;"台",""))</f>
        <v/>
      </c>
      <c r="O35">
        <f>IF(SUMPRODUCT((機器台帳!$A$2:$A$400="E24-S8-4")*((機器台帳!$B$2:$B$400="前面")+(機器台帳!$B$2:$B$400="両面")&gt;0)*(機器台帳!$F$2:$F$400&lt;&gt;"")*(機器台帳!$C$2:$C$400&lt;=16)*(機器台帳!$C$2:$C$400+機器台帳!$D$2:$D$400-1&gt;=16))=0,"",INDEX(機器台帳!$I$2:$I$400,MATCH(1,INDEX((機器台帳!$A$2:$A$400="E24-S8-4")*((機器台帳!$B$2:$B$400="前面")+(機器台帳!$B$2:$B$400="両面")&gt;0)*(機器台帳!$F$2:$F$400&lt;&gt;"")*(機器台帳!$C$2:$C$400&lt;=16)*(機器台帳!$C$2:$C$400+機器台帳!$D$2:$D$400-1&gt;=16),0),0))&amp;IF(INDEX(機器台帳!$Y$2:$Y$400,MATCH(1,INDEX((機器台帳!$A$2:$A$400="E24-S8-4")*((機器台帳!$B$2:$B$400="前面")+(機器台帳!$B$2:$B$400="両面")&gt;0)*(機器台帳!$F$2:$F$400&lt;&gt;"")*(機器台帳!$C$2:$C$400&lt;=16)*(機器台帳!$C$2:$C$400+機器台帳!$D$2:$D$400-1&gt;=16),0),0))=0,"|未記入",""))</f>
        <v/>
      </c>
      <c r="P35" s="12">
        <f>IF(SUMPRODUCT((機器台帳!$A$2:$A$400="E24-S8-4")*((機器台帳!$B$2:$B$400="背面")+(機器台帳!$B$2:$B$400="両面")&gt;0)*(機器台帳!$F$2:$F$400&lt;&gt;"")*(機器台帳!$C$2:$C$400&lt;=16)*(機器台帳!$C$2:$C$400+機器台帳!$D$2:$D$400-1&gt;=16))=0,"",INDEX(機器台帳!$F$2:$F$400,MATCH(1,INDEX((機器台帳!$A$2:$A$400="E24-S8-4")*((機器台帳!$B$2:$B$400="背面")+(機器台帳!$B$2:$B$400="両面")&gt;0)*(機器台帳!$F$2:$F$400&lt;&gt;"")*(機器台帳!$C$2:$C$400&lt;=16)*(機器台帳!$C$2:$C$400+機器台帳!$D$2:$D$400-1&gt;=16),0),0))&amp;IF(INDEX(機器台帳!$G$2:$G$400,MATCH(1,INDEX((機器台帳!$A$2:$A$400="E24-S8-4")*((機器台帳!$B$2:$B$400="背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-4")*((機器台帳!$B$2:$B$400="背面")+(機器台帳!$B$2:$B$400="両面")&gt;0)*(機器台帳!$F$2:$F$400&lt;&gt;"")*(機器台帳!$C$2:$C$400&lt;=16)*(機器台帳!$C$2:$C$400+機器台帳!$D$2:$D$400-1&gt;=16),0),0)))&amp;IF(SUMPRODUCT((機器台帳!$A$2:$A$400="E24-S8-4")*((機器台帳!$B$2:$B$400="背面")+(機器台帳!$B$2:$B$400="両面")&gt;0)*(機器台帳!$F$2:$F$400&lt;&gt;"")*(機器台帳!$C$2:$C$400&lt;=16)*(機器台帳!$C$2:$C$400+機器台帳!$D$2:$D$400-1&gt;=16))&gt;1," 他"&amp;(SUMPRODUCT((機器台帳!$A$2:$A$400="E24-S8-4")*((機器台帳!$B$2:$B$400="背面")+(機器台帳!$B$2:$B$400="両面")&gt;0)*(機器台帳!$F$2:$F$400&lt;&gt;"")*(機器台帳!$C$2:$C$400&lt;=16)*(機器台帳!$C$2:$C$400+機器台帳!$D$2:$D$400-1&gt;=16))-1)&amp;"台",""))</f>
        <v/>
      </c>
      <c r="Q35">
        <f>IF(SUMPRODUCT((機器台帳!$A$2:$A$400="E24-S8-4")*((機器台帳!$B$2:$B$400="背面")+(機器台帳!$B$2:$B$400="両面")&gt;0)*(機器台帳!$F$2:$F$400&lt;&gt;"")*(機器台帳!$C$2:$C$400&lt;=16)*(機器台帳!$C$2:$C$400+機器台帳!$D$2:$D$400-1&gt;=16))=0,"",INDEX(機器台帳!$I$2:$I$400,MATCH(1,INDEX((機器台帳!$A$2:$A$400="E24-S8-4")*((機器台帳!$B$2:$B$400="背面")+(機器台帳!$B$2:$B$400="両面")&gt;0)*(機器台帳!$F$2:$F$400&lt;&gt;"")*(機器台帳!$C$2:$C$400&lt;=16)*(機器台帳!$C$2:$C$400+機器台帳!$D$2:$D$400-1&gt;=16),0),0))&amp;IF(INDEX(機器台帳!$Y$2:$Y$400,MATCH(1,INDEX((機器台帳!$A$2:$A$400="E24-S8-4")*((機器台帳!$B$2:$B$400="背面")+(機器台帳!$B$2:$B$400="両面")&gt;0)*(機器台帳!$F$2:$F$400&lt;&gt;"")*(機器台帳!$C$2:$C$400&lt;=16)*(機器台帳!$C$2:$C$400+機器台帳!$D$2:$D$400-1&gt;=16),0),0))=0,"|未記入",""))</f>
        <v/>
      </c>
      <c r="R35" s="12">
        <f>IF(SUMPRODUCT((機器台帳!$A$2:$A$400="E24-S8-5")*((機器台帳!$B$2:$B$400="前面")+(機器台帳!$B$2:$B$400="両面")&gt;0)*(機器台帳!$F$2:$F$400&lt;&gt;"")*(機器台帳!$C$2:$C$400&lt;=16)*(機器台帳!$C$2:$C$400+機器台帳!$D$2:$D$400-1&gt;=16))=0,"",INDEX(機器台帳!$F$2:$F$400,MATCH(1,INDEX((機器台帳!$A$2:$A$400="E24-S8-5")*((機器台帳!$B$2:$B$400="前面")+(機器台帳!$B$2:$B$400="両面")&gt;0)*(機器台帳!$F$2:$F$400&lt;&gt;"")*(機器台帳!$C$2:$C$400&lt;=16)*(機器台帳!$C$2:$C$400+機器台帳!$D$2:$D$400-1&gt;=16),0),0))&amp;IF(INDEX(機器台帳!$G$2:$G$400,MATCH(1,INDEX((機器台帳!$A$2:$A$400="E24-S8-5")*((機器台帳!$B$2:$B$400="前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-5")*((機器台帳!$B$2:$B$400="前面")+(機器台帳!$B$2:$B$400="両面")&gt;0)*(機器台帳!$F$2:$F$400&lt;&gt;"")*(機器台帳!$C$2:$C$400&lt;=16)*(機器台帳!$C$2:$C$400+機器台帳!$D$2:$D$400-1&gt;=16),0),0)))&amp;IF(SUMPRODUCT((機器台帳!$A$2:$A$400="E24-S8-5")*((機器台帳!$B$2:$B$400="前面")+(機器台帳!$B$2:$B$400="両面")&gt;0)*(機器台帳!$F$2:$F$400&lt;&gt;"")*(機器台帳!$C$2:$C$400&lt;=16)*(機器台帳!$C$2:$C$400+機器台帳!$D$2:$D$400-1&gt;=16))&gt;1," 他"&amp;(SUMPRODUCT((機器台帳!$A$2:$A$400="E24-S8-5")*((機器台帳!$B$2:$B$400="前面")+(機器台帳!$B$2:$B$400="両面")&gt;0)*(機器台帳!$F$2:$F$400&lt;&gt;"")*(機器台帳!$C$2:$C$400&lt;=16)*(機器台帳!$C$2:$C$400+機器台帳!$D$2:$D$400-1&gt;=16))-1)&amp;"台",""))</f>
        <v/>
      </c>
      <c r="S35">
        <f>IF(SUMPRODUCT((機器台帳!$A$2:$A$400="E24-S8-5")*((機器台帳!$B$2:$B$400="前面")+(機器台帳!$B$2:$B$400="両面")&gt;0)*(機器台帳!$F$2:$F$400&lt;&gt;"")*(機器台帳!$C$2:$C$400&lt;=16)*(機器台帳!$C$2:$C$400+機器台帳!$D$2:$D$400-1&gt;=16))=0,"",INDEX(機器台帳!$I$2:$I$400,MATCH(1,INDEX((機器台帳!$A$2:$A$400="E24-S8-5")*((機器台帳!$B$2:$B$400="前面")+(機器台帳!$B$2:$B$400="両面")&gt;0)*(機器台帳!$F$2:$F$400&lt;&gt;"")*(機器台帳!$C$2:$C$400&lt;=16)*(機器台帳!$C$2:$C$400+機器台帳!$D$2:$D$400-1&gt;=16),0),0))&amp;IF(INDEX(機器台帳!$Y$2:$Y$400,MATCH(1,INDEX((機器台帳!$A$2:$A$400="E24-S8-5")*((機器台帳!$B$2:$B$400="前面")+(機器台帳!$B$2:$B$400="両面")&gt;0)*(機器台帳!$F$2:$F$400&lt;&gt;"")*(機器台帳!$C$2:$C$400&lt;=16)*(機器台帳!$C$2:$C$400+機器台帳!$D$2:$D$400-1&gt;=16),0),0))=0,"|未記入",""))</f>
        <v/>
      </c>
      <c r="T35" s="12">
        <f>IF(SUMPRODUCT((機器台帳!$A$2:$A$400="E24-S8-5")*((機器台帳!$B$2:$B$400="背面")+(機器台帳!$B$2:$B$400="両面")&gt;0)*(機器台帳!$F$2:$F$400&lt;&gt;"")*(機器台帳!$C$2:$C$400&lt;=16)*(機器台帳!$C$2:$C$400+機器台帳!$D$2:$D$400-1&gt;=16))=0,"",INDEX(機器台帳!$F$2:$F$400,MATCH(1,INDEX((機器台帳!$A$2:$A$400="E24-S8-5")*((機器台帳!$B$2:$B$400="背面")+(機器台帳!$B$2:$B$400="両面")&gt;0)*(機器台帳!$F$2:$F$400&lt;&gt;"")*(機器台帳!$C$2:$C$400&lt;=16)*(機器台帳!$C$2:$C$400+機器台帳!$D$2:$D$400-1&gt;=16),0),0))&amp;IF(INDEX(機器台帳!$G$2:$G$400,MATCH(1,INDEX((機器台帳!$A$2:$A$400="E24-S8-5")*((機器台帳!$B$2:$B$400="背面")+(機器台帳!$B$2:$B$400="両面")&gt;0)*(機器台帳!$F$2:$F$400&lt;&gt;"")*(機器台帳!$C$2:$C$400&lt;=16)*(機器台帳!$C$2:$C$400+機器台帳!$D$2:$D$400-1&gt;=16),0),0))=""," "," "&amp;INDEX(機器台帳!$G$2:$G$400,MATCH(1,INDEX((機器台帳!$A$2:$A$400="E24-S8-5")*((機器台帳!$B$2:$B$400="背面")+(機器台帳!$B$2:$B$400="両面")&gt;0)*(機器台帳!$F$2:$F$400&lt;&gt;"")*(機器台帳!$C$2:$C$400&lt;=16)*(機器台帳!$C$2:$C$400+機器台帳!$D$2:$D$400-1&gt;=16),0),0)))&amp;IF(SUMPRODUCT((機器台帳!$A$2:$A$400="E24-S8-5")*((機器台帳!$B$2:$B$400="背面")+(機器台帳!$B$2:$B$400="両面")&gt;0)*(機器台帳!$F$2:$F$400&lt;&gt;"")*(機器台帳!$C$2:$C$400&lt;=16)*(機器台帳!$C$2:$C$400+機器台帳!$D$2:$D$400-1&gt;=16))&gt;1," 他"&amp;(SUMPRODUCT((機器台帳!$A$2:$A$400="E24-S8-5")*((機器台帳!$B$2:$B$400="背面")+(機器台帳!$B$2:$B$400="両面")&gt;0)*(機器台帳!$F$2:$F$400&lt;&gt;"")*(機器台帳!$C$2:$C$400&lt;=16)*(機器台帳!$C$2:$C$400+機器台帳!$D$2:$D$400-1&gt;=16))-1)&amp;"台",""))</f>
        <v/>
      </c>
      <c r="U35">
        <f>IF(SUMPRODUCT((機器台帳!$A$2:$A$400="E24-S8-5")*((機器台帳!$B$2:$B$400="背面")+(機器台帳!$B$2:$B$400="両面")&gt;0)*(機器台帳!$F$2:$F$400&lt;&gt;"")*(機器台帳!$C$2:$C$400&lt;=16)*(機器台帳!$C$2:$C$400+機器台帳!$D$2:$D$400-1&gt;=16))=0,"",INDEX(機器台帳!$I$2:$I$400,MATCH(1,INDEX((機器台帳!$A$2:$A$400="E24-S8-5")*((機器台帳!$B$2:$B$400="背面")+(機器台帳!$B$2:$B$400="両面")&gt;0)*(機器台帳!$F$2:$F$400&lt;&gt;"")*(機器台帳!$C$2:$C$400&lt;=16)*(機器台帳!$C$2:$C$400+機器台帳!$D$2:$D$400-1&gt;=16),0),0))&amp;IF(INDEX(機器台帳!$Y$2:$Y$400,MATCH(1,INDEX((機器台帳!$A$2:$A$400="E24-S8-5")*((機器台帳!$B$2:$B$400="背面")+(機器台帳!$B$2:$B$400="両面")&gt;0)*(機器台帳!$F$2:$F$400&lt;&gt;"")*(機器台帳!$C$2:$C$400&lt;=16)*(機器台帳!$C$2:$C$400+機器台帳!$D$2:$D$400-1&gt;=16),0),0))=0,"|未記入",""))</f>
        <v/>
      </c>
      <c r="V35" s="12">
        <f>IF(SUMPRODUCT((機器台帳!$A$2:$A$400="E24-S6-1")*((機器台帳!$B$2:$B$400="前面")+(機器台帳!$B$2:$B$400="両面")&gt;0)*(機器台帳!$F$2:$F$400&lt;&gt;"")*(機器台帳!$C$2:$C$400&lt;=16)*(機器台帳!$C$2:$C$400+機器台帳!$D$2:$D$400-1&gt;=16))=0,"",INDEX(機器台帳!$F$2:$F$400,MATCH(1,INDEX((機器台帳!$A$2:$A$400="E24-S6-1")*((機器台帳!$B$2:$B$400="前面")+(機器台帳!$B$2:$B$400="両面")&gt;0)*(機器台帳!$F$2:$F$400&lt;&gt;"")*(機器台帳!$C$2:$C$400&lt;=16)*(機器台帳!$C$2:$C$400+機器台帳!$D$2:$D$400-1&gt;=16),0),0))&amp;IF(INDEX(機器台帳!$G$2:$G$400,MATCH(1,INDEX((機器台帳!$A$2:$A$400="E24-S6-1")*((機器台帳!$B$2:$B$400="前面")+(機器台帳!$B$2:$B$400="両面")&gt;0)*(機器台帳!$F$2:$F$400&lt;&gt;"")*(機器台帳!$C$2:$C$400&lt;=16)*(機器台帳!$C$2:$C$400+機器台帳!$D$2:$D$400-1&gt;=16),0),0))=""," "," "&amp;INDEX(機器台帳!$G$2:$G$400,MATCH(1,INDEX((機器台帳!$A$2:$A$400="E24-S6-1")*((機器台帳!$B$2:$B$400="前面")+(機器台帳!$B$2:$B$400="両面")&gt;0)*(機器台帳!$F$2:$F$400&lt;&gt;"")*(機器台帳!$C$2:$C$400&lt;=16)*(機器台帳!$C$2:$C$400+機器台帳!$D$2:$D$400-1&gt;=16),0),0)))&amp;IF(SUMPRODUCT((機器台帳!$A$2:$A$400="E24-S6-1")*((機器台帳!$B$2:$B$400="前面")+(機器台帳!$B$2:$B$400="両面")&gt;0)*(機器台帳!$F$2:$F$400&lt;&gt;"")*(機器台帳!$C$2:$C$400&lt;=16)*(機器台帳!$C$2:$C$400+機器台帳!$D$2:$D$400-1&gt;=16))&gt;1," 他"&amp;(SUMPRODUCT((機器台帳!$A$2:$A$400="E24-S6-1")*((機器台帳!$B$2:$B$400="前面")+(機器台帳!$B$2:$B$400="両面")&gt;0)*(機器台帳!$F$2:$F$400&lt;&gt;"")*(機器台帳!$C$2:$C$400&lt;=16)*(機器台帳!$C$2:$C$400+機器台帳!$D$2:$D$400-1&gt;=16))-1)&amp;"台",""))</f>
        <v/>
      </c>
      <c r="W35">
        <f>IF(SUMPRODUCT((機器台帳!$A$2:$A$400="E24-S6-1")*((機器台帳!$B$2:$B$400="前面")+(機器台帳!$B$2:$B$400="両面")&gt;0)*(機器台帳!$F$2:$F$400&lt;&gt;"")*(機器台帳!$C$2:$C$400&lt;=16)*(機器台帳!$C$2:$C$400+機器台帳!$D$2:$D$400-1&gt;=16))=0,"",INDEX(機器台帳!$I$2:$I$400,MATCH(1,INDEX((機器台帳!$A$2:$A$400="E24-S6-1")*((機器台帳!$B$2:$B$400="前面")+(機器台帳!$B$2:$B$400="両面")&gt;0)*(機器台帳!$F$2:$F$400&lt;&gt;"")*(機器台帳!$C$2:$C$400&lt;=16)*(機器台帳!$C$2:$C$400+機器台帳!$D$2:$D$400-1&gt;=16),0),0))&amp;IF(INDEX(機器台帳!$Y$2:$Y$400,MATCH(1,INDEX((機器台帳!$A$2:$A$400="E24-S6-1")*((機器台帳!$B$2:$B$400="前面")+(機器台帳!$B$2:$B$400="両面")&gt;0)*(機器台帳!$F$2:$F$400&lt;&gt;"")*(機器台帳!$C$2:$C$400&lt;=16)*(機器台帳!$C$2:$C$400+機器台帳!$D$2:$D$400-1&gt;=16),0),0))=0,"|未記入",""))</f>
        <v/>
      </c>
      <c r="X35" s="12">
        <f>IF(SUMPRODUCT((機器台帳!$A$2:$A$400="E24-S6-1")*((機器台帳!$B$2:$B$400="背面")+(機器台帳!$B$2:$B$400="両面")&gt;0)*(機器台帳!$F$2:$F$400&lt;&gt;"")*(機器台帳!$C$2:$C$400&lt;=16)*(機器台帳!$C$2:$C$400+機器台帳!$D$2:$D$400-1&gt;=16))=0,"",INDEX(機器台帳!$F$2:$F$400,MATCH(1,INDEX((機器台帳!$A$2:$A$400="E24-S6-1")*((機器台帳!$B$2:$B$400="背面")+(機器台帳!$B$2:$B$400="両面")&gt;0)*(機器台帳!$F$2:$F$400&lt;&gt;"")*(機器台帳!$C$2:$C$400&lt;=16)*(機器台帳!$C$2:$C$400+機器台帳!$D$2:$D$400-1&gt;=16),0),0))&amp;IF(INDEX(機器台帳!$G$2:$G$400,MATCH(1,INDEX((機器台帳!$A$2:$A$400="E24-S6-1")*((機器台帳!$B$2:$B$400="背面")+(機器台帳!$B$2:$B$400="両面")&gt;0)*(機器台帳!$F$2:$F$400&lt;&gt;"")*(機器台帳!$C$2:$C$400&lt;=16)*(機器台帳!$C$2:$C$400+機器台帳!$D$2:$D$400-1&gt;=16),0),0))=""," "," "&amp;INDEX(機器台帳!$G$2:$G$400,MATCH(1,INDEX((機器台帳!$A$2:$A$400="E24-S6-1")*((機器台帳!$B$2:$B$400="背面")+(機器台帳!$B$2:$B$400="両面")&gt;0)*(機器台帳!$F$2:$F$400&lt;&gt;"")*(機器台帳!$C$2:$C$400&lt;=16)*(機器台帳!$C$2:$C$400+機器台帳!$D$2:$D$400-1&gt;=16),0),0)))&amp;IF(SUMPRODUCT((機器台帳!$A$2:$A$400="E24-S6-1")*((機器台帳!$B$2:$B$400="背面")+(機器台帳!$B$2:$B$400="両面")&gt;0)*(機器台帳!$F$2:$F$400&lt;&gt;"")*(機器台帳!$C$2:$C$400&lt;=16)*(機器台帳!$C$2:$C$400+機器台帳!$D$2:$D$400-1&gt;=16))&gt;1," 他"&amp;(SUMPRODUCT((機器台帳!$A$2:$A$400="E24-S6-1")*((機器台帳!$B$2:$B$400="背面")+(機器台帳!$B$2:$B$400="両面")&gt;0)*(機器台帳!$F$2:$F$400&lt;&gt;"")*(機器台帳!$C$2:$C$400&lt;=16)*(機器台帳!$C$2:$C$400+機器台帳!$D$2:$D$400-1&gt;=16))-1)&amp;"台",""))</f>
        <v/>
      </c>
      <c r="Y35">
        <f>IF(SUMPRODUCT((機器台帳!$A$2:$A$400="E24-S6-1")*((機器台帳!$B$2:$B$400="背面")+(機器台帳!$B$2:$B$400="両面")&gt;0)*(機器台帳!$F$2:$F$400&lt;&gt;"")*(機器台帳!$C$2:$C$400&lt;=16)*(機器台帳!$C$2:$C$400+機器台帳!$D$2:$D$400-1&gt;=16))=0,"",INDEX(機器台帳!$I$2:$I$400,MATCH(1,INDEX((機器台帳!$A$2:$A$400="E24-S6-1")*((機器台帳!$B$2:$B$400="背面")+(機器台帳!$B$2:$B$400="両面")&gt;0)*(機器台帳!$F$2:$F$400&lt;&gt;"")*(機器台帳!$C$2:$C$400&lt;=16)*(機器台帳!$C$2:$C$400+機器台帳!$D$2:$D$400-1&gt;=16),0),0))&amp;IF(INDEX(機器台帳!$Y$2:$Y$400,MATCH(1,INDEX((機器台帳!$A$2:$A$400="E24-S6-1")*((機器台帳!$B$2:$B$400="背面")+(機器台帳!$B$2:$B$400="両面")&gt;0)*(機器台帳!$F$2:$F$400&lt;&gt;"")*(機器台帳!$C$2:$C$400&lt;=16)*(機器台帳!$C$2:$C$400+機器台帳!$D$2:$D$400-1&gt;=16),0),0))=0,"|未記入",""))</f>
        <v/>
      </c>
    </row>
    <row r="36">
      <c r="A36" s="11" t="n">
        <v>15</v>
      </c>
      <c r="B36" s="12">
        <f>IF(SUMPRODUCT((機器台帳!$A$2:$A$400="E24-S8-1")*((機器台帳!$B$2:$B$400="前面")+(機器台帳!$B$2:$B$400="両面")&gt;0)*(機器台帳!$F$2:$F$400&lt;&gt;"")*(機器台帳!$C$2:$C$400&lt;=15)*(機器台帳!$C$2:$C$400+機器台帳!$D$2:$D$400-1&gt;=15))=0,"",INDEX(機器台帳!$F$2:$F$400,MATCH(1,INDEX((機器台帳!$A$2:$A$400="E24-S8-1")*((機器台帳!$B$2:$B$400="前面")+(機器台帳!$B$2:$B$400="両面")&gt;0)*(機器台帳!$F$2:$F$400&lt;&gt;"")*(機器台帳!$C$2:$C$400&lt;=15)*(機器台帳!$C$2:$C$400+機器台帳!$D$2:$D$400-1&gt;=15),0),0))&amp;IF(INDEX(機器台帳!$G$2:$G$400,MATCH(1,INDEX((機器台帳!$A$2:$A$400="E24-S8-1")*((機器台帳!$B$2:$B$400="前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-1")*((機器台帳!$B$2:$B$400="前面")+(機器台帳!$B$2:$B$400="両面")&gt;0)*(機器台帳!$F$2:$F$400&lt;&gt;"")*(機器台帳!$C$2:$C$400&lt;=15)*(機器台帳!$C$2:$C$400+機器台帳!$D$2:$D$400-1&gt;=15),0),0)))&amp;IF(SUMPRODUCT((機器台帳!$A$2:$A$400="E24-S8-1")*((機器台帳!$B$2:$B$400="前面")+(機器台帳!$B$2:$B$400="両面")&gt;0)*(機器台帳!$F$2:$F$400&lt;&gt;"")*(機器台帳!$C$2:$C$400&lt;=15)*(機器台帳!$C$2:$C$400+機器台帳!$D$2:$D$400-1&gt;=15))&gt;1," 他"&amp;(SUMPRODUCT((機器台帳!$A$2:$A$400="E24-S8-1")*((機器台帳!$B$2:$B$400="前面")+(機器台帳!$B$2:$B$400="両面")&gt;0)*(機器台帳!$F$2:$F$400&lt;&gt;"")*(機器台帳!$C$2:$C$400&lt;=15)*(機器台帳!$C$2:$C$400+機器台帳!$D$2:$D$400-1&gt;=15))-1)&amp;"台",""))</f>
        <v/>
      </c>
      <c r="C36">
        <f>IF(SUMPRODUCT((機器台帳!$A$2:$A$400="E24-S8-1")*((機器台帳!$B$2:$B$400="前面")+(機器台帳!$B$2:$B$400="両面")&gt;0)*(機器台帳!$F$2:$F$400&lt;&gt;"")*(機器台帳!$C$2:$C$400&lt;=15)*(機器台帳!$C$2:$C$400+機器台帳!$D$2:$D$400-1&gt;=15))=0,"",INDEX(機器台帳!$I$2:$I$400,MATCH(1,INDEX((機器台帳!$A$2:$A$400="E24-S8-1")*((機器台帳!$B$2:$B$400="前面")+(機器台帳!$B$2:$B$400="両面")&gt;0)*(機器台帳!$F$2:$F$400&lt;&gt;"")*(機器台帳!$C$2:$C$400&lt;=15)*(機器台帳!$C$2:$C$400+機器台帳!$D$2:$D$400-1&gt;=15),0),0))&amp;IF(INDEX(機器台帳!$Y$2:$Y$400,MATCH(1,INDEX((機器台帳!$A$2:$A$400="E24-S8-1")*((機器台帳!$B$2:$B$400="前面")+(機器台帳!$B$2:$B$400="両面")&gt;0)*(機器台帳!$F$2:$F$400&lt;&gt;"")*(機器台帳!$C$2:$C$400&lt;=15)*(機器台帳!$C$2:$C$400+機器台帳!$D$2:$D$400-1&gt;=15),0),0))=0,"|未記入",""))</f>
        <v/>
      </c>
      <c r="D36" s="12">
        <f>IF(SUMPRODUCT((機器台帳!$A$2:$A$400="E24-S8-1")*((機器台帳!$B$2:$B$400="背面")+(機器台帳!$B$2:$B$400="両面")&gt;0)*(機器台帳!$F$2:$F$400&lt;&gt;"")*(機器台帳!$C$2:$C$400&lt;=15)*(機器台帳!$C$2:$C$400+機器台帳!$D$2:$D$400-1&gt;=15))=0,"",INDEX(機器台帳!$F$2:$F$400,MATCH(1,INDEX((機器台帳!$A$2:$A$400="E24-S8-1")*((機器台帳!$B$2:$B$400="背面")+(機器台帳!$B$2:$B$400="両面")&gt;0)*(機器台帳!$F$2:$F$400&lt;&gt;"")*(機器台帳!$C$2:$C$400&lt;=15)*(機器台帳!$C$2:$C$400+機器台帳!$D$2:$D$400-1&gt;=15),0),0))&amp;IF(INDEX(機器台帳!$G$2:$G$400,MATCH(1,INDEX((機器台帳!$A$2:$A$400="E24-S8-1")*((機器台帳!$B$2:$B$400="背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-1")*((機器台帳!$B$2:$B$400="背面")+(機器台帳!$B$2:$B$400="両面")&gt;0)*(機器台帳!$F$2:$F$400&lt;&gt;"")*(機器台帳!$C$2:$C$400&lt;=15)*(機器台帳!$C$2:$C$400+機器台帳!$D$2:$D$400-1&gt;=15),0),0)))&amp;IF(SUMPRODUCT((機器台帳!$A$2:$A$400="E24-S8-1")*((機器台帳!$B$2:$B$400="背面")+(機器台帳!$B$2:$B$400="両面")&gt;0)*(機器台帳!$F$2:$F$400&lt;&gt;"")*(機器台帳!$C$2:$C$400&lt;=15)*(機器台帳!$C$2:$C$400+機器台帳!$D$2:$D$400-1&gt;=15))&gt;1," 他"&amp;(SUMPRODUCT((機器台帳!$A$2:$A$400="E24-S8-1")*((機器台帳!$B$2:$B$400="背面")+(機器台帳!$B$2:$B$400="両面")&gt;0)*(機器台帳!$F$2:$F$400&lt;&gt;"")*(機器台帳!$C$2:$C$400&lt;=15)*(機器台帳!$C$2:$C$400+機器台帳!$D$2:$D$400-1&gt;=15))-1)&amp;"台",""))</f>
        <v/>
      </c>
      <c r="E36">
        <f>IF(SUMPRODUCT((機器台帳!$A$2:$A$400="E24-S8-1")*((機器台帳!$B$2:$B$400="背面")+(機器台帳!$B$2:$B$400="両面")&gt;0)*(機器台帳!$F$2:$F$400&lt;&gt;"")*(機器台帳!$C$2:$C$400&lt;=15)*(機器台帳!$C$2:$C$400+機器台帳!$D$2:$D$400-1&gt;=15))=0,"",INDEX(機器台帳!$I$2:$I$400,MATCH(1,INDEX((機器台帳!$A$2:$A$400="E24-S8-1")*((機器台帳!$B$2:$B$400="背面")+(機器台帳!$B$2:$B$400="両面")&gt;0)*(機器台帳!$F$2:$F$400&lt;&gt;"")*(機器台帳!$C$2:$C$400&lt;=15)*(機器台帳!$C$2:$C$400+機器台帳!$D$2:$D$400-1&gt;=15),0),0))&amp;IF(INDEX(機器台帳!$Y$2:$Y$400,MATCH(1,INDEX((機器台帳!$A$2:$A$400="E24-S8-1")*((機器台帳!$B$2:$B$400="背面")+(機器台帳!$B$2:$B$400="両面")&gt;0)*(機器台帳!$F$2:$F$400&lt;&gt;"")*(機器台帳!$C$2:$C$400&lt;=15)*(機器台帳!$C$2:$C$400+機器台帳!$D$2:$D$400-1&gt;=15),0),0))=0,"|未記入",""))</f>
        <v/>
      </c>
      <c r="F36" s="12">
        <f>IF(SUMPRODUCT((機器台帳!$A$2:$A$400="E24-S8-2")*((機器台帳!$B$2:$B$400="前面")+(機器台帳!$B$2:$B$400="両面")&gt;0)*(機器台帳!$F$2:$F$400&lt;&gt;"")*(機器台帳!$C$2:$C$400&lt;=15)*(機器台帳!$C$2:$C$400+機器台帳!$D$2:$D$400-1&gt;=15))=0,"",INDEX(機器台帳!$F$2:$F$400,MATCH(1,INDEX((機器台帳!$A$2:$A$400="E24-S8-2")*((機器台帳!$B$2:$B$400="前面")+(機器台帳!$B$2:$B$400="両面")&gt;0)*(機器台帳!$F$2:$F$400&lt;&gt;"")*(機器台帳!$C$2:$C$400&lt;=15)*(機器台帳!$C$2:$C$400+機器台帳!$D$2:$D$400-1&gt;=15),0),0))&amp;IF(INDEX(機器台帳!$G$2:$G$400,MATCH(1,INDEX((機器台帳!$A$2:$A$400="E24-S8-2")*((機器台帳!$B$2:$B$400="前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-2")*((機器台帳!$B$2:$B$400="前面")+(機器台帳!$B$2:$B$400="両面")&gt;0)*(機器台帳!$F$2:$F$400&lt;&gt;"")*(機器台帳!$C$2:$C$400&lt;=15)*(機器台帳!$C$2:$C$400+機器台帳!$D$2:$D$400-1&gt;=15),0),0)))&amp;IF(SUMPRODUCT((機器台帳!$A$2:$A$400="E24-S8-2")*((機器台帳!$B$2:$B$400="前面")+(機器台帳!$B$2:$B$400="両面")&gt;0)*(機器台帳!$F$2:$F$400&lt;&gt;"")*(機器台帳!$C$2:$C$400&lt;=15)*(機器台帳!$C$2:$C$400+機器台帳!$D$2:$D$400-1&gt;=15))&gt;1," 他"&amp;(SUMPRODUCT((機器台帳!$A$2:$A$400="E24-S8-2")*((機器台帳!$B$2:$B$400="前面")+(機器台帳!$B$2:$B$400="両面")&gt;0)*(機器台帳!$F$2:$F$400&lt;&gt;"")*(機器台帳!$C$2:$C$400&lt;=15)*(機器台帳!$C$2:$C$400+機器台帳!$D$2:$D$400-1&gt;=15))-1)&amp;"台",""))</f>
        <v/>
      </c>
      <c r="G36">
        <f>IF(SUMPRODUCT((機器台帳!$A$2:$A$400="E24-S8-2")*((機器台帳!$B$2:$B$400="前面")+(機器台帳!$B$2:$B$400="両面")&gt;0)*(機器台帳!$F$2:$F$400&lt;&gt;"")*(機器台帳!$C$2:$C$400&lt;=15)*(機器台帳!$C$2:$C$400+機器台帳!$D$2:$D$400-1&gt;=15))=0,"",INDEX(機器台帳!$I$2:$I$400,MATCH(1,INDEX((機器台帳!$A$2:$A$400="E24-S8-2")*((機器台帳!$B$2:$B$400="前面")+(機器台帳!$B$2:$B$400="両面")&gt;0)*(機器台帳!$F$2:$F$400&lt;&gt;"")*(機器台帳!$C$2:$C$400&lt;=15)*(機器台帳!$C$2:$C$400+機器台帳!$D$2:$D$400-1&gt;=15),0),0))&amp;IF(INDEX(機器台帳!$Y$2:$Y$400,MATCH(1,INDEX((機器台帳!$A$2:$A$400="E24-S8-2")*((機器台帳!$B$2:$B$400="前面")+(機器台帳!$B$2:$B$400="両面")&gt;0)*(機器台帳!$F$2:$F$400&lt;&gt;"")*(機器台帳!$C$2:$C$400&lt;=15)*(機器台帳!$C$2:$C$400+機器台帳!$D$2:$D$400-1&gt;=15),0),0))=0,"|未記入",""))</f>
        <v/>
      </c>
      <c r="H36" s="12">
        <f>IF(SUMPRODUCT((機器台帳!$A$2:$A$400="E24-S8-2")*((機器台帳!$B$2:$B$400="背面")+(機器台帳!$B$2:$B$400="両面")&gt;0)*(機器台帳!$F$2:$F$400&lt;&gt;"")*(機器台帳!$C$2:$C$400&lt;=15)*(機器台帳!$C$2:$C$400+機器台帳!$D$2:$D$400-1&gt;=15))=0,"",INDEX(機器台帳!$F$2:$F$400,MATCH(1,INDEX((機器台帳!$A$2:$A$400="E24-S8-2")*((機器台帳!$B$2:$B$400="背面")+(機器台帳!$B$2:$B$400="両面")&gt;0)*(機器台帳!$F$2:$F$400&lt;&gt;"")*(機器台帳!$C$2:$C$400&lt;=15)*(機器台帳!$C$2:$C$400+機器台帳!$D$2:$D$400-1&gt;=15),0),0))&amp;IF(INDEX(機器台帳!$G$2:$G$400,MATCH(1,INDEX((機器台帳!$A$2:$A$400="E24-S8-2")*((機器台帳!$B$2:$B$400="背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-2")*((機器台帳!$B$2:$B$400="背面")+(機器台帳!$B$2:$B$400="両面")&gt;0)*(機器台帳!$F$2:$F$400&lt;&gt;"")*(機器台帳!$C$2:$C$400&lt;=15)*(機器台帳!$C$2:$C$400+機器台帳!$D$2:$D$400-1&gt;=15),0),0)))&amp;IF(SUMPRODUCT((機器台帳!$A$2:$A$400="E24-S8-2")*((機器台帳!$B$2:$B$400="背面")+(機器台帳!$B$2:$B$400="両面")&gt;0)*(機器台帳!$F$2:$F$400&lt;&gt;"")*(機器台帳!$C$2:$C$400&lt;=15)*(機器台帳!$C$2:$C$400+機器台帳!$D$2:$D$400-1&gt;=15))&gt;1," 他"&amp;(SUMPRODUCT((機器台帳!$A$2:$A$400="E24-S8-2")*((機器台帳!$B$2:$B$400="背面")+(機器台帳!$B$2:$B$400="両面")&gt;0)*(機器台帳!$F$2:$F$400&lt;&gt;"")*(機器台帳!$C$2:$C$400&lt;=15)*(機器台帳!$C$2:$C$400+機器台帳!$D$2:$D$400-1&gt;=15))-1)&amp;"台",""))</f>
        <v/>
      </c>
      <c r="I36">
        <f>IF(SUMPRODUCT((機器台帳!$A$2:$A$400="E24-S8-2")*((機器台帳!$B$2:$B$400="背面")+(機器台帳!$B$2:$B$400="両面")&gt;0)*(機器台帳!$F$2:$F$400&lt;&gt;"")*(機器台帳!$C$2:$C$400&lt;=15)*(機器台帳!$C$2:$C$400+機器台帳!$D$2:$D$400-1&gt;=15))=0,"",INDEX(機器台帳!$I$2:$I$400,MATCH(1,INDEX((機器台帳!$A$2:$A$400="E24-S8-2")*((機器台帳!$B$2:$B$400="背面")+(機器台帳!$B$2:$B$400="両面")&gt;0)*(機器台帳!$F$2:$F$400&lt;&gt;"")*(機器台帳!$C$2:$C$400&lt;=15)*(機器台帳!$C$2:$C$400+機器台帳!$D$2:$D$400-1&gt;=15),0),0))&amp;IF(INDEX(機器台帳!$Y$2:$Y$400,MATCH(1,INDEX((機器台帳!$A$2:$A$400="E24-S8-2")*((機器台帳!$B$2:$B$400="背面")+(機器台帳!$B$2:$B$400="両面")&gt;0)*(機器台帳!$F$2:$F$400&lt;&gt;"")*(機器台帳!$C$2:$C$400&lt;=15)*(機器台帳!$C$2:$C$400+機器台帳!$D$2:$D$400-1&gt;=15),0),0))=0,"|未記入",""))</f>
        <v/>
      </c>
      <c r="J36" s="12">
        <f>IF(SUMPRODUCT((機器台帳!$A$2:$A$400="E24-S8-3")*((機器台帳!$B$2:$B$400="前面")+(機器台帳!$B$2:$B$400="両面")&gt;0)*(機器台帳!$F$2:$F$400&lt;&gt;"")*(機器台帳!$C$2:$C$400&lt;=15)*(機器台帳!$C$2:$C$400+機器台帳!$D$2:$D$400-1&gt;=15))=0,"",INDEX(機器台帳!$F$2:$F$400,MATCH(1,INDEX((機器台帳!$A$2:$A$400="E24-S8-3")*((機器台帳!$B$2:$B$400="前面")+(機器台帳!$B$2:$B$400="両面")&gt;0)*(機器台帳!$F$2:$F$400&lt;&gt;"")*(機器台帳!$C$2:$C$400&lt;=15)*(機器台帳!$C$2:$C$400+機器台帳!$D$2:$D$400-1&gt;=15),0),0))&amp;IF(INDEX(機器台帳!$G$2:$G$400,MATCH(1,INDEX((機器台帳!$A$2:$A$400="E24-S8-3")*((機器台帳!$B$2:$B$400="前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-3")*((機器台帳!$B$2:$B$400="前面")+(機器台帳!$B$2:$B$400="両面")&gt;0)*(機器台帳!$F$2:$F$400&lt;&gt;"")*(機器台帳!$C$2:$C$400&lt;=15)*(機器台帳!$C$2:$C$400+機器台帳!$D$2:$D$400-1&gt;=15),0),0)))&amp;IF(SUMPRODUCT((機器台帳!$A$2:$A$400="E24-S8-3")*((機器台帳!$B$2:$B$400="前面")+(機器台帳!$B$2:$B$400="両面")&gt;0)*(機器台帳!$F$2:$F$400&lt;&gt;"")*(機器台帳!$C$2:$C$400&lt;=15)*(機器台帳!$C$2:$C$400+機器台帳!$D$2:$D$400-1&gt;=15))&gt;1," 他"&amp;(SUMPRODUCT((機器台帳!$A$2:$A$400="E24-S8-3")*((機器台帳!$B$2:$B$400="前面")+(機器台帳!$B$2:$B$400="両面")&gt;0)*(機器台帳!$F$2:$F$400&lt;&gt;"")*(機器台帳!$C$2:$C$400&lt;=15)*(機器台帳!$C$2:$C$400+機器台帳!$D$2:$D$400-1&gt;=15))-1)&amp;"台",""))</f>
        <v/>
      </c>
      <c r="K36">
        <f>IF(SUMPRODUCT((機器台帳!$A$2:$A$400="E24-S8-3")*((機器台帳!$B$2:$B$400="前面")+(機器台帳!$B$2:$B$400="両面")&gt;0)*(機器台帳!$F$2:$F$400&lt;&gt;"")*(機器台帳!$C$2:$C$400&lt;=15)*(機器台帳!$C$2:$C$400+機器台帳!$D$2:$D$400-1&gt;=15))=0,"",INDEX(機器台帳!$I$2:$I$400,MATCH(1,INDEX((機器台帳!$A$2:$A$400="E24-S8-3")*((機器台帳!$B$2:$B$400="前面")+(機器台帳!$B$2:$B$400="両面")&gt;0)*(機器台帳!$F$2:$F$400&lt;&gt;"")*(機器台帳!$C$2:$C$400&lt;=15)*(機器台帳!$C$2:$C$400+機器台帳!$D$2:$D$400-1&gt;=15),0),0))&amp;IF(INDEX(機器台帳!$Y$2:$Y$400,MATCH(1,INDEX((機器台帳!$A$2:$A$400="E24-S8-3")*((機器台帳!$B$2:$B$400="前面")+(機器台帳!$B$2:$B$400="両面")&gt;0)*(機器台帳!$F$2:$F$400&lt;&gt;"")*(機器台帳!$C$2:$C$400&lt;=15)*(機器台帳!$C$2:$C$400+機器台帳!$D$2:$D$400-1&gt;=15),0),0))=0,"|未記入",""))</f>
        <v/>
      </c>
      <c r="L36" s="12">
        <f>IF(SUMPRODUCT((機器台帳!$A$2:$A$400="E24-S8-3")*((機器台帳!$B$2:$B$400="背面")+(機器台帳!$B$2:$B$400="両面")&gt;0)*(機器台帳!$F$2:$F$400&lt;&gt;"")*(機器台帳!$C$2:$C$400&lt;=15)*(機器台帳!$C$2:$C$400+機器台帳!$D$2:$D$400-1&gt;=15))=0,"",INDEX(機器台帳!$F$2:$F$400,MATCH(1,INDEX((機器台帳!$A$2:$A$400="E24-S8-3")*((機器台帳!$B$2:$B$400="背面")+(機器台帳!$B$2:$B$400="両面")&gt;0)*(機器台帳!$F$2:$F$400&lt;&gt;"")*(機器台帳!$C$2:$C$400&lt;=15)*(機器台帳!$C$2:$C$400+機器台帳!$D$2:$D$400-1&gt;=15),0),0))&amp;IF(INDEX(機器台帳!$G$2:$G$400,MATCH(1,INDEX((機器台帳!$A$2:$A$400="E24-S8-3")*((機器台帳!$B$2:$B$400="背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-3")*((機器台帳!$B$2:$B$400="背面")+(機器台帳!$B$2:$B$400="両面")&gt;0)*(機器台帳!$F$2:$F$400&lt;&gt;"")*(機器台帳!$C$2:$C$400&lt;=15)*(機器台帳!$C$2:$C$400+機器台帳!$D$2:$D$400-1&gt;=15),0),0)))&amp;IF(SUMPRODUCT((機器台帳!$A$2:$A$400="E24-S8-3")*((機器台帳!$B$2:$B$400="背面")+(機器台帳!$B$2:$B$400="両面")&gt;0)*(機器台帳!$F$2:$F$400&lt;&gt;"")*(機器台帳!$C$2:$C$400&lt;=15)*(機器台帳!$C$2:$C$400+機器台帳!$D$2:$D$400-1&gt;=15))&gt;1," 他"&amp;(SUMPRODUCT((機器台帳!$A$2:$A$400="E24-S8-3")*((機器台帳!$B$2:$B$400="背面")+(機器台帳!$B$2:$B$400="両面")&gt;0)*(機器台帳!$F$2:$F$400&lt;&gt;"")*(機器台帳!$C$2:$C$400&lt;=15)*(機器台帳!$C$2:$C$400+機器台帳!$D$2:$D$400-1&gt;=15))-1)&amp;"台",""))</f>
        <v/>
      </c>
      <c r="M36">
        <f>IF(SUMPRODUCT((機器台帳!$A$2:$A$400="E24-S8-3")*((機器台帳!$B$2:$B$400="背面")+(機器台帳!$B$2:$B$400="両面")&gt;0)*(機器台帳!$F$2:$F$400&lt;&gt;"")*(機器台帳!$C$2:$C$400&lt;=15)*(機器台帳!$C$2:$C$400+機器台帳!$D$2:$D$400-1&gt;=15))=0,"",INDEX(機器台帳!$I$2:$I$400,MATCH(1,INDEX((機器台帳!$A$2:$A$400="E24-S8-3")*((機器台帳!$B$2:$B$400="背面")+(機器台帳!$B$2:$B$400="両面")&gt;0)*(機器台帳!$F$2:$F$400&lt;&gt;"")*(機器台帳!$C$2:$C$400&lt;=15)*(機器台帳!$C$2:$C$400+機器台帳!$D$2:$D$400-1&gt;=15),0),0))&amp;IF(INDEX(機器台帳!$Y$2:$Y$400,MATCH(1,INDEX((機器台帳!$A$2:$A$400="E24-S8-3")*((機器台帳!$B$2:$B$400="背面")+(機器台帳!$B$2:$B$400="両面")&gt;0)*(機器台帳!$F$2:$F$400&lt;&gt;"")*(機器台帳!$C$2:$C$400&lt;=15)*(機器台帳!$C$2:$C$400+機器台帳!$D$2:$D$400-1&gt;=15),0),0))=0,"|未記入",""))</f>
        <v/>
      </c>
      <c r="N36" s="12">
        <f>IF(SUMPRODUCT((機器台帳!$A$2:$A$400="E24-S8-4")*((機器台帳!$B$2:$B$400="前面")+(機器台帳!$B$2:$B$400="両面")&gt;0)*(機器台帳!$F$2:$F$400&lt;&gt;"")*(機器台帳!$C$2:$C$400&lt;=15)*(機器台帳!$C$2:$C$400+機器台帳!$D$2:$D$400-1&gt;=15))=0,"",INDEX(機器台帳!$F$2:$F$400,MATCH(1,INDEX((機器台帳!$A$2:$A$400="E24-S8-4")*((機器台帳!$B$2:$B$400="前面")+(機器台帳!$B$2:$B$400="両面")&gt;0)*(機器台帳!$F$2:$F$400&lt;&gt;"")*(機器台帳!$C$2:$C$400&lt;=15)*(機器台帳!$C$2:$C$400+機器台帳!$D$2:$D$400-1&gt;=15),0),0))&amp;IF(INDEX(機器台帳!$G$2:$G$400,MATCH(1,INDEX((機器台帳!$A$2:$A$400="E24-S8-4")*((機器台帳!$B$2:$B$400="前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-4")*((機器台帳!$B$2:$B$400="前面")+(機器台帳!$B$2:$B$400="両面")&gt;0)*(機器台帳!$F$2:$F$400&lt;&gt;"")*(機器台帳!$C$2:$C$400&lt;=15)*(機器台帳!$C$2:$C$400+機器台帳!$D$2:$D$400-1&gt;=15),0),0)))&amp;IF(SUMPRODUCT((機器台帳!$A$2:$A$400="E24-S8-4")*((機器台帳!$B$2:$B$400="前面")+(機器台帳!$B$2:$B$400="両面")&gt;0)*(機器台帳!$F$2:$F$400&lt;&gt;"")*(機器台帳!$C$2:$C$400&lt;=15)*(機器台帳!$C$2:$C$400+機器台帳!$D$2:$D$400-1&gt;=15))&gt;1," 他"&amp;(SUMPRODUCT((機器台帳!$A$2:$A$400="E24-S8-4")*((機器台帳!$B$2:$B$400="前面")+(機器台帳!$B$2:$B$400="両面")&gt;0)*(機器台帳!$F$2:$F$400&lt;&gt;"")*(機器台帳!$C$2:$C$400&lt;=15)*(機器台帳!$C$2:$C$400+機器台帳!$D$2:$D$400-1&gt;=15))-1)&amp;"台",""))</f>
        <v/>
      </c>
      <c r="O36">
        <f>IF(SUMPRODUCT((機器台帳!$A$2:$A$400="E24-S8-4")*((機器台帳!$B$2:$B$400="前面")+(機器台帳!$B$2:$B$400="両面")&gt;0)*(機器台帳!$F$2:$F$400&lt;&gt;"")*(機器台帳!$C$2:$C$400&lt;=15)*(機器台帳!$C$2:$C$400+機器台帳!$D$2:$D$400-1&gt;=15))=0,"",INDEX(機器台帳!$I$2:$I$400,MATCH(1,INDEX((機器台帳!$A$2:$A$400="E24-S8-4")*((機器台帳!$B$2:$B$400="前面")+(機器台帳!$B$2:$B$400="両面")&gt;0)*(機器台帳!$F$2:$F$400&lt;&gt;"")*(機器台帳!$C$2:$C$400&lt;=15)*(機器台帳!$C$2:$C$400+機器台帳!$D$2:$D$400-1&gt;=15),0),0))&amp;IF(INDEX(機器台帳!$Y$2:$Y$400,MATCH(1,INDEX((機器台帳!$A$2:$A$400="E24-S8-4")*((機器台帳!$B$2:$B$400="前面")+(機器台帳!$B$2:$B$400="両面")&gt;0)*(機器台帳!$F$2:$F$400&lt;&gt;"")*(機器台帳!$C$2:$C$400&lt;=15)*(機器台帳!$C$2:$C$400+機器台帳!$D$2:$D$400-1&gt;=15),0),0))=0,"|未記入",""))</f>
        <v/>
      </c>
      <c r="P36" s="12">
        <f>IF(SUMPRODUCT((機器台帳!$A$2:$A$400="E24-S8-4")*((機器台帳!$B$2:$B$400="背面")+(機器台帳!$B$2:$B$400="両面")&gt;0)*(機器台帳!$F$2:$F$400&lt;&gt;"")*(機器台帳!$C$2:$C$400&lt;=15)*(機器台帳!$C$2:$C$400+機器台帳!$D$2:$D$400-1&gt;=15))=0,"",INDEX(機器台帳!$F$2:$F$400,MATCH(1,INDEX((機器台帳!$A$2:$A$400="E24-S8-4")*((機器台帳!$B$2:$B$400="背面")+(機器台帳!$B$2:$B$400="両面")&gt;0)*(機器台帳!$F$2:$F$400&lt;&gt;"")*(機器台帳!$C$2:$C$400&lt;=15)*(機器台帳!$C$2:$C$400+機器台帳!$D$2:$D$400-1&gt;=15),0),0))&amp;IF(INDEX(機器台帳!$G$2:$G$400,MATCH(1,INDEX((機器台帳!$A$2:$A$400="E24-S8-4")*((機器台帳!$B$2:$B$400="背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-4")*((機器台帳!$B$2:$B$400="背面")+(機器台帳!$B$2:$B$400="両面")&gt;0)*(機器台帳!$F$2:$F$400&lt;&gt;"")*(機器台帳!$C$2:$C$400&lt;=15)*(機器台帳!$C$2:$C$400+機器台帳!$D$2:$D$400-1&gt;=15),0),0)))&amp;IF(SUMPRODUCT((機器台帳!$A$2:$A$400="E24-S8-4")*((機器台帳!$B$2:$B$400="背面")+(機器台帳!$B$2:$B$400="両面")&gt;0)*(機器台帳!$F$2:$F$400&lt;&gt;"")*(機器台帳!$C$2:$C$400&lt;=15)*(機器台帳!$C$2:$C$400+機器台帳!$D$2:$D$400-1&gt;=15))&gt;1," 他"&amp;(SUMPRODUCT((機器台帳!$A$2:$A$400="E24-S8-4")*((機器台帳!$B$2:$B$400="背面")+(機器台帳!$B$2:$B$400="両面")&gt;0)*(機器台帳!$F$2:$F$400&lt;&gt;"")*(機器台帳!$C$2:$C$400&lt;=15)*(機器台帳!$C$2:$C$400+機器台帳!$D$2:$D$400-1&gt;=15))-1)&amp;"台",""))</f>
        <v/>
      </c>
      <c r="Q36">
        <f>IF(SUMPRODUCT((機器台帳!$A$2:$A$400="E24-S8-4")*((機器台帳!$B$2:$B$400="背面")+(機器台帳!$B$2:$B$400="両面")&gt;0)*(機器台帳!$F$2:$F$400&lt;&gt;"")*(機器台帳!$C$2:$C$400&lt;=15)*(機器台帳!$C$2:$C$400+機器台帳!$D$2:$D$400-1&gt;=15))=0,"",INDEX(機器台帳!$I$2:$I$400,MATCH(1,INDEX((機器台帳!$A$2:$A$400="E24-S8-4")*((機器台帳!$B$2:$B$400="背面")+(機器台帳!$B$2:$B$400="両面")&gt;0)*(機器台帳!$F$2:$F$400&lt;&gt;"")*(機器台帳!$C$2:$C$400&lt;=15)*(機器台帳!$C$2:$C$400+機器台帳!$D$2:$D$400-1&gt;=15),0),0))&amp;IF(INDEX(機器台帳!$Y$2:$Y$400,MATCH(1,INDEX((機器台帳!$A$2:$A$400="E24-S8-4")*((機器台帳!$B$2:$B$400="背面")+(機器台帳!$B$2:$B$400="両面")&gt;0)*(機器台帳!$F$2:$F$400&lt;&gt;"")*(機器台帳!$C$2:$C$400&lt;=15)*(機器台帳!$C$2:$C$400+機器台帳!$D$2:$D$400-1&gt;=15),0),0))=0,"|未記入",""))</f>
        <v/>
      </c>
      <c r="R36" s="12">
        <f>IF(SUMPRODUCT((機器台帳!$A$2:$A$400="E24-S8-5")*((機器台帳!$B$2:$B$400="前面")+(機器台帳!$B$2:$B$400="両面")&gt;0)*(機器台帳!$F$2:$F$400&lt;&gt;"")*(機器台帳!$C$2:$C$400&lt;=15)*(機器台帳!$C$2:$C$400+機器台帳!$D$2:$D$400-1&gt;=15))=0,"",INDEX(機器台帳!$F$2:$F$400,MATCH(1,INDEX((機器台帳!$A$2:$A$400="E24-S8-5")*((機器台帳!$B$2:$B$400="前面")+(機器台帳!$B$2:$B$400="両面")&gt;0)*(機器台帳!$F$2:$F$400&lt;&gt;"")*(機器台帳!$C$2:$C$400&lt;=15)*(機器台帳!$C$2:$C$400+機器台帳!$D$2:$D$400-1&gt;=15),0),0))&amp;IF(INDEX(機器台帳!$G$2:$G$400,MATCH(1,INDEX((機器台帳!$A$2:$A$400="E24-S8-5")*((機器台帳!$B$2:$B$400="前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-5")*((機器台帳!$B$2:$B$400="前面")+(機器台帳!$B$2:$B$400="両面")&gt;0)*(機器台帳!$F$2:$F$400&lt;&gt;"")*(機器台帳!$C$2:$C$400&lt;=15)*(機器台帳!$C$2:$C$400+機器台帳!$D$2:$D$400-1&gt;=15),0),0)))&amp;IF(SUMPRODUCT((機器台帳!$A$2:$A$400="E24-S8-5")*((機器台帳!$B$2:$B$400="前面")+(機器台帳!$B$2:$B$400="両面")&gt;0)*(機器台帳!$F$2:$F$400&lt;&gt;"")*(機器台帳!$C$2:$C$400&lt;=15)*(機器台帳!$C$2:$C$400+機器台帳!$D$2:$D$400-1&gt;=15))&gt;1," 他"&amp;(SUMPRODUCT((機器台帳!$A$2:$A$400="E24-S8-5")*((機器台帳!$B$2:$B$400="前面")+(機器台帳!$B$2:$B$400="両面")&gt;0)*(機器台帳!$F$2:$F$400&lt;&gt;"")*(機器台帳!$C$2:$C$400&lt;=15)*(機器台帳!$C$2:$C$400+機器台帳!$D$2:$D$400-1&gt;=15))-1)&amp;"台",""))</f>
        <v/>
      </c>
      <c r="S36">
        <f>IF(SUMPRODUCT((機器台帳!$A$2:$A$400="E24-S8-5")*((機器台帳!$B$2:$B$400="前面")+(機器台帳!$B$2:$B$400="両面")&gt;0)*(機器台帳!$F$2:$F$400&lt;&gt;"")*(機器台帳!$C$2:$C$400&lt;=15)*(機器台帳!$C$2:$C$400+機器台帳!$D$2:$D$400-1&gt;=15))=0,"",INDEX(機器台帳!$I$2:$I$400,MATCH(1,INDEX((機器台帳!$A$2:$A$400="E24-S8-5")*((機器台帳!$B$2:$B$400="前面")+(機器台帳!$B$2:$B$400="両面")&gt;0)*(機器台帳!$F$2:$F$400&lt;&gt;"")*(機器台帳!$C$2:$C$400&lt;=15)*(機器台帳!$C$2:$C$400+機器台帳!$D$2:$D$400-1&gt;=15),0),0))&amp;IF(INDEX(機器台帳!$Y$2:$Y$400,MATCH(1,INDEX((機器台帳!$A$2:$A$400="E24-S8-5")*((機器台帳!$B$2:$B$400="前面")+(機器台帳!$B$2:$B$400="両面")&gt;0)*(機器台帳!$F$2:$F$400&lt;&gt;"")*(機器台帳!$C$2:$C$400&lt;=15)*(機器台帳!$C$2:$C$400+機器台帳!$D$2:$D$400-1&gt;=15),0),0))=0,"|未記入",""))</f>
        <v/>
      </c>
      <c r="T36" s="12">
        <f>IF(SUMPRODUCT((機器台帳!$A$2:$A$400="E24-S8-5")*((機器台帳!$B$2:$B$400="背面")+(機器台帳!$B$2:$B$400="両面")&gt;0)*(機器台帳!$F$2:$F$400&lt;&gt;"")*(機器台帳!$C$2:$C$400&lt;=15)*(機器台帳!$C$2:$C$400+機器台帳!$D$2:$D$400-1&gt;=15))=0,"",INDEX(機器台帳!$F$2:$F$400,MATCH(1,INDEX((機器台帳!$A$2:$A$400="E24-S8-5")*((機器台帳!$B$2:$B$400="背面")+(機器台帳!$B$2:$B$400="両面")&gt;0)*(機器台帳!$F$2:$F$400&lt;&gt;"")*(機器台帳!$C$2:$C$400&lt;=15)*(機器台帳!$C$2:$C$400+機器台帳!$D$2:$D$400-1&gt;=15),0),0))&amp;IF(INDEX(機器台帳!$G$2:$G$400,MATCH(1,INDEX((機器台帳!$A$2:$A$400="E24-S8-5")*((機器台帳!$B$2:$B$400="背面")+(機器台帳!$B$2:$B$400="両面")&gt;0)*(機器台帳!$F$2:$F$400&lt;&gt;"")*(機器台帳!$C$2:$C$400&lt;=15)*(機器台帳!$C$2:$C$400+機器台帳!$D$2:$D$400-1&gt;=15),0),0))=""," "," "&amp;INDEX(機器台帳!$G$2:$G$400,MATCH(1,INDEX((機器台帳!$A$2:$A$400="E24-S8-5")*((機器台帳!$B$2:$B$400="背面")+(機器台帳!$B$2:$B$400="両面")&gt;0)*(機器台帳!$F$2:$F$400&lt;&gt;"")*(機器台帳!$C$2:$C$400&lt;=15)*(機器台帳!$C$2:$C$400+機器台帳!$D$2:$D$400-1&gt;=15),0),0)))&amp;IF(SUMPRODUCT((機器台帳!$A$2:$A$400="E24-S8-5")*((機器台帳!$B$2:$B$400="背面")+(機器台帳!$B$2:$B$400="両面")&gt;0)*(機器台帳!$F$2:$F$400&lt;&gt;"")*(機器台帳!$C$2:$C$400&lt;=15)*(機器台帳!$C$2:$C$400+機器台帳!$D$2:$D$400-1&gt;=15))&gt;1," 他"&amp;(SUMPRODUCT((機器台帳!$A$2:$A$400="E24-S8-5")*((機器台帳!$B$2:$B$400="背面")+(機器台帳!$B$2:$B$400="両面")&gt;0)*(機器台帳!$F$2:$F$400&lt;&gt;"")*(機器台帳!$C$2:$C$400&lt;=15)*(機器台帳!$C$2:$C$400+機器台帳!$D$2:$D$400-1&gt;=15))-1)&amp;"台",""))</f>
        <v/>
      </c>
      <c r="U36">
        <f>IF(SUMPRODUCT((機器台帳!$A$2:$A$400="E24-S8-5")*((機器台帳!$B$2:$B$400="背面")+(機器台帳!$B$2:$B$400="両面")&gt;0)*(機器台帳!$F$2:$F$400&lt;&gt;"")*(機器台帳!$C$2:$C$400&lt;=15)*(機器台帳!$C$2:$C$400+機器台帳!$D$2:$D$400-1&gt;=15))=0,"",INDEX(機器台帳!$I$2:$I$400,MATCH(1,INDEX((機器台帳!$A$2:$A$400="E24-S8-5")*((機器台帳!$B$2:$B$400="背面")+(機器台帳!$B$2:$B$400="両面")&gt;0)*(機器台帳!$F$2:$F$400&lt;&gt;"")*(機器台帳!$C$2:$C$400&lt;=15)*(機器台帳!$C$2:$C$400+機器台帳!$D$2:$D$400-1&gt;=15),0),0))&amp;IF(INDEX(機器台帳!$Y$2:$Y$400,MATCH(1,INDEX((機器台帳!$A$2:$A$400="E24-S8-5")*((機器台帳!$B$2:$B$400="背面")+(機器台帳!$B$2:$B$400="両面")&gt;0)*(機器台帳!$F$2:$F$400&lt;&gt;"")*(機器台帳!$C$2:$C$400&lt;=15)*(機器台帳!$C$2:$C$400+機器台帳!$D$2:$D$400-1&gt;=15),0),0))=0,"|未記入",""))</f>
        <v/>
      </c>
      <c r="V36" s="12">
        <f>IF(SUMPRODUCT((機器台帳!$A$2:$A$400="E24-S6-1")*((機器台帳!$B$2:$B$400="前面")+(機器台帳!$B$2:$B$400="両面")&gt;0)*(機器台帳!$F$2:$F$400&lt;&gt;"")*(機器台帳!$C$2:$C$400&lt;=15)*(機器台帳!$C$2:$C$400+機器台帳!$D$2:$D$400-1&gt;=15))=0,"",INDEX(機器台帳!$F$2:$F$400,MATCH(1,INDEX((機器台帳!$A$2:$A$400="E24-S6-1")*((機器台帳!$B$2:$B$400="前面")+(機器台帳!$B$2:$B$400="両面")&gt;0)*(機器台帳!$F$2:$F$400&lt;&gt;"")*(機器台帳!$C$2:$C$400&lt;=15)*(機器台帳!$C$2:$C$400+機器台帳!$D$2:$D$400-1&gt;=15),0),0))&amp;IF(INDEX(機器台帳!$G$2:$G$400,MATCH(1,INDEX((機器台帳!$A$2:$A$400="E24-S6-1")*((機器台帳!$B$2:$B$400="前面")+(機器台帳!$B$2:$B$400="両面")&gt;0)*(機器台帳!$F$2:$F$400&lt;&gt;"")*(機器台帳!$C$2:$C$400&lt;=15)*(機器台帳!$C$2:$C$400+機器台帳!$D$2:$D$400-1&gt;=15),0),0))=""," "," "&amp;INDEX(機器台帳!$G$2:$G$400,MATCH(1,INDEX((機器台帳!$A$2:$A$400="E24-S6-1")*((機器台帳!$B$2:$B$400="前面")+(機器台帳!$B$2:$B$400="両面")&gt;0)*(機器台帳!$F$2:$F$400&lt;&gt;"")*(機器台帳!$C$2:$C$400&lt;=15)*(機器台帳!$C$2:$C$400+機器台帳!$D$2:$D$400-1&gt;=15),0),0)))&amp;IF(SUMPRODUCT((機器台帳!$A$2:$A$400="E24-S6-1")*((機器台帳!$B$2:$B$400="前面")+(機器台帳!$B$2:$B$400="両面")&gt;0)*(機器台帳!$F$2:$F$400&lt;&gt;"")*(機器台帳!$C$2:$C$400&lt;=15)*(機器台帳!$C$2:$C$400+機器台帳!$D$2:$D$400-1&gt;=15))&gt;1," 他"&amp;(SUMPRODUCT((機器台帳!$A$2:$A$400="E24-S6-1")*((機器台帳!$B$2:$B$400="前面")+(機器台帳!$B$2:$B$400="両面")&gt;0)*(機器台帳!$F$2:$F$400&lt;&gt;"")*(機器台帳!$C$2:$C$400&lt;=15)*(機器台帳!$C$2:$C$400+機器台帳!$D$2:$D$400-1&gt;=15))-1)&amp;"台",""))</f>
        <v/>
      </c>
      <c r="W36">
        <f>IF(SUMPRODUCT((機器台帳!$A$2:$A$400="E24-S6-1")*((機器台帳!$B$2:$B$400="前面")+(機器台帳!$B$2:$B$400="両面")&gt;0)*(機器台帳!$F$2:$F$400&lt;&gt;"")*(機器台帳!$C$2:$C$400&lt;=15)*(機器台帳!$C$2:$C$400+機器台帳!$D$2:$D$400-1&gt;=15))=0,"",INDEX(機器台帳!$I$2:$I$400,MATCH(1,INDEX((機器台帳!$A$2:$A$400="E24-S6-1")*((機器台帳!$B$2:$B$400="前面")+(機器台帳!$B$2:$B$400="両面")&gt;0)*(機器台帳!$F$2:$F$400&lt;&gt;"")*(機器台帳!$C$2:$C$400&lt;=15)*(機器台帳!$C$2:$C$400+機器台帳!$D$2:$D$400-1&gt;=15),0),0))&amp;IF(INDEX(機器台帳!$Y$2:$Y$400,MATCH(1,INDEX((機器台帳!$A$2:$A$400="E24-S6-1")*((機器台帳!$B$2:$B$400="前面")+(機器台帳!$B$2:$B$400="両面")&gt;0)*(機器台帳!$F$2:$F$400&lt;&gt;"")*(機器台帳!$C$2:$C$400&lt;=15)*(機器台帳!$C$2:$C$400+機器台帳!$D$2:$D$400-1&gt;=15),0),0))=0,"|未記入",""))</f>
        <v/>
      </c>
      <c r="X36" s="12">
        <f>IF(SUMPRODUCT((機器台帳!$A$2:$A$400="E24-S6-1")*((機器台帳!$B$2:$B$400="背面")+(機器台帳!$B$2:$B$400="両面")&gt;0)*(機器台帳!$F$2:$F$400&lt;&gt;"")*(機器台帳!$C$2:$C$400&lt;=15)*(機器台帳!$C$2:$C$400+機器台帳!$D$2:$D$400-1&gt;=15))=0,"",INDEX(機器台帳!$F$2:$F$400,MATCH(1,INDEX((機器台帳!$A$2:$A$400="E24-S6-1")*((機器台帳!$B$2:$B$400="背面")+(機器台帳!$B$2:$B$400="両面")&gt;0)*(機器台帳!$F$2:$F$400&lt;&gt;"")*(機器台帳!$C$2:$C$400&lt;=15)*(機器台帳!$C$2:$C$400+機器台帳!$D$2:$D$400-1&gt;=15),0),0))&amp;IF(INDEX(機器台帳!$G$2:$G$400,MATCH(1,INDEX((機器台帳!$A$2:$A$400="E24-S6-1")*((機器台帳!$B$2:$B$400="背面")+(機器台帳!$B$2:$B$400="両面")&gt;0)*(機器台帳!$F$2:$F$400&lt;&gt;"")*(機器台帳!$C$2:$C$400&lt;=15)*(機器台帳!$C$2:$C$400+機器台帳!$D$2:$D$400-1&gt;=15),0),0))=""," "," "&amp;INDEX(機器台帳!$G$2:$G$400,MATCH(1,INDEX((機器台帳!$A$2:$A$400="E24-S6-1")*((機器台帳!$B$2:$B$400="背面")+(機器台帳!$B$2:$B$400="両面")&gt;0)*(機器台帳!$F$2:$F$400&lt;&gt;"")*(機器台帳!$C$2:$C$400&lt;=15)*(機器台帳!$C$2:$C$400+機器台帳!$D$2:$D$400-1&gt;=15),0),0)))&amp;IF(SUMPRODUCT((機器台帳!$A$2:$A$400="E24-S6-1")*((機器台帳!$B$2:$B$400="背面")+(機器台帳!$B$2:$B$400="両面")&gt;0)*(機器台帳!$F$2:$F$400&lt;&gt;"")*(機器台帳!$C$2:$C$400&lt;=15)*(機器台帳!$C$2:$C$400+機器台帳!$D$2:$D$400-1&gt;=15))&gt;1," 他"&amp;(SUMPRODUCT((機器台帳!$A$2:$A$400="E24-S6-1")*((機器台帳!$B$2:$B$400="背面")+(機器台帳!$B$2:$B$400="両面")&gt;0)*(機器台帳!$F$2:$F$400&lt;&gt;"")*(機器台帳!$C$2:$C$400&lt;=15)*(機器台帳!$C$2:$C$400+機器台帳!$D$2:$D$400-1&gt;=15))-1)&amp;"台",""))</f>
        <v/>
      </c>
      <c r="Y36">
        <f>IF(SUMPRODUCT((機器台帳!$A$2:$A$400="E24-S6-1")*((機器台帳!$B$2:$B$400="背面")+(機器台帳!$B$2:$B$400="両面")&gt;0)*(機器台帳!$F$2:$F$400&lt;&gt;"")*(機器台帳!$C$2:$C$400&lt;=15)*(機器台帳!$C$2:$C$400+機器台帳!$D$2:$D$400-1&gt;=15))=0,"",INDEX(機器台帳!$I$2:$I$400,MATCH(1,INDEX((機器台帳!$A$2:$A$400="E24-S6-1")*((機器台帳!$B$2:$B$400="背面")+(機器台帳!$B$2:$B$400="両面")&gt;0)*(機器台帳!$F$2:$F$400&lt;&gt;"")*(機器台帳!$C$2:$C$400&lt;=15)*(機器台帳!$C$2:$C$400+機器台帳!$D$2:$D$400-1&gt;=15),0),0))&amp;IF(INDEX(機器台帳!$Y$2:$Y$400,MATCH(1,INDEX((機器台帳!$A$2:$A$400="E24-S6-1")*((機器台帳!$B$2:$B$400="背面")+(機器台帳!$B$2:$B$400="両面")&gt;0)*(機器台帳!$F$2:$F$400&lt;&gt;"")*(機器台帳!$C$2:$C$400&lt;=15)*(機器台帳!$C$2:$C$400+機器台帳!$D$2:$D$400-1&gt;=15),0),0))=0,"|未記入",""))</f>
        <v/>
      </c>
    </row>
    <row r="37">
      <c r="A37" s="11" t="n">
        <v>14</v>
      </c>
      <c r="B37" s="12">
        <f>IF(SUMPRODUCT((機器台帳!$A$2:$A$400="E24-S8-1")*((機器台帳!$B$2:$B$400="前面")+(機器台帳!$B$2:$B$400="両面")&gt;0)*(機器台帳!$F$2:$F$400&lt;&gt;"")*(機器台帳!$C$2:$C$400&lt;=14)*(機器台帳!$C$2:$C$400+機器台帳!$D$2:$D$400-1&gt;=14))=0,"",INDEX(機器台帳!$F$2:$F$400,MATCH(1,INDEX((機器台帳!$A$2:$A$400="E24-S8-1")*((機器台帳!$B$2:$B$400="前面")+(機器台帳!$B$2:$B$400="両面")&gt;0)*(機器台帳!$F$2:$F$400&lt;&gt;"")*(機器台帳!$C$2:$C$400&lt;=14)*(機器台帳!$C$2:$C$400+機器台帳!$D$2:$D$400-1&gt;=14),0),0))&amp;IF(INDEX(機器台帳!$G$2:$G$400,MATCH(1,INDEX((機器台帳!$A$2:$A$400="E24-S8-1")*((機器台帳!$B$2:$B$400="前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-1")*((機器台帳!$B$2:$B$400="前面")+(機器台帳!$B$2:$B$400="両面")&gt;0)*(機器台帳!$F$2:$F$400&lt;&gt;"")*(機器台帳!$C$2:$C$400&lt;=14)*(機器台帳!$C$2:$C$400+機器台帳!$D$2:$D$400-1&gt;=14),0),0)))&amp;IF(SUMPRODUCT((機器台帳!$A$2:$A$400="E24-S8-1")*((機器台帳!$B$2:$B$400="前面")+(機器台帳!$B$2:$B$400="両面")&gt;0)*(機器台帳!$F$2:$F$400&lt;&gt;"")*(機器台帳!$C$2:$C$400&lt;=14)*(機器台帳!$C$2:$C$400+機器台帳!$D$2:$D$400-1&gt;=14))&gt;1," 他"&amp;(SUMPRODUCT((機器台帳!$A$2:$A$400="E24-S8-1")*((機器台帳!$B$2:$B$400="前面")+(機器台帳!$B$2:$B$400="両面")&gt;0)*(機器台帳!$F$2:$F$400&lt;&gt;"")*(機器台帳!$C$2:$C$400&lt;=14)*(機器台帳!$C$2:$C$400+機器台帳!$D$2:$D$400-1&gt;=14))-1)&amp;"台",""))</f>
        <v/>
      </c>
      <c r="C37">
        <f>IF(SUMPRODUCT((機器台帳!$A$2:$A$400="E24-S8-1")*((機器台帳!$B$2:$B$400="前面")+(機器台帳!$B$2:$B$400="両面")&gt;0)*(機器台帳!$F$2:$F$400&lt;&gt;"")*(機器台帳!$C$2:$C$400&lt;=14)*(機器台帳!$C$2:$C$400+機器台帳!$D$2:$D$400-1&gt;=14))=0,"",INDEX(機器台帳!$I$2:$I$400,MATCH(1,INDEX((機器台帳!$A$2:$A$400="E24-S8-1")*((機器台帳!$B$2:$B$400="前面")+(機器台帳!$B$2:$B$400="両面")&gt;0)*(機器台帳!$F$2:$F$400&lt;&gt;"")*(機器台帳!$C$2:$C$400&lt;=14)*(機器台帳!$C$2:$C$400+機器台帳!$D$2:$D$400-1&gt;=14),0),0))&amp;IF(INDEX(機器台帳!$Y$2:$Y$400,MATCH(1,INDEX((機器台帳!$A$2:$A$400="E24-S8-1")*((機器台帳!$B$2:$B$400="前面")+(機器台帳!$B$2:$B$400="両面")&gt;0)*(機器台帳!$F$2:$F$400&lt;&gt;"")*(機器台帳!$C$2:$C$400&lt;=14)*(機器台帳!$C$2:$C$400+機器台帳!$D$2:$D$400-1&gt;=14),0),0))=0,"|未記入",""))</f>
        <v/>
      </c>
      <c r="D37" s="12">
        <f>IF(SUMPRODUCT((機器台帳!$A$2:$A$400="E24-S8-1")*((機器台帳!$B$2:$B$400="背面")+(機器台帳!$B$2:$B$400="両面")&gt;0)*(機器台帳!$F$2:$F$400&lt;&gt;"")*(機器台帳!$C$2:$C$400&lt;=14)*(機器台帳!$C$2:$C$400+機器台帳!$D$2:$D$400-1&gt;=14))=0,"",INDEX(機器台帳!$F$2:$F$400,MATCH(1,INDEX((機器台帳!$A$2:$A$400="E24-S8-1")*((機器台帳!$B$2:$B$400="背面")+(機器台帳!$B$2:$B$400="両面")&gt;0)*(機器台帳!$F$2:$F$400&lt;&gt;"")*(機器台帳!$C$2:$C$400&lt;=14)*(機器台帳!$C$2:$C$400+機器台帳!$D$2:$D$400-1&gt;=14),0),0))&amp;IF(INDEX(機器台帳!$G$2:$G$400,MATCH(1,INDEX((機器台帳!$A$2:$A$400="E24-S8-1")*((機器台帳!$B$2:$B$400="背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-1")*((機器台帳!$B$2:$B$400="背面")+(機器台帳!$B$2:$B$400="両面")&gt;0)*(機器台帳!$F$2:$F$400&lt;&gt;"")*(機器台帳!$C$2:$C$400&lt;=14)*(機器台帳!$C$2:$C$400+機器台帳!$D$2:$D$400-1&gt;=14),0),0)))&amp;IF(SUMPRODUCT((機器台帳!$A$2:$A$400="E24-S8-1")*((機器台帳!$B$2:$B$400="背面")+(機器台帳!$B$2:$B$400="両面")&gt;0)*(機器台帳!$F$2:$F$400&lt;&gt;"")*(機器台帳!$C$2:$C$400&lt;=14)*(機器台帳!$C$2:$C$400+機器台帳!$D$2:$D$400-1&gt;=14))&gt;1," 他"&amp;(SUMPRODUCT((機器台帳!$A$2:$A$400="E24-S8-1")*((機器台帳!$B$2:$B$400="背面")+(機器台帳!$B$2:$B$400="両面")&gt;0)*(機器台帳!$F$2:$F$400&lt;&gt;"")*(機器台帳!$C$2:$C$400&lt;=14)*(機器台帳!$C$2:$C$400+機器台帳!$D$2:$D$400-1&gt;=14))-1)&amp;"台",""))</f>
        <v/>
      </c>
      <c r="E37">
        <f>IF(SUMPRODUCT((機器台帳!$A$2:$A$400="E24-S8-1")*((機器台帳!$B$2:$B$400="背面")+(機器台帳!$B$2:$B$400="両面")&gt;0)*(機器台帳!$F$2:$F$400&lt;&gt;"")*(機器台帳!$C$2:$C$400&lt;=14)*(機器台帳!$C$2:$C$400+機器台帳!$D$2:$D$400-1&gt;=14))=0,"",INDEX(機器台帳!$I$2:$I$400,MATCH(1,INDEX((機器台帳!$A$2:$A$400="E24-S8-1")*((機器台帳!$B$2:$B$400="背面")+(機器台帳!$B$2:$B$400="両面")&gt;0)*(機器台帳!$F$2:$F$400&lt;&gt;"")*(機器台帳!$C$2:$C$400&lt;=14)*(機器台帳!$C$2:$C$400+機器台帳!$D$2:$D$400-1&gt;=14),0),0))&amp;IF(INDEX(機器台帳!$Y$2:$Y$400,MATCH(1,INDEX((機器台帳!$A$2:$A$400="E24-S8-1")*((機器台帳!$B$2:$B$400="背面")+(機器台帳!$B$2:$B$400="両面")&gt;0)*(機器台帳!$F$2:$F$400&lt;&gt;"")*(機器台帳!$C$2:$C$400&lt;=14)*(機器台帳!$C$2:$C$400+機器台帳!$D$2:$D$400-1&gt;=14),0),0))=0,"|未記入",""))</f>
        <v/>
      </c>
      <c r="F37" s="12">
        <f>IF(SUMPRODUCT((機器台帳!$A$2:$A$400="E24-S8-2")*((機器台帳!$B$2:$B$400="前面")+(機器台帳!$B$2:$B$400="両面")&gt;0)*(機器台帳!$F$2:$F$400&lt;&gt;"")*(機器台帳!$C$2:$C$400&lt;=14)*(機器台帳!$C$2:$C$400+機器台帳!$D$2:$D$400-1&gt;=14))=0,"",INDEX(機器台帳!$F$2:$F$400,MATCH(1,INDEX((機器台帳!$A$2:$A$400="E24-S8-2")*((機器台帳!$B$2:$B$400="前面")+(機器台帳!$B$2:$B$400="両面")&gt;0)*(機器台帳!$F$2:$F$400&lt;&gt;"")*(機器台帳!$C$2:$C$400&lt;=14)*(機器台帳!$C$2:$C$400+機器台帳!$D$2:$D$400-1&gt;=14),0),0))&amp;IF(INDEX(機器台帳!$G$2:$G$400,MATCH(1,INDEX((機器台帳!$A$2:$A$400="E24-S8-2")*((機器台帳!$B$2:$B$400="前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-2")*((機器台帳!$B$2:$B$400="前面")+(機器台帳!$B$2:$B$400="両面")&gt;0)*(機器台帳!$F$2:$F$400&lt;&gt;"")*(機器台帳!$C$2:$C$400&lt;=14)*(機器台帳!$C$2:$C$400+機器台帳!$D$2:$D$400-1&gt;=14),0),0)))&amp;IF(SUMPRODUCT((機器台帳!$A$2:$A$400="E24-S8-2")*((機器台帳!$B$2:$B$400="前面")+(機器台帳!$B$2:$B$400="両面")&gt;0)*(機器台帳!$F$2:$F$400&lt;&gt;"")*(機器台帳!$C$2:$C$400&lt;=14)*(機器台帳!$C$2:$C$400+機器台帳!$D$2:$D$400-1&gt;=14))&gt;1," 他"&amp;(SUMPRODUCT((機器台帳!$A$2:$A$400="E24-S8-2")*((機器台帳!$B$2:$B$400="前面")+(機器台帳!$B$2:$B$400="両面")&gt;0)*(機器台帳!$F$2:$F$400&lt;&gt;"")*(機器台帳!$C$2:$C$400&lt;=14)*(機器台帳!$C$2:$C$400+機器台帳!$D$2:$D$400-1&gt;=14))-1)&amp;"台",""))</f>
        <v/>
      </c>
      <c r="G37">
        <f>IF(SUMPRODUCT((機器台帳!$A$2:$A$400="E24-S8-2")*((機器台帳!$B$2:$B$400="前面")+(機器台帳!$B$2:$B$400="両面")&gt;0)*(機器台帳!$F$2:$F$400&lt;&gt;"")*(機器台帳!$C$2:$C$400&lt;=14)*(機器台帳!$C$2:$C$400+機器台帳!$D$2:$D$400-1&gt;=14))=0,"",INDEX(機器台帳!$I$2:$I$400,MATCH(1,INDEX((機器台帳!$A$2:$A$400="E24-S8-2")*((機器台帳!$B$2:$B$400="前面")+(機器台帳!$B$2:$B$400="両面")&gt;0)*(機器台帳!$F$2:$F$400&lt;&gt;"")*(機器台帳!$C$2:$C$400&lt;=14)*(機器台帳!$C$2:$C$400+機器台帳!$D$2:$D$400-1&gt;=14),0),0))&amp;IF(INDEX(機器台帳!$Y$2:$Y$400,MATCH(1,INDEX((機器台帳!$A$2:$A$400="E24-S8-2")*((機器台帳!$B$2:$B$400="前面")+(機器台帳!$B$2:$B$400="両面")&gt;0)*(機器台帳!$F$2:$F$400&lt;&gt;"")*(機器台帳!$C$2:$C$400&lt;=14)*(機器台帳!$C$2:$C$400+機器台帳!$D$2:$D$400-1&gt;=14),0),0))=0,"|未記入",""))</f>
        <v/>
      </c>
      <c r="H37" s="12">
        <f>IF(SUMPRODUCT((機器台帳!$A$2:$A$400="E24-S8-2")*((機器台帳!$B$2:$B$400="背面")+(機器台帳!$B$2:$B$400="両面")&gt;0)*(機器台帳!$F$2:$F$400&lt;&gt;"")*(機器台帳!$C$2:$C$400&lt;=14)*(機器台帳!$C$2:$C$400+機器台帳!$D$2:$D$400-1&gt;=14))=0,"",INDEX(機器台帳!$F$2:$F$400,MATCH(1,INDEX((機器台帳!$A$2:$A$400="E24-S8-2")*((機器台帳!$B$2:$B$400="背面")+(機器台帳!$B$2:$B$400="両面")&gt;0)*(機器台帳!$F$2:$F$400&lt;&gt;"")*(機器台帳!$C$2:$C$400&lt;=14)*(機器台帳!$C$2:$C$400+機器台帳!$D$2:$D$400-1&gt;=14),0),0))&amp;IF(INDEX(機器台帳!$G$2:$G$400,MATCH(1,INDEX((機器台帳!$A$2:$A$400="E24-S8-2")*((機器台帳!$B$2:$B$400="背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-2")*((機器台帳!$B$2:$B$400="背面")+(機器台帳!$B$2:$B$400="両面")&gt;0)*(機器台帳!$F$2:$F$400&lt;&gt;"")*(機器台帳!$C$2:$C$400&lt;=14)*(機器台帳!$C$2:$C$400+機器台帳!$D$2:$D$400-1&gt;=14),0),0)))&amp;IF(SUMPRODUCT((機器台帳!$A$2:$A$400="E24-S8-2")*((機器台帳!$B$2:$B$400="背面")+(機器台帳!$B$2:$B$400="両面")&gt;0)*(機器台帳!$F$2:$F$400&lt;&gt;"")*(機器台帳!$C$2:$C$400&lt;=14)*(機器台帳!$C$2:$C$400+機器台帳!$D$2:$D$400-1&gt;=14))&gt;1," 他"&amp;(SUMPRODUCT((機器台帳!$A$2:$A$400="E24-S8-2")*((機器台帳!$B$2:$B$400="背面")+(機器台帳!$B$2:$B$400="両面")&gt;0)*(機器台帳!$F$2:$F$400&lt;&gt;"")*(機器台帳!$C$2:$C$400&lt;=14)*(機器台帳!$C$2:$C$400+機器台帳!$D$2:$D$400-1&gt;=14))-1)&amp;"台",""))</f>
        <v/>
      </c>
      <c r="I37">
        <f>IF(SUMPRODUCT((機器台帳!$A$2:$A$400="E24-S8-2")*((機器台帳!$B$2:$B$400="背面")+(機器台帳!$B$2:$B$400="両面")&gt;0)*(機器台帳!$F$2:$F$400&lt;&gt;"")*(機器台帳!$C$2:$C$400&lt;=14)*(機器台帳!$C$2:$C$400+機器台帳!$D$2:$D$400-1&gt;=14))=0,"",INDEX(機器台帳!$I$2:$I$400,MATCH(1,INDEX((機器台帳!$A$2:$A$400="E24-S8-2")*((機器台帳!$B$2:$B$400="背面")+(機器台帳!$B$2:$B$400="両面")&gt;0)*(機器台帳!$F$2:$F$400&lt;&gt;"")*(機器台帳!$C$2:$C$400&lt;=14)*(機器台帳!$C$2:$C$400+機器台帳!$D$2:$D$400-1&gt;=14),0),0))&amp;IF(INDEX(機器台帳!$Y$2:$Y$400,MATCH(1,INDEX((機器台帳!$A$2:$A$400="E24-S8-2")*((機器台帳!$B$2:$B$400="背面")+(機器台帳!$B$2:$B$400="両面")&gt;0)*(機器台帳!$F$2:$F$400&lt;&gt;"")*(機器台帳!$C$2:$C$400&lt;=14)*(機器台帳!$C$2:$C$400+機器台帳!$D$2:$D$400-1&gt;=14),0),0))=0,"|未記入",""))</f>
        <v/>
      </c>
      <c r="J37" s="12">
        <f>IF(SUMPRODUCT((機器台帳!$A$2:$A$400="E24-S8-3")*((機器台帳!$B$2:$B$400="前面")+(機器台帳!$B$2:$B$400="両面")&gt;0)*(機器台帳!$F$2:$F$400&lt;&gt;"")*(機器台帳!$C$2:$C$400&lt;=14)*(機器台帳!$C$2:$C$400+機器台帳!$D$2:$D$400-1&gt;=14))=0,"",INDEX(機器台帳!$F$2:$F$400,MATCH(1,INDEX((機器台帳!$A$2:$A$400="E24-S8-3")*((機器台帳!$B$2:$B$400="前面")+(機器台帳!$B$2:$B$400="両面")&gt;0)*(機器台帳!$F$2:$F$400&lt;&gt;"")*(機器台帳!$C$2:$C$400&lt;=14)*(機器台帳!$C$2:$C$400+機器台帳!$D$2:$D$400-1&gt;=14),0),0))&amp;IF(INDEX(機器台帳!$G$2:$G$400,MATCH(1,INDEX((機器台帳!$A$2:$A$400="E24-S8-3")*((機器台帳!$B$2:$B$400="前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-3")*((機器台帳!$B$2:$B$400="前面")+(機器台帳!$B$2:$B$400="両面")&gt;0)*(機器台帳!$F$2:$F$400&lt;&gt;"")*(機器台帳!$C$2:$C$400&lt;=14)*(機器台帳!$C$2:$C$400+機器台帳!$D$2:$D$400-1&gt;=14),0),0)))&amp;IF(SUMPRODUCT((機器台帳!$A$2:$A$400="E24-S8-3")*((機器台帳!$B$2:$B$400="前面")+(機器台帳!$B$2:$B$400="両面")&gt;0)*(機器台帳!$F$2:$F$400&lt;&gt;"")*(機器台帳!$C$2:$C$400&lt;=14)*(機器台帳!$C$2:$C$400+機器台帳!$D$2:$D$400-1&gt;=14))&gt;1," 他"&amp;(SUMPRODUCT((機器台帳!$A$2:$A$400="E24-S8-3")*((機器台帳!$B$2:$B$400="前面")+(機器台帳!$B$2:$B$400="両面")&gt;0)*(機器台帳!$F$2:$F$400&lt;&gt;"")*(機器台帳!$C$2:$C$400&lt;=14)*(機器台帳!$C$2:$C$400+機器台帳!$D$2:$D$400-1&gt;=14))-1)&amp;"台",""))</f>
        <v/>
      </c>
      <c r="K37">
        <f>IF(SUMPRODUCT((機器台帳!$A$2:$A$400="E24-S8-3")*((機器台帳!$B$2:$B$400="前面")+(機器台帳!$B$2:$B$400="両面")&gt;0)*(機器台帳!$F$2:$F$400&lt;&gt;"")*(機器台帳!$C$2:$C$400&lt;=14)*(機器台帳!$C$2:$C$400+機器台帳!$D$2:$D$400-1&gt;=14))=0,"",INDEX(機器台帳!$I$2:$I$400,MATCH(1,INDEX((機器台帳!$A$2:$A$400="E24-S8-3")*((機器台帳!$B$2:$B$400="前面")+(機器台帳!$B$2:$B$400="両面")&gt;0)*(機器台帳!$F$2:$F$400&lt;&gt;"")*(機器台帳!$C$2:$C$400&lt;=14)*(機器台帳!$C$2:$C$400+機器台帳!$D$2:$D$400-1&gt;=14),0),0))&amp;IF(INDEX(機器台帳!$Y$2:$Y$400,MATCH(1,INDEX((機器台帳!$A$2:$A$400="E24-S8-3")*((機器台帳!$B$2:$B$400="前面")+(機器台帳!$B$2:$B$400="両面")&gt;0)*(機器台帳!$F$2:$F$400&lt;&gt;"")*(機器台帳!$C$2:$C$400&lt;=14)*(機器台帳!$C$2:$C$400+機器台帳!$D$2:$D$400-1&gt;=14),0),0))=0,"|未記入",""))</f>
        <v/>
      </c>
      <c r="L37" s="12">
        <f>IF(SUMPRODUCT((機器台帳!$A$2:$A$400="E24-S8-3")*((機器台帳!$B$2:$B$400="背面")+(機器台帳!$B$2:$B$400="両面")&gt;0)*(機器台帳!$F$2:$F$400&lt;&gt;"")*(機器台帳!$C$2:$C$400&lt;=14)*(機器台帳!$C$2:$C$400+機器台帳!$D$2:$D$400-1&gt;=14))=0,"",INDEX(機器台帳!$F$2:$F$400,MATCH(1,INDEX((機器台帳!$A$2:$A$400="E24-S8-3")*((機器台帳!$B$2:$B$400="背面")+(機器台帳!$B$2:$B$400="両面")&gt;0)*(機器台帳!$F$2:$F$400&lt;&gt;"")*(機器台帳!$C$2:$C$400&lt;=14)*(機器台帳!$C$2:$C$400+機器台帳!$D$2:$D$400-1&gt;=14),0),0))&amp;IF(INDEX(機器台帳!$G$2:$G$400,MATCH(1,INDEX((機器台帳!$A$2:$A$400="E24-S8-3")*((機器台帳!$B$2:$B$400="背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-3")*((機器台帳!$B$2:$B$400="背面")+(機器台帳!$B$2:$B$400="両面")&gt;0)*(機器台帳!$F$2:$F$400&lt;&gt;"")*(機器台帳!$C$2:$C$400&lt;=14)*(機器台帳!$C$2:$C$400+機器台帳!$D$2:$D$400-1&gt;=14),0),0)))&amp;IF(SUMPRODUCT((機器台帳!$A$2:$A$400="E24-S8-3")*((機器台帳!$B$2:$B$400="背面")+(機器台帳!$B$2:$B$400="両面")&gt;0)*(機器台帳!$F$2:$F$400&lt;&gt;"")*(機器台帳!$C$2:$C$400&lt;=14)*(機器台帳!$C$2:$C$400+機器台帳!$D$2:$D$400-1&gt;=14))&gt;1," 他"&amp;(SUMPRODUCT((機器台帳!$A$2:$A$400="E24-S8-3")*((機器台帳!$B$2:$B$400="背面")+(機器台帳!$B$2:$B$400="両面")&gt;0)*(機器台帳!$F$2:$F$400&lt;&gt;"")*(機器台帳!$C$2:$C$400&lt;=14)*(機器台帳!$C$2:$C$400+機器台帳!$D$2:$D$400-1&gt;=14))-1)&amp;"台",""))</f>
        <v/>
      </c>
      <c r="M37">
        <f>IF(SUMPRODUCT((機器台帳!$A$2:$A$400="E24-S8-3")*((機器台帳!$B$2:$B$400="背面")+(機器台帳!$B$2:$B$400="両面")&gt;0)*(機器台帳!$F$2:$F$400&lt;&gt;"")*(機器台帳!$C$2:$C$400&lt;=14)*(機器台帳!$C$2:$C$400+機器台帳!$D$2:$D$400-1&gt;=14))=0,"",INDEX(機器台帳!$I$2:$I$400,MATCH(1,INDEX((機器台帳!$A$2:$A$400="E24-S8-3")*((機器台帳!$B$2:$B$400="背面")+(機器台帳!$B$2:$B$400="両面")&gt;0)*(機器台帳!$F$2:$F$400&lt;&gt;"")*(機器台帳!$C$2:$C$400&lt;=14)*(機器台帳!$C$2:$C$400+機器台帳!$D$2:$D$400-1&gt;=14),0),0))&amp;IF(INDEX(機器台帳!$Y$2:$Y$400,MATCH(1,INDEX((機器台帳!$A$2:$A$400="E24-S8-3")*((機器台帳!$B$2:$B$400="背面")+(機器台帳!$B$2:$B$400="両面")&gt;0)*(機器台帳!$F$2:$F$400&lt;&gt;"")*(機器台帳!$C$2:$C$400&lt;=14)*(機器台帳!$C$2:$C$400+機器台帳!$D$2:$D$400-1&gt;=14),0),0))=0,"|未記入",""))</f>
        <v/>
      </c>
      <c r="N37" s="12">
        <f>IF(SUMPRODUCT((機器台帳!$A$2:$A$400="E24-S8-4")*((機器台帳!$B$2:$B$400="前面")+(機器台帳!$B$2:$B$400="両面")&gt;0)*(機器台帳!$F$2:$F$400&lt;&gt;"")*(機器台帳!$C$2:$C$400&lt;=14)*(機器台帳!$C$2:$C$400+機器台帳!$D$2:$D$400-1&gt;=14))=0,"",INDEX(機器台帳!$F$2:$F$400,MATCH(1,INDEX((機器台帳!$A$2:$A$400="E24-S8-4")*((機器台帳!$B$2:$B$400="前面")+(機器台帳!$B$2:$B$400="両面")&gt;0)*(機器台帳!$F$2:$F$400&lt;&gt;"")*(機器台帳!$C$2:$C$400&lt;=14)*(機器台帳!$C$2:$C$400+機器台帳!$D$2:$D$400-1&gt;=14),0),0))&amp;IF(INDEX(機器台帳!$G$2:$G$400,MATCH(1,INDEX((機器台帳!$A$2:$A$400="E24-S8-4")*((機器台帳!$B$2:$B$400="前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-4")*((機器台帳!$B$2:$B$400="前面")+(機器台帳!$B$2:$B$400="両面")&gt;0)*(機器台帳!$F$2:$F$400&lt;&gt;"")*(機器台帳!$C$2:$C$400&lt;=14)*(機器台帳!$C$2:$C$400+機器台帳!$D$2:$D$400-1&gt;=14),0),0)))&amp;IF(SUMPRODUCT((機器台帳!$A$2:$A$400="E24-S8-4")*((機器台帳!$B$2:$B$400="前面")+(機器台帳!$B$2:$B$400="両面")&gt;0)*(機器台帳!$F$2:$F$400&lt;&gt;"")*(機器台帳!$C$2:$C$400&lt;=14)*(機器台帳!$C$2:$C$400+機器台帳!$D$2:$D$400-1&gt;=14))&gt;1," 他"&amp;(SUMPRODUCT((機器台帳!$A$2:$A$400="E24-S8-4")*((機器台帳!$B$2:$B$400="前面")+(機器台帳!$B$2:$B$400="両面")&gt;0)*(機器台帳!$F$2:$F$400&lt;&gt;"")*(機器台帳!$C$2:$C$400&lt;=14)*(機器台帳!$C$2:$C$400+機器台帳!$D$2:$D$400-1&gt;=14))-1)&amp;"台",""))</f>
        <v/>
      </c>
      <c r="O37">
        <f>IF(SUMPRODUCT((機器台帳!$A$2:$A$400="E24-S8-4")*((機器台帳!$B$2:$B$400="前面")+(機器台帳!$B$2:$B$400="両面")&gt;0)*(機器台帳!$F$2:$F$400&lt;&gt;"")*(機器台帳!$C$2:$C$400&lt;=14)*(機器台帳!$C$2:$C$400+機器台帳!$D$2:$D$400-1&gt;=14))=0,"",INDEX(機器台帳!$I$2:$I$400,MATCH(1,INDEX((機器台帳!$A$2:$A$400="E24-S8-4")*((機器台帳!$B$2:$B$400="前面")+(機器台帳!$B$2:$B$400="両面")&gt;0)*(機器台帳!$F$2:$F$400&lt;&gt;"")*(機器台帳!$C$2:$C$400&lt;=14)*(機器台帳!$C$2:$C$400+機器台帳!$D$2:$D$400-1&gt;=14),0),0))&amp;IF(INDEX(機器台帳!$Y$2:$Y$400,MATCH(1,INDEX((機器台帳!$A$2:$A$400="E24-S8-4")*((機器台帳!$B$2:$B$400="前面")+(機器台帳!$B$2:$B$400="両面")&gt;0)*(機器台帳!$F$2:$F$400&lt;&gt;"")*(機器台帳!$C$2:$C$400&lt;=14)*(機器台帳!$C$2:$C$400+機器台帳!$D$2:$D$400-1&gt;=14),0),0))=0,"|未記入",""))</f>
        <v/>
      </c>
      <c r="P37" s="12">
        <f>IF(SUMPRODUCT((機器台帳!$A$2:$A$400="E24-S8-4")*((機器台帳!$B$2:$B$400="背面")+(機器台帳!$B$2:$B$400="両面")&gt;0)*(機器台帳!$F$2:$F$400&lt;&gt;"")*(機器台帳!$C$2:$C$400&lt;=14)*(機器台帳!$C$2:$C$400+機器台帳!$D$2:$D$400-1&gt;=14))=0,"",INDEX(機器台帳!$F$2:$F$400,MATCH(1,INDEX((機器台帳!$A$2:$A$400="E24-S8-4")*((機器台帳!$B$2:$B$400="背面")+(機器台帳!$B$2:$B$400="両面")&gt;0)*(機器台帳!$F$2:$F$400&lt;&gt;"")*(機器台帳!$C$2:$C$400&lt;=14)*(機器台帳!$C$2:$C$400+機器台帳!$D$2:$D$400-1&gt;=14),0),0))&amp;IF(INDEX(機器台帳!$G$2:$G$400,MATCH(1,INDEX((機器台帳!$A$2:$A$400="E24-S8-4")*((機器台帳!$B$2:$B$400="背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-4")*((機器台帳!$B$2:$B$400="背面")+(機器台帳!$B$2:$B$400="両面")&gt;0)*(機器台帳!$F$2:$F$400&lt;&gt;"")*(機器台帳!$C$2:$C$400&lt;=14)*(機器台帳!$C$2:$C$400+機器台帳!$D$2:$D$400-1&gt;=14),0),0)))&amp;IF(SUMPRODUCT((機器台帳!$A$2:$A$400="E24-S8-4")*((機器台帳!$B$2:$B$400="背面")+(機器台帳!$B$2:$B$400="両面")&gt;0)*(機器台帳!$F$2:$F$400&lt;&gt;"")*(機器台帳!$C$2:$C$400&lt;=14)*(機器台帳!$C$2:$C$400+機器台帳!$D$2:$D$400-1&gt;=14))&gt;1," 他"&amp;(SUMPRODUCT((機器台帳!$A$2:$A$400="E24-S8-4")*((機器台帳!$B$2:$B$400="背面")+(機器台帳!$B$2:$B$400="両面")&gt;0)*(機器台帳!$F$2:$F$400&lt;&gt;"")*(機器台帳!$C$2:$C$400&lt;=14)*(機器台帳!$C$2:$C$400+機器台帳!$D$2:$D$400-1&gt;=14))-1)&amp;"台",""))</f>
        <v/>
      </c>
      <c r="Q37">
        <f>IF(SUMPRODUCT((機器台帳!$A$2:$A$400="E24-S8-4")*((機器台帳!$B$2:$B$400="背面")+(機器台帳!$B$2:$B$400="両面")&gt;0)*(機器台帳!$F$2:$F$400&lt;&gt;"")*(機器台帳!$C$2:$C$400&lt;=14)*(機器台帳!$C$2:$C$400+機器台帳!$D$2:$D$400-1&gt;=14))=0,"",INDEX(機器台帳!$I$2:$I$400,MATCH(1,INDEX((機器台帳!$A$2:$A$400="E24-S8-4")*((機器台帳!$B$2:$B$400="背面")+(機器台帳!$B$2:$B$400="両面")&gt;0)*(機器台帳!$F$2:$F$400&lt;&gt;"")*(機器台帳!$C$2:$C$400&lt;=14)*(機器台帳!$C$2:$C$400+機器台帳!$D$2:$D$400-1&gt;=14),0),0))&amp;IF(INDEX(機器台帳!$Y$2:$Y$400,MATCH(1,INDEX((機器台帳!$A$2:$A$400="E24-S8-4")*((機器台帳!$B$2:$B$400="背面")+(機器台帳!$B$2:$B$400="両面")&gt;0)*(機器台帳!$F$2:$F$400&lt;&gt;"")*(機器台帳!$C$2:$C$400&lt;=14)*(機器台帳!$C$2:$C$400+機器台帳!$D$2:$D$400-1&gt;=14),0),0))=0,"|未記入",""))</f>
        <v/>
      </c>
      <c r="R37" s="12">
        <f>IF(SUMPRODUCT((機器台帳!$A$2:$A$400="E24-S8-5")*((機器台帳!$B$2:$B$400="前面")+(機器台帳!$B$2:$B$400="両面")&gt;0)*(機器台帳!$F$2:$F$400&lt;&gt;"")*(機器台帳!$C$2:$C$400&lt;=14)*(機器台帳!$C$2:$C$400+機器台帳!$D$2:$D$400-1&gt;=14))=0,"",INDEX(機器台帳!$F$2:$F$400,MATCH(1,INDEX((機器台帳!$A$2:$A$400="E24-S8-5")*((機器台帳!$B$2:$B$400="前面")+(機器台帳!$B$2:$B$400="両面")&gt;0)*(機器台帳!$F$2:$F$400&lt;&gt;"")*(機器台帳!$C$2:$C$400&lt;=14)*(機器台帳!$C$2:$C$400+機器台帳!$D$2:$D$400-1&gt;=14),0),0))&amp;IF(INDEX(機器台帳!$G$2:$G$400,MATCH(1,INDEX((機器台帳!$A$2:$A$400="E24-S8-5")*((機器台帳!$B$2:$B$400="前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-5")*((機器台帳!$B$2:$B$400="前面")+(機器台帳!$B$2:$B$400="両面")&gt;0)*(機器台帳!$F$2:$F$400&lt;&gt;"")*(機器台帳!$C$2:$C$400&lt;=14)*(機器台帳!$C$2:$C$400+機器台帳!$D$2:$D$400-1&gt;=14),0),0)))&amp;IF(SUMPRODUCT((機器台帳!$A$2:$A$400="E24-S8-5")*((機器台帳!$B$2:$B$400="前面")+(機器台帳!$B$2:$B$400="両面")&gt;0)*(機器台帳!$F$2:$F$400&lt;&gt;"")*(機器台帳!$C$2:$C$400&lt;=14)*(機器台帳!$C$2:$C$400+機器台帳!$D$2:$D$400-1&gt;=14))&gt;1," 他"&amp;(SUMPRODUCT((機器台帳!$A$2:$A$400="E24-S8-5")*((機器台帳!$B$2:$B$400="前面")+(機器台帳!$B$2:$B$400="両面")&gt;0)*(機器台帳!$F$2:$F$400&lt;&gt;"")*(機器台帳!$C$2:$C$400&lt;=14)*(機器台帳!$C$2:$C$400+機器台帳!$D$2:$D$400-1&gt;=14))-1)&amp;"台",""))</f>
        <v/>
      </c>
      <c r="S37">
        <f>IF(SUMPRODUCT((機器台帳!$A$2:$A$400="E24-S8-5")*((機器台帳!$B$2:$B$400="前面")+(機器台帳!$B$2:$B$400="両面")&gt;0)*(機器台帳!$F$2:$F$400&lt;&gt;"")*(機器台帳!$C$2:$C$400&lt;=14)*(機器台帳!$C$2:$C$400+機器台帳!$D$2:$D$400-1&gt;=14))=0,"",INDEX(機器台帳!$I$2:$I$400,MATCH(1,INDEX((機器台帳!$A$2:$A$400="E24-S8-5")*((機器台帳!$B$2:$B$400="前面")+(機器台帳!$B$2:$B$400="両面")&gt;0)*(機器台帳!$F$2:$F$400&lt;&gt;"")*(機器台帳!$C$2:$C$400&lt;=14)*(機器台帳!$C$2:$C$400+機器台帳!$D$2:$D$400-1&gt;=14),0),0))&amp;IF(INDEX(機器台帳!$Y$2:$Y$400,MATCH(1,INDEX((機器台帳!$A$2:$A$400="E24-S8-5")*((機器台帳!$B$2:$B$400="前面")+(機器台帳!$B$2:$B$400="両面")&gt;0)*(機器台帳!$F$2:$F$400&lt;&gt;"")*(機器台帳!$C$2:$C$400&lt;=14)*(機器台帳!$C$2:$C$400+機器台帳!$D$2:$D$400-1&gt;=14),0),0))=0,"|未記入",""))</f>
        <v/>
      </c>
      <c r="T37" s="12">
        <f>IF(SUMPRODUCT((機器台帳!$A$2:$A$400="E24-S8-5")*((機器台帳!$B$2:$B$400="背面")+(機器台帳!$B$2:$B$400="両面")&gt;0)*(機器台帳!$F$2:$F$400&lt;&gt;"")*(機器台帳!$C$2:$C$400&lt;=14)*(機器台帳!$C$2:$C$400+機器台帳!$D$2:$D$400-1&gt;=14))=0,"",INDEX(機器台帳!$F$2:$F$400,MATCH(1,INDEX((機器台帳!$A$2:$A$400="E24-S8-5")*((機器台帳!$B$2:$B$400="背面")+(機器台帳!$B$2:$B$400="両面")&gt;0)*(機器台帳!$F$2:$F$400&lt;&gt;"")*(機器台帳!$C$2:$C$400&lt;=14)*(機器台帳!$C$2:$C$400+機器台帳!$D$2:$D$400-1&gt;=14),0),0))&amp;IF(INDEX(機器台帳!$G$2:$G$400,MATCH(1,INDEX((機器台帳!$A$2:$A$400="E24-S8-5")*((機器台帳!$B$2:$B$400="背面")+(機器台帳!$B$2:$B$400="両面")&gt;0)*(機器台帳!$F$2:$F$400&lt;&gt;"")*(機器台帳!$C$2:$C$400&lt;=14)*(機器台帳!$C$2:$C$400+機器台帳!$D$2:$D$400-1&gt;=14),0),0))=""," "," "&amp;INDEX(機器台帳!$G$2:$G$400,MATCH(1,INDEX((機器台帳!$A$2:$A$400="E24-S8-5")*((機器台帳!$B$2:$B$400="背面")+(機器台帳!$B$2:$B$400="両面")&gt;0)*(機器台帳!$F$2:$F$400&lt;&gt;"")*(機器台帳!$C$2:$C$400&lt;=14)*(機器台帳!$C$2:$C$400+機器台帳!$D$2:$D$400-1&gt;=14),0),0)))&amp;IF(SUMPRODUCT((機器台帳!$A$2:$A$400="E24-S8-5")*((機器台帳!$B$2:$B$400="背面")+(機器台帳!$B$2:$B$400="両面")&gt;0)*(機器台帳!$F$2:$F$400&lt;&gt;"")*(機器台帳!$C$2:$C$400&lt;=14)*(機器台帳!$C$2:$C$400+機器台帳!$D$2:$D$400-1&gt;=14))&gt;1," 他"&amp;(SUMPRODUCT((機器台帳!$A$2:$A$400="E24-S8-5")*((機器台帳!$B$2:$B$400="背面")+(機器台帳!$B$2:$B$400="両面")&gt;0)*(機器台帳!$F$2:$F$400&lt;&gt;"")*(機器台帳!$C$2:$C$400&lt;=14)*(機器台帳!$C$2:$C$400+機器台帳!$D$2:$D$400-1&gt;=14))-1)&amp;"台",""))</f>
        <v/>
      </c>
      <c r="U37">
        <f>IF(SUMPRODUCT((機器台帳!$A$2:$A$400="E24-S8-5")*((機器台帳!$B$2:$B$400="背面")+(機器台帳!$B$2:$B$400="両面")&gt;0)*(機器台帳!$F$2:$F$400&lt;&gt;"")*(機器台帳!$C$2:$C$400&lt;=14)*(機器台帳!$C$2:$C$400+機器台帳!$D$2:$D$400-1&gt;=14))=0,"",INDEX(機器台帳!$I$2:$I$400,MATCH(1,INDEX((機器台帳!$A$2:$A$400="E24-S8-5")*((機器台帳!$B$2:$B$400="背面")+(機器台帳!$B$2:$B$400="両面")&gt;0)*(機器台帳!$F$2:$F$400&lt;&gt;"")*(機器台帳!$C$2:$C$400&lt;=14)*(機器台帳!$C$2:$C$400+機器台帳!$D$2:$D$400-1&gt;=14),0),0))&amp;IF(INDEX(機器台帳!$Y$2:$Y$400,MATCH(1,INDEX((機器台帳!$A$2:$A$400="E24-S8-5")*((機器台帳!$B$2:$B$400="背面")+(機器台帳!$B$2:$B$400="両面")&gt;0)*(機器台帳!$F$2:$F$400&lt;&gt;"")*(機器台帳!$C$2:$C$400&lt;=14)*(機器台帳!$C$2:$C$400+機器台帳!$D$2:$D$400-1&gt;=14),0),0))=0,"|未記入",""))</f>
        <v/>
      </c>
      <c r="V37" s="12">
        <f>IF(SUMPRODUCT((機器台帳!$A$2:$A$400="E24-S6-1")*((機器台帳!$B$2:$B$400="前面")+(機器台帳!$B$2:$B$400="両面")&gt;0)*(機器台帳!$F$2:$F$400&lt;&gt;"")*(機器台帳!$C$2:$C$400&lt;=14)*(機器台帳!$C$2:$C$400+機器台帳!$D$2:$D$400-1&gt;=14))=0,"",INDEX(機器台帳!$F$2:$F$400,MATCH(1,INDEX((機器台帳!$A$2:$A$400="E24-S6-1")*((機器台帳!$B$2:$B$400="前面")+(機器台帳!$B$2:$B$400="両面")&gt;0)*(機器台帳!$F$2:$F$400&lt;&gt;"")*(機器台帳!$C$2:$C$400&lt;=14)*(機器台帳!$C$2:$C$400+機器台帳!$D$2:$D$400-1&gt;=14),0),0))&amp;IF(INDEX(機器台帳!$G$2:$G$400,MATCH(1,INDEX((機器台帳!$A$2:$A$400="E24-S6-1")*((機器台帳!$B$2:$B$400="前面")+(機器台帳!$B$2:$B$400="両面")&gt;0)*(機器台帳!$F$2:$F$400&lt;&gt;"")*(機器台帳!$C$2:$C$400&lt;=14)*(機器台帳!$C$2:$C$400+機器台帳!$D$2:$D$400-1&gt;=14),0),0))=""," "," "&amp;INDEX(機器台帳!$G$2:$G$400,MATCH(1,INDEX((機器台帳!$A$2:$A$400="E24-S6-1")*((機器台帳!$B$2:$B$400="前面")+(機器台帳!$B$2:$B$400="両面")&gt;0)*(機器台帳!$F$2:$F$400&lt;&gt;"")*(機器台帳!$C$2:$C$400&lt;=14)*(機器台帳!$C$2:$C$400+機器台帳!$D$2:$D$400-1&gt;=14),0),0)))&amp;IF(SUMPRODUCT((機器台帳!$A$2:$A$400="E24-S6-1")*((機器台帳!$B$2:$B$400="前面")+(機器台帳!$B$2:$B$400="両面")&gt;0)*(機器台帳!$F$2:$F$400&lt;&gt;"")*(機器台帳!$C$2:$C$400&lt;=14)*(機器台帳!$C$2:$C$400+機器台帳!$D$2:$D$400-1&gt;=14))&gt;1," 他"&amp;(SUMPRODUCT((機器台帳!$A$2:$A$400="E24-S6-1")*((機器台帳!$B$2:$B$400="前面")+(機器台帳!$B$2:$B$400="両面")&gt;0)*(機器台帳!$F$2:$F$400&lt;&gt;"")*(機器台帳!$C$2:$C$400&lt;=14)*(機器台帳!$C$2:$C$400+機器台帳!$D$2:$D$400-1&gt;=14))-1)&amp;"台",""))</f>
        <v/>
      </c>
      <c r="W37">
        <f>IF(SUMPRODUCT((機器台帳!$A$2:$A$400="E24-S6-1")*((機器台帳!$B$2:$B$400="前面")+(機器台帳!$B$2:$B$400="両面")&gt;0)*(機器台帳!$F$2:$F$400&lt;&gt;"")*(機器台帳!$C$2:$C$400&lt;=14)*(機器台帳!$C$2:$C$400+機器台帳!$D$2:$D$400-1&gt;=14))=0,"",INDEX(機器台帳!$I$2:$I$400,MATCH(1,INDEX((機器台帳!$A$2:$A$400="E24-S6-1")*((機器台帳!$B$2:$B$400="前面")+(機器台帳!$B$2:$B$400="両面")&gt;0)*(機器台帳!$F$2:$F$400&lt;&gt;"")*(機器台帳!$C$2:$C$400&lt;=14)*(機器台帳!$C$2:$C$400+機器台帳!$D$2:$D$400-1&gt;=14),0),0))&amp;IF(INDEX(機器台帳!$Y$2:$Y$400,MATCH(1,INDEX((機器台帳!$A$2:$A$400="E24-S6-1")*((機器台帳!$B$2:$B$400="前面")+(機器台帳!$B$2:$B$400="両面")&gt;0)*(機器台帳!$F$2:$F$400&lt;&gt;"")*(機器台帳!$C$2:$C$400&lt;=14)*(機器台帳!$C$2:$C$400+機器台帳!$D$2:$D$400-1&gt;=14),0),0))=0,"|未記入",""))</f>
        <v/>
      </c>
      <c r="X37" s="12">
        <f>IF(SUMPRODUCT((機器台帳!$A$2:$A$400="E24-S6-1")*((機器台帳!$B$2:$B$400="背面")+(機器台帳!$B$2:$B$400="両面")&gt;0)*(機器台帳!$F$2:$F$400&lt;&gt;"")*(機器台帳!$C$2:$C$400&lt;=14)*(機器台帳!$C$2:$C$400+機器台帳!$D$2:$D$400-1&gt;=14))=0,"",INDEX(機器台帳!$F$2:$F$400,MATCH(1,INDEX((機器台帳!$A$2:$A$400="E24-S6-1")*((機器台帳!$B$2:$B$400="背面")+(機器台帳!$B$2:$B$400="両面")&gt;0)*(機器台帳!$F$2:$F$400&lt;&gt;"")*(機器台帳!$C$2:$C$400&lt;=14)*(機器台帳!$C$2:$C$400+機器台帳!$D$2:$D$400-1&gt;=14),0),0))&amp;IF(INDEX(機器台帳!$G$2:$G$400,MATCH(1,INDEX((機器台帳!$A$2:$A$400="E24-S6-1")*((機器台帳!$B$2:$B$400="背面")+(機器台帳!$B$2:$B$400="両面")&gt;0)*(機器台帳!$F$2:$F$400&lt;&gt;"")*(機器台帳!$C$2:$C$400&lt;=14)*(機器台帳!$C$2:$C$400+機器台帳!$D$2:$D$400-1&gt;=14),0),0))=""," "," "&amp;INDEX(機器台帳!$G$2:$G$400,MATCH(1,INDEX((機器台帳!$A$2:$A$400="E24-S6-1")*((機器台帳!$B$2:$B$400="背面")+(機器台帳!$B$2:$B$400="両面")&gt;0)*(機器台帳!$F$2:$F$400&lt;&gt;"")*(機器台帳!$C$2:$C$400&lt;=14)*(機器台帳!$C$2:$C$400+機器台帳!$D$2:$D$400-1&gt;=14),0),0)))&amp;IF(SUMPRODUCT((機器台帳!$A$2:$A$400="E24-S6-1")*((機器台帳!$B$2:$B$400="背面")+(機器台帳!$B$2:$B$400="両面")&gt;0)*(機器台帳!$F$2:$F$400&lt;&gt;"")*(機器台帳!$C$2:$C$400&lt;=14)*(機器台帳!$C$2:$C$400+機器台帳!$D$2:$D$400-1&gt;=14))&gt;1," 他"&amp;(SUMPRODUCT((機器台帳!$A$2:$A$400="E24-S6-1")*((機器台帳!$B$2:$B$400="背面")+(機器台帳!$B$2:$B$400="両面")&gt;0)*(機器台帳!$F$2:$F$400&lt;&gt;"")*(機器台帳!$C$2:$C$400&lt;=14)*(機器台帳!$C$2:$C$400+機器台帳!$D$2:$D$400-1&gt;=14))-1)&amp;"台",""))</f>
        <v/>
      </c>
      <c r="Y37">
        <f>IF(SUMPRODUCT((機器台帳!$A$2:$A$400="E24-S6-1")*((機器台帳!$B$2:$B$400="背面")+(機器台帳!$B$2:$B$400="両面")&gt;0)*(機器台帳!$F$2:$F$400&lt;&gt;"")*(機器台帳!$C$2:$C$400&lt;=14)*(機器台帳!$C$2:$C$400+機器台帳!$D$2:$D$400-1&gt;=14))=0,"",INDEX(機器台帳!$I$2:$I$400,MATCH(1,INDEX((機器台帳!$A$2:$A$400="E24-S6-1")*((機器台帳!$B$2:$B$400="背面")+(機器台帳!$B$2:$B$400="両面")&gt;0)*(機器台帳!$F$2:$F$400&lt;&gt;"")*(機器台帳!$C$2:$C$400&lt;=14)*(機器台帳!$C$2:$C$400+機器台帳!$D$2:$D$400-1&gt;=14),0),0))&amp;IF(INDEX(機器台帳!$Y$2:$Y$400,MATCH(1,INDEX((機器台帳!$A$2:$A$400="E24-S6-1")*((機器台帳!$B$2:$B$400="背面")+(機器台帳!$B$2:$B$400="両面")&gt;0)*(機器台帳!$F$2:$F$400&lt;&gt;"")*(機器台帳!$C$2:$C$400&lt;=14)*(機器台帳!$C$2:$C$400+機器台帳!$D$2:$D$400-1&gt;=14),0),0))=0,"|未記入",""))</f>
        <v/>
      </c>
    </row>
    <row r="38">
      <c r="A38" s="11" t="n">
        <v>13</v>
      </c>
      <c r="B38" s="12">
        <f>IF(SUMPRODUCT((機器台帳!$A$2:$A$400="E24-S8-1")*((機器台帳!$B$2:$B$400="前面")+(機器台帳!$B$2:$B$400="両面")&gt;0)*(機器台帳!$F$2:$F$400&lt;&gt;"")*(機器台帳!$C$2:$C$400&lt;=13)*(機器台帳!$C$2:$C$400+機器台帳!$D$2:$D$400-1&gt;=13))=0,"",INDEX(機器台帳!$F$2:$F$400,MATCH(1,INDEX((機器台帳!$A$2:$A$400="E24-S8-1")*((機器台帳!$B$2:$B$400="前面")+(機器台帳!$B$2:$B$400="両面")&gt;0)*(機器台帳!$F$2:$F$400&lt;&gt;"")*(機器台帳!$C$2:$C$400&lt;=13)*(機器台帳!$C$2:$C$400+機器台帳!$D$2:$D$400-1&gt;=13),0),0))&amp;IF(INDEX(機器台帳!$G$2:$G$400,MATCH(1,INDEX((機器台帳!$A$2:$A$400="E24-S8-1")*((機器台帳!$B$2:$B$400="前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-1")*((機器台帳!$B$2:$B$400="前面")+(機器台帳!$B$2:$B$400="両面")&gt;0)*(機器台帳!$F$2:$F$400&lt;&gt;"")*(機器台帳!$C$2:$C$400&lt;=13)*(機器台帳!$C$2:$C$400+機器台帳!$D$2:$D$400-1&gt;=13),0),0)))&amp;IF(SUMPRODUCT((機器台帳!$A$2:$A$400="E24-S8-1")*((機器台帳!$B$2:$B$400="前面")+(機器台帳!$B$2:$B$400="両面")&gt;0)*(機器台帳!$F$2:$F$400&lt;&gt;"")*(機器台帳!$C$2:$C$400&lt;=13)*(機器台帳!$C$2:$C$400+機器台帳!$D$2:$D$400-1&gt;=13))&gt;1," 他"&amp;(SUMPRODUCT((機器台帳!$A$2:$A$400="E24-S8-1")*((機器台帳!$B$2:$B$400="前面")+(機器台帳!$B$2:$B$400="両面")&gt;0)*(機器台帳!$F$2:$F$400&lt;&gt;"")*(機器台帳!$C$2:$C$400&lt;=13)*(機器台帳!$C$2:$C$400+機器台帳!$D$2:$D$400-1&gt;=13))-1)&amp;"台",""))</f>
        <v/>
      </c>
      <c r="C38">
        <f>IF(SUMPRODUCT((機器台帳!$A$2:$A$400="E24-S8-1")*((機器台帳!$B$2:$B$400="前面")+(機器台帳!$B$2:$B$400="両面")&gt;0)*(機器台帳!$F$2:$F$400&lt;&gt;"")*(機器台帳!$C$2:$C$400&lt;=13)*(機器台帳!$C$2:$C$400+機器台帳!$D$2:$D$400-1&gt;=13))=0,"",INDEX(機器台帳!$I$2:$I$400,MATCH(1,INDEX((機器台帳!$A$2:$A$400="E24-S8-1")*((機器台帳!$B$2:$B$400="前面")+(機器台帳!$B$2:$B$400="両面")&gt;0)*(機器台帳!$F$2:$F$400&lt;&gt;"")*(機器台帳!$C$2:$C$400&lt;=13)*(機器台帳!$C$2:$C$400+機器台帳!$D$2:$D$400-1&gt;=13),0),0))&amp;IF(INDEX(機器台帳!$Y$2:$Y$400,MATCH(1,INDEX((機器台帳!$A$2:$A$400="E24-S8-1")*((機器台帳!$B$2:$B$400="前面")+(機器台帳!$B$2:$B$400="両面")&gt;0)*(機器台帳!$F$2:$F$400&lt;&gt;"")*(機器台帳!$C$2:$C$400&lt;=13)*(機器台帳!$C$2:$C$400+機器台帳!$D$2:$D$400-1&gt;=13),0),0))=0,"|未記入",""))</f>
        <v/>
      </c>
      <c r="D38" s="12">
        <f>IF(SUMPRODUCT((機器台帳!$A$2:$A$400="E24-S8-1")*((機器台帳!$B$2:$B$400="背面")+(機器台帳!$B$2:$B$400="両面")&gt;0)*(機器台帳!$F$2:$F$400&lt;&gt;"")*(機器台帳!$C$2:$C$400&lt;=13)*(機器台帳!$C$2:$C$400+機器台帳!$D$2:$D$400-1&gt;=13))=0,"",INDEX(機器台帳!$F$2:$F$400,MATCH(1,INDEX((機器台帳!$A$2:$A$400="E24-S8-1")*((機器台帳!$B$2:$B$400="背面")+(機器台帳!$B$2:$B$400="両面")&gt;0)*(機器台帳!$F$2:$F$400&lt;&gt;"")*(機器台帳!$C$2:$C$400&lt;=13)*(機器台帳!$C$2:$C$400+機器台帳!$D$2:$D$400-1&gt;=13),0),0))&amp;IF(INDEX(機器台帳!$G$2:$G$400,MATCH(1,INDEX((機器台帳!$A$2:$A$400="E24-S8-1")*((機器台帳!$B$2:$B$400="背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-1")*((機器台帳!$B$2:$B$400="背面")+(機器台帳!$B$2:$B$400="両面")&gt;0)*(機器台帳!$F$2:$F$400&lt;&gt;"")*(機器台帳!$C$2:$C$400&lt;=13)*(機器台帳!$C$2:$C$400+機器台帳!$D$2:$D$400-1&gt;=13),0),0)))&amp;IF(SUMPRODUCT((機器台帳!$A$2:$A$400="E24-S8-1")*((機器台帳!$B$2:$B$400="背面")+(機器台帳!$B$2:$B$400="両面")&gt;0)*(機器台帳!$F$2:$F$400&lt;&gt;"")*(機器台帳!$C$2:$C$400&lt;=13)*(機器台帳!$C$2:$C$400+機器台帳!$D$2:$D$400-1&gt;=13))&gt;1," 他"&amp;(SUMPRODUCT((機器台帳!$A$2:$A$400="E24-S8-1")*((機器台帳!$B$2:$B$400="背面")+(機器台帳!$B$2:$B$400="両面")&gt;0)*(機器台帳!$F$2:$F$400&lt;&gt;"")*(機器台帳!$C$2:$C$400&lt;=13)*(機器台帳!$C$2:$C$400+機器台帳!$D$2:$D$400-1&gt;=13))-1)&amp;"台",""))</f>
        <v/>
      </c>
      <c r="E38">
        <f>IF(SUMPRODUCT((機器台帳!$A$2:$A$400="E24-S8-1")*((機器台帳!$B$2:$B$400="背面")+(機器台帳!$B$2:$B$400="両面")&gt;0)*(機器台帳!$F$2:$F$400&lt;&gt;"")*(機器台帳!$C$2:$C$400&lt;=13)*(機器台帳!$C$2:$C$400+機器台帳!$D$2:$D$400-1&gt;=13))=0,"",INDEX(機器台帳!$I$2:$I$400,MATCH(1,INDEX((機器台帳!$A$2:$A$400="E24-S8-1")*((機器台帳!$B$2:$B$400="背面")+(機器台帳!$B$2:$B$400="両面")&gt;0)*(機器台帳!$F$2:$F$400&lt;&gt;"")*(機器台帳!$C$2:$C$400&lt;=13)*(機器台帳!$C$2:$C$400+機器台帳!$D$2:$D$400-1&gt;=13),0),0))&amp;IF(INDEX(機器台帳!$Y$2:$Y$400,MATCH(1,INDEX((機器台帳!$A$2:$A$400="E24-S8-1")*((機器台帳!$B$2:$B$400="背面")+(機器台帳!$B$2:$B$400="両面")&gt;0)*(機器台帳!$F$2:$F$400&lt;&gt;"")*(機器台帳!$C$2:$C$400&lt;=13)*(機器台帳!$C$2:$C$400+機器台帳!$D$2:$D$400-1&gt;=13),0),0))=0,"|未記入",""))</f>
        <v/>
      </c>
      <c r="F38" s="12">
        <f>IF(SUMPRODUCT((機器台帳!$A$2:$A$400="E24-S8-2")*((機器台帳!$B$2:$B$400="前面")+(機器台帳!$B$2:$B$400="両面")&gt;0)*(機器台帳!$F$2:$F$400&lt;&gt;"")*(機器台帳!$C$2:$C$400&lt;=13)*(機器台帳!$C$2:$C$400+機器台帳!$D$2:$D$400-1&gt;=13))=0,"",INDEX(機器台帳!$F$2:$F$400,MATCH(1,INDEX((機器台帳!$A$2:$A$400="E24-S8-2")*((機器台帳!$B$2:$B$400="前面")+(機器台帳!$B$2:$B$400="両面")&gt;0)*(機器台帳!$F$2:$F$400&lt;&gt;"")*(機器台帳!$C$2:$C$400&lt;=13)*(機器台帳!$C$2:$C$400+機器台帳!$D$2:$D$400-1&gt;=13),0),0))&amp;IF(INDEX(機器台帳!$G$2:$G$400,MATCH(1,INDEX((機器台帳!$A$2:$A$400="E24-S8-2")*((機器台帳!$B$2:$B$400="前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-2")*((機器台帳!$B$2:$B$400="前面")+(機器台帳!$B$2:$B$400="両面")&gt;0)*(機器台帳!$F$2:$F$400&lt;&gt;"")*(機器台帳!$C$2:$C$400&lt;=13)*(機器台帳!$C$2:$C$400+機器台帳!$D$2:$D$400-1&gt;=13),0),0)))&amp;IF(SUMPRODUCT((機器台帳!$A$2:$A$400="E24-S8-2")*((機器台帳!$B$2:$B$400="前面")+(機器台帳!$B$2:$B$400="両面")&gt;0)*(機器台帳!$F$2:$F$400&lt;&gt;"")*(機器台帳!$C$2:$C$400&lt;=13)*(機器台帳!$C$2:$C$400+機器台帳!$D$2:$D$400-1&gt;=13))&gt;1," 他"&amp;(SUMPRODUCT((機器台帳!$A$2:$A$400="E24-S8-2")*((機器台帳!$B$2:$B$400="前面")+(機器台帳!$B$2:$B$400="両面")&gt;0)*(機器台帳!$F$2:$F$400&lt;&gt;"")*(機器台帳!$C$2:$C$400&lt;=13)*(機器台帳!$C$2:$C$400+機器台帳!$D$2:$D$400-1&gt;=13))-1)&amp;"台",""))</f>
        <v/>
      </c>
      <c r="G38">
        <f>IF(SUMPRODUCT((機器台帳!$A$2:$A$400="E24-S8-2")*((機器台帳!$B$2:$B$400="前面")+(機器台帳!$B$2:$B$400="両面")&gt;0)*(機器台帳!$F$2:$F$400&lt;&gt;"")*(機器台帳!$C$2:$C$400&lt;=13)*(機器台帳!$C$2:$C$400+機器台帳!$D$2:$D$400-1&gt;=13))=0,"",INDEX(機器台帳!$I$2:$I$400,MATCH(1,INDEX((機器台帳!$A$2:$A$400="E24-S8-2")*((機器台帳!$B$2:$B$400="前面")+(機器台帳!$B$2:$B$400="両面")&gt;0)*(機器台帳!$F$2:$F$400&lt;&gt;"")*(機器台帳!$C$2:$C$400&lt;=13)*(機器台帳!$C$2:$C$400+機器台帳!$D$2:$D$400-1&gt;=13),0),0))&amp;IF(INDEX(機器台帳!$Y$2:$Y$400,MATCH(1,INDEX((機器台帳!$A$2:$A$400="E24-S8-2")*((機器台帳!$B$2:$B$400="前面")+(機器台帳!$B$2:$B$400="両面")&gt;0)*(機器台帳!$F$2:$F$400&lt;&gt;"")*(機器台帳!$C$2:$C$400&lt;=13)*(機器台帳!$C$2:$C$400+機器台帳!$D$2:$D$400-1&gt;=13),0),0))=0,"|未記入",""))</f>
        <v/>
      </c>
      <c r="H38" s="12">
        <f>IF(SUMPRODUCT((機器台帳!$A$2:$A$400="E24-S8-2")*((機器台帳!$B$2:$B$400="背面")+(機器台帳!$B$2:$B$400="両面")&gt;0)*(機器台帳!$F$2:$F$400&lt;&gt;"")*(機器台帳!$C$2:$C$400&lt;=13)*(機器台帳!$C$2:$C$400+機器台帳!$D$2:$D$400-1&gt;=13))=0,"",INDEX(機器台帳!$F$2:$F$400,MATCH(1,INDEX((機器台帳!$A$2:$A$400="E24-S8-2")*((機器台帳!$B$2:$B$400="背面")+(機器台帳!$B$2:$B$400="両面")&gt;0)*(機器台帳!$F$2:$F$400&lt;&gt;"")*(機器台帳!$C$2:$C$400&lt;=13)*(機器台帳!$C$2:$C$400+機器台帳!$D$2:$D$400-1&gt;=13),0),0))&amp;IF(INDEX(機器台帳!$G$2:$G$400,MATCH(1,INDEX((機器台帳!$A$2:$A$400="E24-S8-2")*((機器台帳!$B$2:$B$400="背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-2")*((機器台帳!$B$2:$B$400="背面")+(機器台帳!$B$2:$B$400="両面")&gt;0)*(機器台帳!$F$2:$F$400&lt;&gt;"")*(機器台帳!$C$2:$C$400&lt;=13)*(機器台帳!$C$2:$C$400+機器台帳!$D$2:$D$400-1&gt;=13),0),0)))&amp;IF(SUMPRODUCT((機器台帳!$A$2:$A$400="E24-S8-2")*((機器台帳!$B$2:$B$400="背面")+(機器台帳!$B$2:$B$400="両面")&gt;0)*(機器台帳!$F$2:$F$400&lt;&gt;"")*(機器台帳!$C$2:$C$400&lt;=13)*(機器台帳!$C$2:$C$400+機器台帳!$D$2:$D$400-1&gt;=13))&gt;1," 他"&amp;(SUMPRODUCT((機器台帳!$A$2:$A$400="E24-S8-2")*((機器台帳!$B$2:$B$400="背面")+(機器台帳!$B$2:$B$400="両面")&gt;0)*(機器台帳!$F$2:$F$400&lt;&gt;"")*(機器台帳!$C$2:$C$400&lt;=13)*(機器台帳!$C$2:$C$400+機器台帳!$D$2:$D$400-1&gt;=13))-1)&amp;"台",""))</f>
        <v/>
      </c>
      <c r="I38">
        <f>IF(SUMPRODUCT((機器台帳!$A$2:$A$400="E24-S8-2")*((機器台帳!$B$2:$B$400="背面")+(機器台帳!$B$2:$B$400="両面")&gt;0)*(機器台帳!$F$2:$F$400&lt;&gt;"")*(機器台帳!$C$2:$C$400&lt;=13)*(機器台帳!$C$2:$C$400+機器台帳!$D$2:$D$400-1&gt;=13))=0,"",INDEX(機器台帳!$I$2:$I$400,MATCH(1,INDEX((機器台帳!$A$2:$A$400="E24-S8-2")*((機器台帳!$B$2:$B$400="背面")+(機器台帳!$B$2:$B$400="両面")&gt;0)*(機器台帳!$F$2:$F$400&lt;&gt;"")*(機器台帳!$C$2:$C$400&lt;=13)*(機器台帳!$C$2:$C$400+機器台帳!$D$2:$D$400-1&gt;=13),0),0))&amp;IF(INDEX(機器台帳!$Y$2:$Y$400,MATCH(1,INDEX((機器台帳!$A$2:$A$400="E24-S8-2")*((機器台帳!$B$2:$B$400="背面")+(機器台帳!$B$2:$B$400="両面")&gt;0)*(機器台帳!$F$2:$F$400&lt;&gt;"")*(機器台帳!$C$2:$C$400&lt;=13)*(機器台帳!$C$2:$C$400+機器台帳!$D$2:$D$400-1&gt;=13),0),0))=0,"|未記入",""))</f>
        <v/>
      </c>
      <c r="J38" s="12">
        <f>IF(SUMPRODUCT((機器台帳!$A$2:$A$400="E24-S8-3")*((機器台帳!$B$2:$B$400="前面")+(機器台帳!$B$2:$B$400="両面")&gt;0)*(機器台帳!$F$2:$F$400&lt;&gt;"")*(機器台帳!$C$2:$C$400&lt;=13)*(機器台帳!$C$2:$C$400+機器台帳!$D$2:$D$400-1&gt;=13))=0,"",INDEX(機器台帳!$F$2:$F$400,MATCH(1,INDEX((機器台帳!$A$2:$A$400="E24-S8-3")*((機器台帳!$B$2:$B$400="前面")+(機器台帳!$B$2:$B$400="両面")&gt;0)*(機器台帳!$F$2:$F$400&lt;&gt;"")*(機器台帳!$C$2:$C$400&lt;=13)*(機器台帳!$C$2:$C$400+機器台帳!$D$2:$D$400-1&gt;=13),0),0))&amp;IF(INDEX(機器台帳!$G$2:$G$400,MATCH(1,INDEX((機器台帳!$A$2:$A$400="E24-S8-3")*((機器台帳!$B$2:$B$400="前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-3")*((機器台帳!$B$2:$B$400="前面")+(機器台帳!$B$2:$B$400="両面")&gt;0)*(機器台帳!$F$2:$F$400&lt;&gt;"")*(機器台帳!$C$2:$C$400&lt;=13)*(機器台帳!$C$2:$C$400+機器台帳!$D$2:$D$400-1&gt;=13),0),0)))&amp;IF(SUMPRODUCT((機器台帳!$A$2:$A$400="E24-S8-3")*((機器台帳!$B$2:$B$400="前面")+(機器台帳!$B$2:$B$400="両面")&gt;0)*(機器台帳!$F$2:$F$400&lt;&gt;"")*(機器台帳!$C$2:$C$400&lt;=13)*(機器台帳!$C$2:$C$400+機器台帳!$D$2:$D$400-1&gt;=13))&gt;1," 他"&amp;(SUMPRODUCT((機器台帳!$A$2:$A$400="E24-S8-3")*((機器台帳!$B$2:$B$400="前面")+(機器台帳!$B$2:$B$400="両面")&gt;0)*(機器台帳!$F$2:$F$400&lt;&gt;"")*(機器台帳!$C$2:$C$400&lt;=13)*(機器台帳!$C$2:$C$400+機器台帳!$D$2:$D$400-1&gt;=13))-1)&amp;"台",""))</f>
        <v/>
      </c>
      <c r="K38">
        <f>IF(SUMPRODUCT((機器台帳!$A$2:$A$400="E24-S8-3")*((機器台帳!$B$2:$B$400="前面")+(機器台帳!$B$2:$B$400="両面")&gt;0)*(機器台帳!$F$2:$F$400&lt;&gt;"")*(機器台帳!$C$2:$C$400&lt;=13)*(機器台帳!$C$2:$C$400+機器台帳!$D$2:$D$400-1&gt;=13))=0,"",INDEX(機器台帳!$I$2:$I$400,MATCH(1,INDEX((機器台帳!$A$2:$A$400="E24-S8-3")*((機器台帳!$B$2:$B$400="前面")+(機器台帳!$B$2:$B$400="両面")&gt;0)*(機器台帳!$F$2:$F$400&lt;&gt;"")*(機器台帳!$C$2:$C$400&lt;=13)*(機器台帳!$C$2:$C$400+機器台帳!$D$2:$D$400-1&gt;=13),0),0))&amp;IF(INDEX(機器台帳!$Y$2:$Y$400,MATCH(1,INDEX((機器台帳!$A$2:$A$400="E24-S8-3")*((機器台帳!$B$2:$B$400="前面")+(機器台帳!$B$2:$B$400="両面")&gt;0)*(機器台帳!$F$2:$F$400&lt;&gt;"")*(機器台帳!$C$2:$C$400&lt;=13)*(機器台帳!$C$2:$C$400+機器台帳!$D$2:$D$400-1&gt;=13),0),0))=0,"|未記入",""))</f>
        <v/>
      </c>
      <c r="L38" s="12">
        <f>IF(SUMPRODUCT((機器台帳!$A$2:$A$400="E24-S8-3")*((機器台帳!$B$2:$B$400="背面")+(機器台帳!$B$2:$B$400="両面")&gt;0)*(機器台帳!$F$2:$F$400&lt;&gt;"")*(機器台帳!$C$2:$C$400&lt;=13)*(機器台帳!$C$2:$C$400+機器台帳!$D$2:$D$400-1&gt;=13))=0,"",INDEX(機器台帳!$F$2:$F$400,MATCH(1,INDEX((機器台帳!$A$2:$A$400="E24-S8-3")*((機器台帳!$B$2:$B$400="背面")+(機器台帳!$B$2:$B$400="両面")&gt;0)*(機器台帳!$F$2:$F$400&lt;&gt;"")*(機器台帳!$C$2:$C$400&lt;=13)*(機器台帳!$C$2:$C$400+機器台帳!$D$2:$D$400-1&gt;=13),0),0))&amp;IF(INDEX(機器台帳!$G$2:$G$400,MATCH(1,INDEX((機器台帳!$A$2:$A$400="E24-S8-3")*((機器台帳!$B$2:$B$400="背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-3")*((機器台帳!$B$2:$B$400="背面")+(機器台帳!$B$2:$B$400="両面")&gt;0)*(機器台帳!$F$2:$F$400&lt;&gt;"")*(機器台帳!$C$2:$C$400&lt;=13)*(機器台帳!$C$2:$C$400+機器台帳!$D$2:$D$400-1&gt;=13),0),0)))&amp;IF(SUMPRODUCT((機器台帳!$A$2:$A$400="E24-S8-3")*((機器台帳!$B$2:$B$400="背面")+(機器台帳!$B$2:$B$400="両面")&gt;0)*(機器台帳!$F$2:$F$400&lt;&gt;"")*(機器台帳!$C$2:$C$400&lt;=13)*(機器台帳!$C$2:$C$400+機器台帳!$D$2:$D$400-1&gt;=13))&gt;1," 他"&amp;(SUMPRODUCT((機器台帳!$A$2:$A$400="E24-S8-3")*((機器台帳!$B$2:$B$400="背面")+(機器台帳!$B$2:$B$400="両面")&gt;0)*(機器台帳!$F$2:$F$400&lt;&gt;"")*(機器台帳!$C$2:$C$400&lt;=13)*(機器台帳!$C$2:$C$400+機器台帳!$D$2:$D$400-1&gt;=13))-1)&amp;"台",""))</f>
        <v/>
      </c>
      <c r="M38">
        <f>IF(SUMPRODUCT((機器台帳!$A$2:$A$400="E24-S8-3")*((機器台帳!$B$2:$B$400="背面")+(機器台帳!$B$2:$B$400="両面")&gt;0)*(機器台帳!$F$2:$F$400&lt;&gt;"")*(機器台帳!$C$2:$C$400&lt;=13)*(機器台帳!$C$2:$C$400+機器台帳!$D$2:$D$400-1&gt;=13))=0,"",INDEX(機器台帳!$I$2:$I$400,MATCH(1,INDEX((機器台帳!$A$2:$A$400="E24-S8-3")*((機器台帳!$B$2:$B$400="背面")+(機器台帳!$B$2:$B$400="両面")&gt;0)*(機器台帳!$F$2:$F$400&lt;&gt;"")*(機器台帳!$C$2:$C$400&lt;=13)*(機器台帳!$C$2:$C$400+機器台帳!$D$2:$D$400-1&gt;=13),0),0))&amp;IF(INDEX(機器台帳!$Y$2:$Y$400,MATCH(1,INDEX((機器台帳!$A$2:$A$400="E24-S8-3")*((機器台帳!$B$2:$B$400="背面")+(機器台帳!$B$2:$B$400="両面")&gt;0)*(機器台帳!$F$2:$F$400&lt;&gt;"")*(機器台帳!$C$2:$C$400&lt;=13)*(機器台帳!$C$2:$C$400+機器台帳!$D$2:$D$400-1&gt;=13),0),0))=0,"|未記入",""))</f>
        <v/>
      </c>
      <c r="N38" s="12">
        <f>IF(SUMPRODUCT((機器台帳!$A$2:$A$400="E24-S8-4")*((機器台帳!$B$2:$B$400="前面")+(機器台帳!$B$2:$B$400="両面")&gt;0)*(機器台帳!$F$2:$F$400&lt;&gt;"")*(機器台帳!$C$2:$C$400&lt;=13)*(機器台帳!$C$2:$C$400+機器台帳!$D$2:$D$400-1&gt;=13))=0,"",INDEX(機器台帳!$F$2:$F$400,MATCH(1,INDEX((機器台帳!$A$2:$A$400="E24-S8-4")*((機器台帳!$B$2:$B$400="前面")+(機器台帳!$B$2:$B$400="両面")&gt;0)*(機器台帳!$F$2:$F$400&lt;&gt;"")*(機器台帳!$C$2:$C$400&lt;=13)*(機器台帳!$C$2:$C$400+機器台帳!$D$2:$D$400-1&gt;=13),0),0))&amp;IF(INDEX(機器台帳!$G$2:$G$400,MATCH(1,INDEX((機器台帳!$A$2:$A$400="E24-S8-4")*((機器台帳!$B$2:$B$400="前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-4")*((機器台帳!$B$2:$B$400="前面")+(機器台帳!$B$2:$B$400="両面")&gt;0)*(機器台帳!$F$2:$F$400&lt;&gt;"")*(機器台帳!$C$2:$C$400&lt;=13)*(機器台帳!$C$2:$C$400+機器台帳!$D$2:$D$400-1&gt;=13),0),0)))&amp;IF(SUMPRODUCT((機器台帳!$A$2:$A$400="E24-S8-4")*((機器台帳!$B$2:$B$400="前面")+(機器台帳!$B$2:$B$400="両面")&gt;0)*(機器台帳!$F$2:$F$400&lt;&gt;"")*(機器台帳!$C$2:$C$400&lt;=13)*(機器台帳!$C$2:$C$400+機器台帳!$D$2:$D$400-1&gt;=13))&gt;1," 他"&amp;(SUMPRODUCT((機器台帳!$A$2:$A$400="E24-S8-4")*((機器台帳!$B$2:$B$400="前面")+(機器台帳!$B$2:$B$400="両面")&gt;0)*(機器台帳!$F$2:$F$400&lt;&gt;"")*(機器台帳!$C$2:$C$400&lt;=13)*(機器台帳!$C$2:$C$400+機器台帳!$D$2:$D$400-1&gt;=13))-1)&amp;"台",""))</f>
        <v/>
      </c>
      <c r="O38">
        <f>IF(SUMPRODUCT((機器台帳!$A$2:$A$400="E24-S8-4")*((機器台帳!$B$2:$B$400="前面")+(機器台帳!$B$2:$B$400="両面")&gt;0)*(機器台帳!$F$2:$F$400&lt;&gt;"")*(機器台帳!$C$2:$C$400&lt;=13)*(機器台帳!$C$2:$C$400+機器台帳!$D$2:$D$400-1&gt;=13))=0,"",INDEX(機器台帳!$I$2:$I$400,MATCH(1,INDEX((機器台帳!$A$2:$A$400="E24-S8-4")*((機器台帳!$B$2:$B$400="前面")+(機器台帳!$B$2:$B$400="両面")&gt;0)*(機器台帳!$F$2:$F$400&lt;&gt;"")*(機器台帳!$C$2:$C$400&lt;=13)*(機器台帳!$C$2:$C$400+機器台帳!$D$2:$D$400-1&gt;=13),0),0))&amp;IF(INDEX(機器台帳!$Y$2:$Y$400,MATCH(1,INDEX((機器台帳!$A$2:$A$400="E24-S8-4")*((機器台帳!$B$2:$B$400="前面")+(機器台帳!$B$2:$B$400="両面")&gt;0)*(機器台帳!$F$2:$F$400&lt;&gt;"")*(機器台帳!$C$2:$C$400&lt;=13)*(機器台帳!$C$2:$C$400+機器台帳!$D$2:$D$400-1&gt;=13),0),0))=0,"|未記入",""))</f>
        <v/>
      </c>
      <c r="P38" s="12">
        <f>IF(SUMPRODUCT((機器台帳!$A$2:$A$400="E24-S8-4")*((機器台帳!$B$2:$B$400="背面")+(機器台帳!$B$2:$B$400="両面")&gt;0)*(機器台帳!$F$2:$F$400&lt;&gt;"")*(機器台帳!$C$2:$C$400&lt;=13)*(機器台帳!$C$2:$C$400+機器台帳!$D$2:$D$400-1&gt;=13))=0,"",INDEX(機器台帳!$F$2:$F$400,MATCH(1,INDEX((機器台帳!$A$2:$A$400="E24-S8-4")*((機器台帳!$B$2:$B$400="背面")+(機器台帳!$B$2:$B$400="両面")&gt;0)*(機器台帳!$F$2:$F$400&lt;&gt;"")*(機器台帳!$C$2:$C$400&lt;=13)*(機器台帳!$C$2:$C$400+機器台帳!$D$2:$D$400-1&gt;=13),0),0))&amp;IF(INDEX(機器台帳!$G$2:$G$400,MATCH(1,INDEX((機器台帳!$A$2:$A$400="E24-S8-4")*((機器台帳!$B$2:$B$400="背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-4")*((機器台帳!$B$2:$B$400="背面")+(機器台帳!$B$2:$B$400="両面")&gt;0)*(機器台帳!$F$2:$F$400&lt;&gt;"")*(機器台帳!$C$2:$C$400&lt;=13)*(機器台帳!$C$2:$C$400+機器台帳!$D$2:$D$400-1&gt;=13),0),0)))&amp;IF(SUMPRODUCT((機器台帳!$A$2:$A$400="E24-S8-4")*((機器台帳!$B$2:$B$400="背面")+(機器台帳!$B$2:$B$400="両面")&gt;0)*(機器台帳!$F$2:$F$400&lt;&gt;"")*(機器台帳!$C$2:$C$400&lt;=13)*(機器台帳!$C$2:$C$400+機器台帳!$D$2:$D$400-1&gt;=13))&gt;1," 他"&amp;(SUMPRODUCT((機器台帳!$A$2:$A$400="E24-S8-4")*((機器台帳!$B$2:$B$400="背面")+(機器台帳!$B$2:$B$400="両面")&gt;0)*(機器台帳!$F$2:$F$400&lt;&gt;"")*(機器台帳!$C$2:$C$400&lt;=13)*(機器台帳!$C$2:$C$400+機器台帳!$D$2:$D$400-1&gt;=13))-1)&amp;"台",""))</f>
        <v/>
      </c>
      <c r="Q38">
        <f>IF(SUMPRODUCT((機器台帳!$A$2:$A$400="E24-S8-4")*((機器台帳!$B$2:$B$400="背面")+(機器台帳!$B$2:$B$400="両面")&gt;0)*(機器台帳!$F$2:$F$400&lt;&gt;"")*(機器台帳!$C$2:$C$400&lt;=13)*(機器台帳!$C$2:$C$400+機器台帳!$D$2:$D$400-1&gt;=13))=0,"",INDEX(機器台帳!$I$2:$I$400,MATCH(1,INDEX((機器台帳!$A$2:$A$400="E24-S8-4")*((機器台帳!$B$2:$B$400="背面")+(機器台帳!$B$2:$B$400="両面")&gt;0)*(機器台帳!$F$2:$F$400&lt;&gt;"")*(機器台帳!$C$2:$C$400&lt;=13)*(機器台帳!$C$2:$C$400+機器台帳!$D$2:$D$400-1&gt;=13),0),0))&amp;IF(INDEX(機器台帳!$Y$2:$Y$400,MATCH(1,INDEX((機器台帳!$A$2:$A$400="E24-S8-4")*((機器台帳!$B$2:$B$400="背面")+(機器台帳!$B$2:$B$400="両面")&gt;0)*(機器台帳!$F$2:$F$400&lt;&gt;"")*(機器台帳!$C$2:$C$400&lt;=13)*(機器台帳!$C$2:$C$400+機器台帳!$D$2:$D$400-1&gt;=13),0),0))=0,"|未記入",""))</f>
        <v/>
      </c>
      <c r="R38" s="12">
        <f>IF(SUMPRODUCT((機器台帳!$A$2:$A$400="E24-S8-5")*((機器台帳!$B$2:$B$400="前面")+(機器台帳!$B$2:$B$400="両面")&gt;0)*(機器台帳!$F$2:$F$400&lt;&gt;"")*(機器台帳!$C$2:$C$400&lt;=13)*(機器台帳!$C$2:$C$400+機器台帳!$D$2:$D$400-1&gt;=13))=0,"",INDEX(機器台帳!$F$2:$F$400,MATCH(1,INDEX((機器台帳!$A$2:$A$400="E24-S8-5")*((機器台帳!$B$2:$B$400="前面")+(機器台帳!$B$2:$B$400="両面")&gt;0)*(機器台帳!$F$2:$F$400&lt;&gt;"")*(機器台帳!$C$2:$C$400&lt;=13)*(機器台帳!$C$2:$C$400+機器台帳!$D$2:$D$400-1&gt;=13),0),0))&amp;IF(INDEX(機器台帳!$G$2:$G$400,MATCH(1,INDEX((機器台帳!$A$2:$A$400="E24-S8-5")*((機器台帳!$B$2:$B$400="前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-5")*((機器台帳!$B$2:$B$400="前面")+(機器台帳!$B$2:$B$400="両面")&gt;0)*(機器台帳!$F$2:$F$400&lt;&gt;"")*(機器台帳!$C$2:$C$400&lt;=13)*(機器台帳!$C$2:$C$400+機器台帳!$D$2:$D$400-1&gt;=13),0),0)))&amp;IF(SUMPRODUCT((機器台帳!$A$2:$A$400="E24-S8-5")*((機器台帳!$B$2:$B$400="前面")+(機器台帳!$B$2:$B$400="両面")&gt;0)*(機器台帳!$F$2:$F$400&lt;&gt;"")*(機器台帳!$C$2:$C$400&lt;=13)*(機器台帳!$C$2:$C$400+機器台帳!$D$2:$D$400-1&gt;=13))&gt;1," 他"&amp;(SUMPRODUCT((機器台帳!$A$2:$A$400="E24-S8-5")*((機器台帳!$B$2:$B$400="前面")+(機器台帳!$B$2:$B$400="両面")&gt;0)*(機器台帳!$F$2:$F$400&lt;&gt;"")*(機器台帳!$C$2:$C$400&lt;=13)*(機器台帳!$C$2:$C$400+機器台帳!$D$2:$D$400-1&gt;=13))-1)&amp;"台",""))</f>
        <v/>
      </c>
      <c r="S38">
        <f>IF(SUMPRODUCT((機器台帳!$A$2:$A$400="E24-S8-5")*((機器台帳!$B$2:$B$400="前面")+(機器台帳!$B$2:$B$400="両面")&gt;0)*(機器台帳!$F$2:$F$400&lt;&gt;"")*(機器台帳!$C$2:$C$400&lt;=13)*(機器台帳!$C$2:$C$400+機器台帳!$D$2:$D$400-1&gt;=13))=0,"",INDEX(機器台帳!$I$2:$I$400,MATCH(1,INDEX((機器台帳!$A$2:$A$400="E24-S8-5")*((機器台帳!$B$2:$B$400="前面")+(機器台帳!$B$2:$B$400="両面")&gt;0)*(機器台帳!$F$2:$F$400&lt;&gt;"")*(機器台帳!$C$2:$C$400&lt;=13)*(機器台帳!$C$2:$C$400+機器台帳!$D$2:$D$400-1&gt;=13),0),0))&amp;IF(INDEX(機器台帳!$Y$2:$Y$400,MATCH(1,INDEX((機器台帳!$A$2:$A$400="E24-S8-5")*((機器台帳!$B$2:$B$400="前面")+(機器台帳!$B$2:$B$400="両面")&gt;0)*(機器台帳!$F$2:$F$400&lt;&gt;"")*(機器台帳!$C$2:$C$400&lt;=13)*(機器台帳!$C$2:$C$400+機器台帳!$D$2:$D$400-1&gt;=13),0),0))=0,"|未記入",""))</f>
        <v/>
      </c>
      <c r="T38" s="12">
        <f>IF(SUMPRODUCT((機器台帳!$A$2:$A$400="E24-S8-5")*((機器台帳!$B$2:$B$400="背面")+(機器台帳!$B$2:$B$400="両面")&gt;0)*(機器台帳!$F$2:$F$400&lt;&gt;"")*(機器台帳!$C$2:$C$400&lt;=13)*(機器台帳!$C$2:$C$400+機器台帳!$D$2:$D$400-1&gt;=13))=0,"",INDEX(機器台帳!$F$2:$F$400,MATCH(1,INDEX((機器台帳!$A$2:$A$400="E24-S8-5")*((機器台帳!$B$2:$B$400="背面")+(機器台帳!$B$2:$B$400="両面")&gt;0)*(機器台帳!$F$2:$F$400&lt;&gt;"")*(機器台帳!$C$2:$C$400&lt;=13)*(機器台帳!$C$2:$C$400+機器台帳!$D$2:$D$400-1&gt;=13),0),0))&amp;IF(INDEX(機器台帳!$G$2:$G$400,MATCH(1,INDEX((機器台帳!$A$2:$A$400="E24-S8-5")*((機器台帳!$B$2:$B$400="背面")+(機器台帳!$B$2:$B$400="両面")&gt;0)*(機器台帳!$F$2:$F$400&lt;&gt;"")*(機器台帳!$C$2:$C$400&lt;=13)*(機器台帳!$C$2:$C$400+機器台帳!$D$2:$D$400-1&gt;=13),0),0))=""," "," "&amp;INDEX(機器台帳!$G$2:$G$400,MATCH(1,INDEX((機器台帳!$A$2:$A$400="E24-S8-5")*((機器台帳!$B$2:$B$400="背面")+(機器台帳!$B$2:$B$400="両面")&gt;0)*(機器台帳!$F$2:$F$400&lt;&gt;"")*(機器台帳!$C$2:$C$400&lt;=13)*(機器台帳!$C$2:$C$400+機器台帳!$D$2:$D$400-1&gt;=13),0),0)))&amp;IF(SUMPRODUCT((機器台帳!$A$2:$A$400="E24-S8-5")*((機器台帳!$B$2:$B$400="背面")+(機器台帳!$B$2:$B$400="両面")&gt;0)*(機器台帳!$F$2:$F$400&lt;&gt;"")*(機器台帳!$C$2:$C$400&lt;=13)*(機器台帳!$C$2:$C$400+機器台帳!$D$2:$D$400-1&gt;=13))&gt;1," 他"&amp;(SUMPRODUCT((機器台帳!$A$2:$A$400="E24-S8-5")*((機器台帳!$B$2:$B$400="背面")+(機器台帳!$B$2:$B$400="両面")&gt;0)*(機器台帳!$F$2:$F$400&lt;&gt;"")*(機器台帳!$C$2:$C$400&lt;=13)*(機器台帳!$C$2:$C$400+機器台帳!$D$2:$D$400-1&gt;=13))-1)&amp;"台",""))</f>
        <v/>
      </c>
      <c r="U38">
        <f>IF(SUMPRODUCT((機器台帳!$A$2:$A$400="E24-S8-5")*((機器台帳!$B$2:$B$400="背面")+(機器台帳!$B$2:$B$400="両面")&gt;0)*(機器台帳!$F$2:$F$400&lt;&gt;"")*(機器台帳!$C$2:$C$400&lt;=13)*(機器台帳!$C$2:$C$400+機器台帳!$D$2:$D$400-1&gt;=13))=0,"",INDEX(機器台帳!$I$2:$I$400,MATCH(1,INDEX((機器台帳!$A$2:$A$400="E24-S8-5")*((機器台帳!$B$2:$B$400="背面")+(機器台帳!$B$2:$B$400="両面")&gt;0)*(機器台帳!$F$2:$F$400&lt;&gt;"")*(機器台帳!$C$2:$C$400&lt;=13)*(機器台帳!$C$2:$C$400+機器台帳!$D$2:$D$400-1&gt;=13),0),0))&amp;IF(INDEX(機器台帳!$Y$2:$Y$400,MATCH(1,INDEX((機器台帳!$A$2:$A$400="E24-S8-5")*((機器台帳!$B$2:$B$400="背面")+(機器台帳!$B$2:$B$400="両面")&gt;0)*(機器台帳!$F$2:$F$400&lt;&gt;"")*(機器台帳!$C$2:$C$400&lt;=13)*(機器台帳!$C$2:$C$400+機器台帳!$D$2:$D$400-1&gt;=13),0),0))=0,"|未記入",""))</f>
        <v/>
      </c>
      <c r="V38" s="12">
        <f>IF(SUMPRODUCT((機器台帳!$A$2:$A$400="E24-S6-1")*((機器台帳!$B$2:$B$400="前面")+(機器台帳!$B$2:$B$400="両面")&gt;0)*(機器台帳!$F$2:$F$400&lt;&gt;"")*(機器台帳!$C$2:$C$400&lt;=13)*(機器台帳!$C$2:$C$400+機器台帳!$D$2:$D$400-1&gt;=13))=0,"",INDEX(機器台帳!$F$2:$F$400,MATCH(1,INDEX((機器台帳!$A$2:$A$400="E24-S6-1")*((機器台帳!$B$2:$B$400="前面")+(機器台帳!$B$2:$B$400="両面")&gt;0)*(機器台帳!$F$2:$F$400&lt;&gt;"")*(機器台帳!$C$2:$C$400&lt;=13)*(機器台帳!$C$2:$C$400+機器台帳!$D$2:$D$400-1&gt;=13),0),0))&amp;IF(INDEX(機器台帳!$G$2:$G$400,MATCH(1,INDEX((機器台帳!$A$2:$A$400="E24-S6-1")*((機器台帳!$B$2:$B$400="前面")+(機器台帳!$B$2:$B$400="両面")&gt;0)*(機器台帳!$F$2:$F$400&lt;&gt;"")*(機器台帳!$C$2:$C$400&lt;=13)*(機器台帳!$C$2:$C$400+機器台帳!$D$2:$D$400-1&gt;=13),0),0))=""," "," "&amp;INDEX(機器台帳!$G$2:$G$400,MATCH(1,INDEX((機器台帳!$A$2:$A$400="E24-S6-1")*((機器台帳!$B$2:$B$400="前面")+(機器台帳!$B$2:$B$400="両面")&gt;0)*(機器台帳!$F$2:$F$400&lt;&gt;"")*(機器台帳!$C$2:$C$400&lt;=13)*(機器台帳!$C$2:$C$400+機器台帳!$D$2:$D$400-1&gt;=13),0),0)))&amp;IF(SUMPRODUCT((機器台帳!$A$2:$A$400="E24-S6-1")*((機器台帳!$B$2:$B$400="前面")+(機器台帳!$B$2:$B$400="両面")&gt;0)*(機器台帳!$F$2:$F$400&lt;&gt;"")*(機器台帳!$C$2:$C$400&lt;=13)*(機器台帳!$C$2:$C$400+機器台帳!$D$2:$D$400-1&gt;=13))&gt;1," 他"&amp;(SUMPRODUCT((機器台帳!$A$2:$A$400="E24-S6-1")*((機器台帳!$B$2:$B$400="前面")+(機器台帳!$B$2:$B$400="両面")&gt;0)*(機器台帳!$F$2:$F$400&lt;&gt;"")*(機器台帳!$C$2:$C$400&lt;=13)*(機器台帳!$C$2:$C$400+機器台帳!$D$2:$D$400-1&gt;=13))-1)&amp;"台",""))</f>
        <v/>
      </c>
      <c r="W38">
        <f>IF(SUMPRODUCT((機器台帳!$A$2:$A$400="E24-S6-1")*((機器台帳!$B$2:$B$400="前面")+(機器台帳!$B$2:$B$400="両面")&gt;0)*(機器台帳!$F$2:$F$400&lt;&gt;"")*(機器台帳!$C$2:$C$400&lt;=13)*(機器台帳!$C$2:$C$400+機器台帳!$D$2:$D$400-1&gt;=13))=0,"",INDEX(機器台帳!$I$2:$I$400,MATCH(1,INDEX((機器台帳!$A$2:$A$400="E24-S6-1")*((機器台帳!$B$2:$B$400="前面")+(機器台帳!$B$2:$B$400="両面")&gt;0)*(機器台帳!$F$2:$F$400&lt;&gt;"")*(機器台帳!$C$2:$C$400&lt;=13)*(機器台帳!$C$2:$C$400+機器台帳!$D$2:$D$400-1&gt;=13),0),0))&amp;IF(INDEX(機器台帳!$Y$2:$Y$400,MATCH(1,INDEX((機器台帳!$A$2:$A$400="E24-S6-1")*((機器台帳!$B$2:$B$400="前面")+(機器台帳!$B$2:$B$400="両面")&gt;0)*(機器台帳!$F$2:$F$400&lt;&gt;"")*(機器台帳!$C$2:$C$400&lt;=13)*(機器台帳!$C$2:$C$400+機器台帳!$D$2:$D$400-1&gt;=13),0),0))=0,"|未記入",""))</f>
        <v/>
      </c>
      <c r="X38" s="12">
        <f>IF(SUMPRODUCT((機器台帳!$A$2:$A$400="E24-S6-1")*((機器台帳!$B$2:$B$400="背面")+(機器台帳!$B$2:$B$400="両面")&gt;0)*(機器台帳!$F$2:$F$400&lt;&gt;"")*(機器台帳!$C$2:$C$400&lt;=13)*(機器台帳!$C$2:$C$400+機器台帳!$D$2:$D$400-1&gt;=13))=0,"",INDEX(機器台帳!$F$2:$F$400,MATCH(1,INDEX((機器台帳!$A$2:$A$400="E24-S6-1")*((機器台帳!$B$2:$B$400="背面")+(機器台帳!$B$2:$B$400="両面")&gt;0)*(機器台帳!$F$2:$F$400&lt;&gt;"")*(機器台帳!$C$2:$C$400&lt;=13)*(機器台帳!$C$2:$C$400+機器台帳!$D$2:$D$400-1&gt;=13),0),0))&amp;IF(INDEX(機器台帳!$G$2:$G$400,MATCH(1,INDEX((機器台帳!$A$2:$A$400="E24-S6-1")*((機器台帳!$B$2:$B$400="背面")+(機器台帳!$B$2:$B$400="両面")&gt;0)*(機器台帳!$F$2:$F$400&lt;&gt;"")*(機器台帳!$C$2:$C$400&lt;=13)*(機器台帳!$C$2:$C$400+機器台帳!$D$2:$D$400-1&gt;=13),0),0))=""," "," "&amp;INDEX(機器台帳!$G$2:$G$400,MATCH(1,INDEX((機器台帳!$A$2:$A$400="E24-S6-1")*((機器台帳!$B$2:$B$400="背面")+(機器台帳!$B$2:$B$400="両面")&gt;0)*(機器台帳!$F$2:$F$400&lt;&gt;"")*(機器台帳!$C$2:$C$400&lt;=13)*(機器台帳!$C$2:$C$400+機器台帳!$D$2:$D$400-1&gt;=13),0),0)))&amp;IF(SUMPRODUCT((機器台帳!$A$2:$A$400="E24-S6-1")*((機器台帳!$B$2:$B$400="背面")+(機器台帳!$B$2:$B$400="両面")&gt;0)*(機器台帳!$F$2:$F$400&lt;&gt;"")*(機器台帳!$C$2:$C$400&lt;=13)*(機器台帳!$C$2:$C$400+機器台帳!$D$2:$D$400-1&gt;=13))&gt;1," 他"&amp;(SUMPRODUCT((機器台帳!$A$2:$A$400="E24-S6-1")*((機器台帳!$B$2:$B$400="背面")+(機器台帳!$B$2:$B$400="両面")&gt;0)*(機器台帳!$F$2:$F$400&lt;&gt;"")*(機器台帳!$C$2:$C$400&lt;=13)*(機器台帳!$C$2:$C$400+機器台帳!$D$2:$D$400-1&gt;=13))-1)&amp;"台",""))</f>
        <v/>
      </c>
      <c r="Y38">
        <f>IF(SUMPRODUCT((機器台帳!$A$2:$A$400="E24-S6-1")*((機器台帳!$B$2:$B$400="背面")+(機器台帳!$B$2:$B$400="両面")&gt;0)*(機器台帳!$F$2:$F$400&lt;&gt;"")*(機器台帳!$C$2:$C$400&lt;=13)*(機器台帳!$C$2:$C$400+機器台帳!$D$2:$D$400-1&gt;=13))=0,"",INDEX(機器台帳!$I$2:$I$400,MATCH(1,INDEX((機器台帳!$A$2:$A$400="E24-S6-1")*((機器台帳!$B$2:$B$400="背面")+(機器台帳!$B$2:$B$400="両面")&gt;0)*(機器台帳!$F$2:$F$400&lt;&gt;"")*(機器台帳!$C$2:$C$400&lt;=13)*(機器台帳!$C$2:$C$400+機器台帳!$D$2:$D$400-1&gt;=13),0),0))&amp;IF(INDEX(機器台帳!$Y$2:$Y$400,MATCH(1,INDEX((機器台帳!$A$2:$A$400="E24-S6-1")*((機器台帳!$B$2:$B$400="背面")+(機器台帳!$B$2:$B$400="両面")&gt;0)*(機器台帳!$F$2:$F$400&lt;&gt;"")*(機器台帳!$C$2:$C$400&lt;=13)*(機器台帳!$C$2:$C$400+機器台帳!$D$2:$D$400-1&gt;=13),0),0))=0,"|未記入",""))</f>
        <v/>
      </c>
    </row>
    <row r="39">
      <c r="A39" s="11" t="n">
        <v>12</v>
      </c>
      <c r="B39" s="12">
        <f>IF(SUMPRODUCT((機器台帳!$A$2:$A$400="E24-S8-1")*((機器台帳!$B$2:$B$400="前面")+(機器台帳!$B$2:$B$400="両面")&gt;0)*(機器台帳!$F$2:$F$400&lt;&gt;"")*(機器台帳!$C$2:$C$400&lt;=12)*(機器台帳!$C$2:$C$400+機器台帳!$D$2:$D$400-1&gt;=12))=0,"",INDEX(機器台帳!$F$2:$F$400,MATCH(1,INDEX((機器台帳!$A$2:$A$400="E24-S8-1")*((機器台帳!$B$2:$B$400="前面")+(機器台帳!$B$2:$B$400="両面")&gt;0)*(機器台帳!$F$2:$F$400&lt;&gt;"")*(機器台帳!$C$2:$C$400&lt;=12)*(機器台帳!$C$2:$C$400+機器台帳!$D$2:$D$400-1&gt;=12),0),0))&amp;IF(INDEX(機器台帳!$G$2:$G$400,MATCH(1,INDEX((機器台帳!$A$2:$A$400="E24-S8-1")*((機器台帳!$B$2:$B$400="前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-1")*((機器台帳!$B$2:$B$400="前面")+(機器台帳!$B$2:$B$400="両面")&gt;0)*(機器台帳!$F$2:$F$400&lt;&gt;"")*(機器台帳!$C$2:$C$400&lt;=12)*(機器台帳!$C$2:$C$400+機器台帳!$D$2:$D$400-1&gt;=12),0),0)))&amp;IF(SUMPRODUCT((機器台帳!$A$2:$A$400="E24-S8-1")*((機器台帳!$B$2:$B$400="前面")+(機器台帳!$B$2:$B$400="両面")&gt;0)*(機器台帳!$F$2:$F$400&lt;&gt;"")*(機器台帳!$C$2:$C$400&lt;=12)*(機器台帳!$C$2:$C$400+機器台帳!$D$2:$D$400-1&gt;=12))&gt;1," 他"&amp;(SUMPRODUCT((機器台帳!$A$2:$A$400="E24-S8-1")*((機器台帳!$B$2:$B$400="前面")+(機器台帳!$B$2:$B$400="両面")&gt;0)*(機器台帳!$F$2:$F$400&lt;&gt;"")*(機器台帳!$C$2:$C$400&lt;=12)*(機器台帳!$C$2:$C$400+機器台帳!$D$2:$D$400-1&gt;=12))-1)&amp;"台",""))</f>
        <v/>
      </c>
      <c r="C39">
        <f>IF(SUMPRODUCT((機器台帳!$A$2:$A$400="E24-S8-1")*((機器台帳!$B$2:$B$400="前面")+(機器台帳!$B$2:$B$400="両面")&gt;0)*(機器台帳!$F$2:$F$400&lt;&gt;"")*(機器台帳!$C$2:$C$400&lt;=12)*(機器台帳!$C$2:$C$400+機器台帳!$D$2:$D$400-1&gt;=12))=0,"",INDEX(機器台帳!$I$2:$I$400,MATCH(1,INDEX((機器台帳!$A$2:$A$400="E24-S8-1")*((機器台帳!$B$2:$B$400="前面")+(機器台帳!$B$2:$B$400="両面")&gt;0)*(機器台帳!$F$2:$F$400&lt;&gt;"")*(機器台帳!$C$2:$C$400&lt;=12)*(機器台帳!$C$2:$C$400+機器台帳!$D$2:$D$400-1&gt;=12),0),0))&amp;IF(INDEX(機器台帳!$Y$2:$Y$400,MATCH(1,INDEX((機器台帳!$A$2:$A$400="E24-S8-1")*((機器台帳!$B$2:$B$400="前面")+(機器台帳!$B$2:$B$400="両面")&gt;0)*(機器台帳!$F$2:$F$400&lt;&gt;"")*(機器台帳!$C$2:$C$400&lt;=12)*(機器台帳!$C$2:$C$400+機器台帳!$D$2:$D$400-1&gt;=12),0),0))=0,"|未記入",""))</f>
        <v/>
      </c>
      <c r="D39" s="12">
        <f>IF(SUMPRODUCT((機器台帳!$A$2:$A$400="E24-S8-1")*((機器台帳!$B$2:$B$400="背面")+(機器台帳!$B$2:$B$400="両面")&gt;0)*(機器台帳!$F$2:$F$400&lt;&gt;"")*(機器台帳!$C$2:$C$400&lt;=12)*(機器台帳!$C$2:$C$400+機器台帳!$D$2:$D$400-1&gt;=12))=0,"",INDEX(機器台帳!$F$2:$F$400,MATCH(1,INDEX((機器台帳!$A$2:$A$400="E24-S8-1")*((機器台帳!$B$2:$B$400="背面")+(機器台帳!$B$2:$B$400="両面")&gt;0)*(機器台帳!$F$2:$F$400&lt;&gt;"")*(機器台帳!$C$2:$C$400&lt;=12)*(機器台帳!$C$2:$C$400+機器台帳!$D$2:$D$400-1&gt;=12),0),0))&amp;IF(INDEX(機器台帳!$G$2:$G$400,MATCH(1,INDEX((機器台帳!$A$2:$A$400="E24-S8-1")*((機器台帳!$B$2:$B$400="背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-1")*((機器台帳!$B$2:$B$400="背面")+(機器台帳!$B$2:$B$400="両面")&gt;0)*(機器台帳!$F$2:$F$400&lt;&gt;"")*(機器台帳!$C$2:$C$400&lt;=12)*(機器台帳!$C$2:$C$400+機器台帳!$D$2:$D$400-1&gt;=12),0),0)))&amp;IF(SUMPRODUCT((機器台帳!$A$2:$A$400="E24-S8-1")*((機器台帳!$B$2:$B$400="背面")+(機器台帳!$B$2:$B$400="両面")&gt;0)*(機器台帳!$F$2:$F$400&lt;&gt;"")*(機器台帳!$C$2:$C$400&lt;=12)*(機器台帳!$C$2:$C$400+機器台帳!$D$2:$D$400-1&gt;=12))&gt;1," 他"&amp;(SUMPRODUCT((機器台帳!$A$2:$A$400="E24-S8-1")*((機器台帳!$B$2:$B$400="背面")+(機器台帳!$B$2:$B$400="両面")&gt;0)*(機器台帳!$F$2:$F$400&lt;&gt;"")*(機器台帳!$C$2:$C$400&lt;=12)*(機器台帳!$C$2:$C$400+機器台帳!$D$2:$D$400-1&gt;=12))-1)&amp;"台",""))</f>
        <v/>
      </c>
      <c r="E39">
        <f>IF(SUMPRODUCT((機器台帳!$A$2:$A$400="E24-S8-1")*((機器台帳!$B$2:$B$400="背面")+(機器台帳!$B$2:$B$400="両面")&gt;0)*(機器台帳!$F$2:$F$400&lt;&gt;"")*(機器台帳!$C$2:$C$400&lt;=12)*(機器台帳!$C$2:$C$400+機器台帳!$D$2:$D$400-1&gt;=12))=0,"",INDEX(機器台帳!$I$2:$I$400,MATCH(1,INDEX((機器台帳!$A$2:$A$400="E24-S8-1")*((機器台帳!$B$2:$B$400="背面")+(機器台帳!$B$2:$B$400="両面")&gt;0)*(機器台帳!$F$2:$F$400&lt;&gt;"")*(機器台帳!$C$2:$C$400&lt;=12)*(機器台帳!$C$2:$C$400+機器台帳!$D$2:$D$400-1&gt;=12),0),0))&amp;IF(INDEX(機器台帳!$Y$2:$Y$400,MATCH(1,INDEX((機器台帳!$A$2:$A$400="E24-S8-1")*((機器台帳!$B$2:$B$400="背面")+(機器台帳!$B$2:$B$400="両面")&gt;0)*(機器台帳!$F$2:$F$400&lt;&gt;"")*(機器台帳!$C$2:$C$400&lt;=12)*(機器台帳!$C$2:$C$400+機器台帳!$D$2:$D$400-1&gt;=12),0),0))=0,"|未記入",""))</f>
        <v/>
      </c>
      <c r="F39" s="12">
        <f>IF(SUMPRODUCT((機器台帳!$A$2:$A$400="E24-S8-2")*((機器台帳!$B$2:$B$400="前面")+(機器台帳!$B$2:$B$400="両面")&gt;0)*(機器台帳!$F$2:$F$400&lt;&gt;"")*(機器台帳!$C$2:$C$400&lt;=12)*(機器台帳!$C$2:$C$400+機器台帳!$D$2:$D$400-1&gt;=12))=0,"",INDEX(機器台帳!$F$2:$F$400,MATCH(1,INDEX((機器台帳!$A$2:$A$400="E24-S8-2")*((機器台帳!$B$2:$B$400="前面")+(機器台帳!$B$2:$B$400="両面")&gt;0)*(機器台帳!$F$2:$F$400&lt;&gt;"")*(機器台帳!$C$2:$C$400&lt;=12)*(機器台帳!$C$2:$C$400+機器台帳!$D$2:$D$400-1&gt;=12),0),0))&amp;IF(INDEX(機器台帳!$G$2:$G$400,MATCH(1,INDEX((機器台帳!$A$2:$A$400="E24-S8-2")*((機器台帳!$B$2:$B$400="前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-2")*((機器台帳!$B$2:$B$400="前面")+(機器台帳!$B$2:$B$400="両面")&gt;0)*(機器台帳!$F$2:$F$400&lt;&gt;"")*(機器台帳!$C$2:$C$400&lt;=12)*(機器台帳!$C$2:$C$400+機器台帳!$D$2:$D$400-1&gt;=12),0),0)))&amp;IF(SUMPRODUCT((機器台帳!$A$2:$A$400="E24-S8-2")*((機器台帳!$B$2:$B$400="前面")+(機器台帳!$B$2:$B$400="両面")&gt;0)*(機器台帳!$F$2:$F$400&lt;&gt;"")*(機器台帳!$C$2:$C$400&lt;=12)*(機器台帳!$C$2:$C$400+機器台帳!$D$2:$D$400-1&gt;=12))&gt;1," 他"&amp;(SUMPRODUCT((機器台帳!$A$2:$A$400="E24-S8-2")*((機器台帳!$B$2:$B$400="前面")+(機器台帳!$B$2:$B$400="両面")&gt;0)*(機器台帳!$F$2:$F$400&lt;&gt;"")*(機器台帳!$C$2:$C$400&lt;=12)*(機器台帳!$C$2:$C$400+機器台帳!$D$2:$D$400-1&gt;=12))-1)&amp;"台",""))</f>
        <v/>
      </c>
      <c r="G39">
        <f>IF(SUMPRODUCT((機器台帳!$A$2:$A$400="E24-S8-2")*((機器台帳!$B$2:$B$400="前面")+(機器台帳!$B$2:$B$400="両面")&gt;0)*(機器台帳!$F$2:$F$400&lt;&gt;"")*(機器台帳!$C$2:$C$400&lt;=12)*(機器台帳!$C$2:$C$400+機器台帳!$D$2:$D$400-1&gt;=12))=0,"",INDEX(機器台帳!$I$2:$I$400,MATCH(1,INDEX((機器台帳!$A$2:$A$400="E24-S8-2")*((機器台帳!$B$2:$B$400="前面")+(機器台帳!$B$2:$B$400="両面")&gt;0)*(機器台帳!$F$2:$F$400&lt;&gt;"")*(機器台帳!$C$2:$C$400&lt;=12)*(機器台帳!$C$2:$C$400+機器台帳!$D$2:$D$400-1&gt;=12),0),0))&amp;IF(INDEX(機器台帳!$Y$2:$Y$400,MATCH(1,INDEX((機器台帳!$A$2:$A$400="E24-S8-2")*((機器台帳!$B$2:$B$400="前面")+(機器台帳!$B$2:$B$400="両面")&gt;0)*(機器台帳!$F$2:$F$400&lt;&gt;"")*(機器台帳!$C$2:$C$400&lt;=12)*(機器台帳!$C$2:$C$400+機器台帳!$D$2:$D$400-1&gt;=12),0),0))=0,"|未記入",""))</f>
        <v/>
      </c>
      <c r="H39" s="12">
        <f>IF(SUMPRODUCT((機器台帳!$A$2:$A$400="E24-S8-2")*((機器台帳!$B$2:$B$400="背面")+(機器台帳!$B$2:$B$400="両面")&gt;0)*(機器台帳!$F$2:$F$400&lt;&gt;"")*(機器台帳!$C$2:$C$400&lt;=12)*(機器台帳!$C$2:$C$400+機器台帳!$D$2:$D$400-1&gt;=12))=0,"",INDEX(機器台帳!$F$2:$F$400,MATCH(1,INDEX((機器台帳!$A$2:$A$400="E24-S8-2")*((機器台帳!$B$2:$B$400="背面")+(機器台帳!$B$2:$B$400="両面")&gt;0)*(機器台帳!$F$2:$F$400&lt;&gt;"")*(機器台帳!$C$2:$C$400&lt;=12)*(機器台帳!$C$2:$C$400+機器台帳!$D$2:$D$400-1&gt;=12),0),0))&amp;IF(INDEX(機器台帳!$G$2:$G$400,MATCH(1,INDEX((機器台帳!$A$2:$A$400="E24-S8-2")*((機器台帳!$B$2:$B$400="背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-2")*((機器台帳!$B$2:$B$400="背面")+(機器台帳!$B$2:$B$400="両面")&gt;0)*(機器台帳!$F$2:$F$400&lt;&gt;"")*(機器台帳!$C$2:$C$400&lt;=12)*(機器台帳!$C$2:$C$400+機器台帳!$D$2:$D$400-1&gt;=12),0),0)))&amp;IF(SUMPRODUCT((機器台帳!$A$2:$A$400="E24-S8-2")*((機器台帳!$B$2:$B$400="背面")+(機器台帳!$B$2:$B$400="両面")&gt;0)*(機器台帳!$F$2:$F$400&lt;&gt;"")*(機器台帳!$C$2:$C$400&lt;=12)*(機器台帳!$C$2:$C$400+機器台帳!$D$2:$D$400-1&gt;=12))&gt;1," 他"&amp;(SUMPRODUCT((機器台帳!$A$2:$A$400="E24-S8-2")*((機器台帳!$B$2:$B$400="背面")+(機器台帳!$B$2:$B$400="両面")&gt;0)*(機器台帳!$F$2:$F$400&lt;&gt;"")*(機器台帳!$C$2:$C$400&lt;=12)*(機器台帳!$C$2:$C$400+機器台帳!$D$2:$D$400-1&gt;=12))-1)&amp;"台",""))</f>
        <v/>
      </c>
      <c r="I39">
        <f>IF(SUMPRODUCT((機器台帳!$A$2:$A$400="E24-S8-2")*((機器台帳!$B$2:$B$400="背面")+(機器台帳!$B$2:$B$400="両面")&gt;0)*(機器台帳!$F$2:$F$400&lt;&gt;"")*(機器台帳!$C$2:$C$400&lt;=12)*(機器台帳!$C$2:$C$400+機器台帳!$D$2:$D$400-1&gt;=12))=0,"",INDEX(機器台帳!$I$2:$I$400,MATCH(1,INDEX((機器台帳!$A$2:$A$400="E24-S8-2")*((機器台帳!$B$2:$B$400="背面")+(機器台帳!$B$2:$B$400="両面")&gt;0)*(機器台帳!$F$2:$F$400&lt;&gt;"")*(機器台帳!$C$2:$C$400&lt;=12)*(機器台帳!$C$2:$C$400+機器台帳!$D$2:$D$400-1&gt;=12),0),0))&amp;IF(INDEX(機器台帳!$Y$2:$Y$400,MATCH(1,INDEX((機器台帳!$A$2:$A$400="E24-S8-2")*((機器台帳!$B$2:$B$400="背面")+(機器台帳!$B$2:$B$400="両面")&gt;0)*(機器台帳!$F$2:$F$400&lt;&gt;"")*(機器台帳!$C$2:$C$400&lt;=12)*(機器台帳!$C$2:$C$400+機器台帳!$D$2:$D$400-1&gt;=12),0),0))=0,"|未記入",""))</f>
        <v/>
      </c>
      <c r="J39" s="12">
        <f>IF(SUMPRODUCT((機器台帳!$A$2:$A$400="E24-S8-3")*((機器台帳!$B$2:$B$400="前面")+(機器台帳!$B$2:$B$400="両面")&gt;0)*(機器台帳!$F$2:$F$400&lt;&gt;"")*(機器台帳!$C$2:$C$400&lt;=12)*(機器台帳!$C$2:$C$400+機器台帳!$D$2:$D$400-1&gt;=12))=0,"",INDEX(機器台帳!$F$2:$F$400,MATCH(1,INDEX((機器台帳!$A$2:$A$400="E24-S8-3")*((機器台帳!$B$2:$B$400="前面")+(機器台帳!$B$2:$B$400="両面")&gt;0)*(機器台帳!$F$2:$F$400&lt;&gt;"")*(機器台帳!$C$2:$C$400&lt;=12)*(機器台帳!$C$2:$C$400+機器台帳!$D$2:$D$400-1&gt;=12),0),0))&amp;IF(INDEX(機器台帳!$G$2:$G$400,MATCH(1,INDEX((機器台帳!$A$2:$A$400="E24-S8-3")*((機器台帳!$B$2:$B$400="前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-3")*((機器台帳!$B$2:$B$400="前面")+(機器台帳!$B$2:$B$400="両面")&gt;0)*(機器台帳!$F$2:$F$400&lt;&gt;"")*(機器台帳!$C$2:$C$400&lt;=12)*(機器台帳!$C$2:$C$400+機器台帳!$D$2:$D$400-1&gt;=12),0),0)))&amp;IF(SUMPRODUCT((機器台帳!$A$2:$A$400="E24-S8-3")*((機器台帳!$B$2:$B$400="前面")+(機器台帳!$B$2:$B$400="両面")&gt;0)*(機器台帳!$F$2:$F$400&lt;&gt;"")*(機器台帳!$C$2:$C$400&lt;=12)*(機器台帳!$C$2:$C$400+機器台帳!$D$2:$D$400-1&gt;=12))&gt;1," 他"&amp;(SUMPRODUCT((機器台帳!$A$2:$A$400="E24-S8-3")*((機器台帳!$B$2:$B$400="前面")+(機器台帳!$B$2:$B$400="両面")&gt;0)*(機器台帳!$F$2:$F$400&lt;&gt;"")*(機器台帳!$C$2:$C$400&lt;=12)*(機器台帳!$C$2:$C$400+機器台帳!$D$2:$D$400-1&gt;=12))-1)&amp;"台",""))</f>
        <v/>
      </c>
      <c r="K39">
        <f>IF(SUMPRODUCT((機器台帳!$A$2:$A$400="E24-S8-3")*((機器台帳!$B$2:$B$400="前面")+(機器台帳!$B$2:$B$400="両面")&gt;0)*(機器台帳!$F$2:$F$400&lt;&gt;"")*(機器台帳!$C$2:$C$400&lt;=12)*(機器台帳!$C$2:$C$400+機器台帳!$D$2:$D$400-1&gt;=12))=0,"",INDEX(機器台帳!$I$2:$I$400,MATCH(1,INDEX((機器台帳!$A$2:$A$400="E24-S8-3")*((機器台帳!$B$2:$B$400="前面")+(機器台帳!$B$2:$B$400="両面")&gt;0)*(機器台帳!$F$2:$F$400&lt;&gt;"")*(機器台帳!$C$2:$C$400&lt;=12)*(機器台帳!$C$2:$C$400+機器台帳!$D$2:$D$400-1&gt;=12),0),0))&amp;IF(INDEX(機器台帳!$Y$2:$Y$400,MATCH(1,INDEX((機器台帳!$A$2:$A$400="E24-S8-3")*((機器台帳!$B$2:$B$400="前面")+(機器台帳!$B$2:$B$400="両面")&gt;0)*(機器台帳!$F$2:$F$400&lt;&gt;"")*(機器台帳!$C$2:$C$400&lt;=12)*(機器台帳!$C$2:$C$400+機器台帳!$D$2:$D$400-1&gt;=12),0),0))=0,"|未記入",""))</f>
        <v/>
      </c>
      <c r="L39" s="12">
        <f>IF(SUMPRODUCT((機器台帳!$A$2:$A$400="E24-S8-3")*((機器台帳!$B$2:$B$400="背面")+(機器台帳!$B$2:$B$400="両面")&gt;0)*(機器台帳!$F$2:$F$400&lt;&gt;"")*(機器台帳!$C$2:$C$400&lt;=12)*(機器台帳!$C$2:$C$400+機器台帳!$D$2:$D$400-1&gt;=12))=0,"",INDEX(機器台帳!$F$2:$F$400,MATCH(1,INDEX((機器台帳!$A$2:$A$400="E24-S8-3")*((機器台帳!$B$2:$B$400="背面")+(機器台帳!$B$2:$B$400="両面")&gt;0)*(機器台帳!$F$2:$F$400&lt;&gt;"")*(機器台帳!$C$2:$C$400&lt;=12)*(機器台帳!$C$2:$C$400+機器台帳!$D$2:$D$400-1&gt;=12),0),0))&amp;IF(INDEX(機器台帳!$G$2:$G$400,MATCH(1,INDEX((機器台帳!$A$2:$A$400="E24-S8-3")*((機器台帳!$B$2:$B$400="背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-3")*((機器台帳!$B$2:$B$400="背面")+(機器台帳!$B$2:$B$400="両面")&gt;0)*(機器台帳!$F$2:$F$400&lt;&gt;"")*(機器台帳!$C$2:$C$400&lt;=12)*(機器台帳!$C$2:$C$400+機器台帳!$D$2:$D$400-1&gt;=12),0),0)))&amp;IF(SUMPRODUCT((機器台帳!$A$2:$A$400="E24-S8-3")*((機器台帳!$B$2:$B$400="背面")+(機器台帳!$B$2:$B$400="両面")&gt;0)*(機器台帳!$F$2:$F$400&lt;&gt;"")*(機器台帳!$C$2:$C$400&lt;=12)*(機器台帳!$C$2:$C$400+機器台帳!$D$2:$D$400-1&gt;=12))&gt;1," 他"&amp;(SUMPRODUCT((機器台帳!$A$2:$A$400="E24-S8-3")*((機器台帳!$B$2:$B$400="背面")+(機器台帳!$B$2:$B$400="両面")&gt;0)*(機器台帳!$F$2:$F$400&lt;&gt;"")*(機器台帳!$C$2:$C$400&lt;=12)*(機器台帳!$C$2:$C$400+機器台帳!$D$2:$D$400-1&gt;=12))-1)&amp;"台",""))</f>
        <v/>
      </c>
      <c r="M39">
        <f>IF(SUMPRODUCT((機器台帳!$A$2:$A$400="E24-S8-3")*((機器台帳!$B$2:$B$400="背面")+(機器台帳!$B$2:$B$400="両面")&gt;0)*(機器台帳!$F$2:$F$400&lt;&gt;"")*(機器台帳!$C$2:$C$400&lt;=12)*(機器台帳!$C$2:$C$400+機器台帳!$D$2:$D$400-1&gt;=12))=0,"",INDEX(機器台帳!$I$2:$I$400,MATCH(1,INDEX((機器台帳!$A$2:$A$400="E24-S8-3")*((機器台帳!$B$2:$B$400="背面")+(機器台帳!$B$2:$B$400="両面")&gt;0)*(機器台帳!$F$2:$F$400&lt;&gt;"")*(機器台帳!$C$2:$C$400&lt;=12)*(機器台帳!$C$2:$C$400+機器台帳!$D$2:$D$400-1&gt;=12),0),0))&amp;IF(INDEX(機器台帳!$Y$2:$Y$400,MATCH(1,INDEX((機器台帳!$A$2:$A$400="E24-S8-3")*((機器台帳!$B$2:$B$400="背面")+(機器台帳!$B$2:$B$400="両面")&gt;0)*(機器台帳!$F$2:$F$400&lt;&gt;"")*(機器台帳!$C$2:$C$400&lt;=12)*(機器台帳!$C$2:$C$400+機器台帳!$D$2:$D$400-1&gt;=12),0),0))=0,"|未記入",""))</f>
        <v/>
      </c>
      <c r="N39" s="12">
        <f>IF(SUMPRODUCT((機器台帳!$A$2:$A$400="E24-S8-4")*((機器台帳!$B$2:$B$400="前面")+(機器台帳!$B$2:$B$400="両面")&gt;0)*(機器台帳!$F$2:$F$400&lt;&gt;"")*(機器台帳!$C$2:$C$400&lt;=12)*(機器台帳!$C$2:$C$400+機器台帳!$D$2:$D$400-1&gt;=12))=0,"",INDEX(機器台帳!$F$2:$F$400,MATCH(1,INDEX((機器台帳!$A$2:$A$400="E24-S8-4")*((機器台帳!$B$2:$B$400="前面")+(機器台帳!$B$2:$B$400="両面")&gt;0)*(機器台帳!$F$2:$F$400&lt;&gt;"")*(機器台帳!$C$2:$C$400&lt;=12)*(機器台帳!$C$2:$C$400+機器台帳!$D$2:$D$400-1&gt;=12),0),0))&amp;IF(INDEX(機器台帳!$G$2:$G$400,MATCH(1,INDEX((機器台帳!$A$2:$A$400="E24-S8-4")*((機器台帳!$B$2:$B$400="前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-4")*((機器台帳!$B$2:$B$400="前面")+(機器台帳!$B$2:$B$400="両面")&gt;0)*(機器台帳!$F$2:$F$400&lt;&gt;"")*(機器台帳!$C$2:$C$400&lt;=12)*(機器台帳!$C$2:$C$400+機器台帳!$D$2:$D$400-1&gt;=12),0),0)))&amp;IF(SUMPRODUCT((機器台帳!$A$2:$A$400="E24-S8-4")*((機器台帳!$B$2:$B$400="前面")+(機器台帳!$B$2:$B$400="両面")&gt;0)*(機器台帳!$F$2:$F$400&lt;&gt;"")*(機器台帳!$C$2:$C$400&lt;=12)*(機器台帳!$C$2:$C$400+機器台帳!$D$2:$D$400-1&gt;=12))&gt;1," 他"&amp;(SUMPRODUCT((機器台帳!$A$2:$A$400="E24-S8-4")*((機器台帳!$B$2:$B$400="前面")+(機器台帳!$B$2:$B$400="両面")&gt;0)*(機器台帳!$F$2:$F$400&lt;&gt;"")*(機器台帳!$C$2:$C$400&lt;=12)*(機器台帳!$C$2:$C$400+機器台帳!$D$2:$D$400-1&gt;=12))-1)&amp;"台",""))</f>
        <v/>
      </c>
      <c r="O39">
        <f>IF(SUMPRODUCT((機器台帳!$A$2:$A$400="E24-S8-4")*((機器台帳!$B$2:$B$400="前面")+(機器台帳!$B$2:$B$400="両面")&gt;0)*(機器台帳!$F$2:$F$400&lt;&gt;"")*(機器台帳!$C$2:$C$400&lt;=12)*(機器台帳!$C$2:$C$400+機器台帳!$D$2:$D$400-1&gt;=12))=0,"",INDEX(機器台帳!$I$2:$I$400,MATCH(1,INDEX((機器台帳!$A$2:$A$400="E24-S8-4")*((機器台帳!$B$2:$B$400="前面")+(機器台帳!$B$2:$B$400="両面")&gt;0)*(機器台帳!$F$2:$F$400&lt;&gt;"")*(機器台帳!$C$2:$C$400&lt;=12)*(機器台帳!$C$2:$C$400+機器台帳!$D$2:$D$400-1&gt;=12),0),0))&amp;IF(INDEX(機器台帳!$Y$2:$Y$400,MATCH(1,INDEX((機器台帳!$A$2:$A$400="E24-S8-4")*((機器台帳!$B$2:$B$400="前面")+(機器台帳!$B$2:$B$400="両面")&gt;0)*(機器台帳!$F$2:$F$400&lt;&gt;"")*(機器台帳!$C$2:$C$400&lt;=12)*(機器台帳!$C$2:$C$400+機器台帳!$D$2:$D$400-1&gt;=12),0),0))=0,"|未記入",""))</f>
        <v/>
      </c>
      <c r="P39" s="12">
        <f>IF(SUMPRODUCT((機器台帳!$A$2:$A$400="E24-S8-4")*((機器台帳!$B$2:$B$400="背面")+(機器台帳!$B$2:$B$400="両面")&gt;0)*(機器台帳!$F$2:$F$400&lt;&gt;"")*(機器台帳!$C$2:$C$400&lt;=12)*(機器台帳!$C$2:$C$400+機器台帳!$D$2:$D$400-1&gt;=12))=0,"",INDEX(機器台帳!$F$2:$F$400,MATCH(1,INDEX((機器台帳!$A$2:$A$400="E24-S8-4")*((機器台帳!$B$2:$B$400="背面")+(機器台帳!$B$2:$B$400="両面")&gt;0)*(機器台帳!$F$2:$F$400&lt;&gt;"")*(機器台帳!$C$2:$C$400&lt;=12)*(機器台帳!$C$2:$C$400+機器台帳!$D$2:$D$400-1&gt;=12),0),0))&amp;IF(INDEX(機器台帳!$G$2:$G$400,MATCH(1,INDEX((機器台帳!$A$2:$A$400="E24-S8-4")*((機器台帳!$B$2:$B$400="背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-4")*((機器台帳!$B$2:$B$400="背面")+(機器台帳!$B$2:$B$400="両面")&gt;0)*(機器台帳!$F$2:$F$400&lt;&gt;"")*(機器台帳!$C$2:$C$400&lt;=12)*(機器台帳!$C$2:$C$400+機器台帳!$D$2:$D$400-1&gt;=12),0),0)))&amp;IF(SUMPRODUCT((機器台帳!$A$2:$A$400="E24-S8-4")*((機器台帳!$B$2:$B$400="背面")+(機器台帳!$B$2:$B$400="両面")&gt;0)*(機器台帳!$F$2:$F$400&lt;&gt;"")*(機器台帳!$C$2:$C$400&lt;=12)*(機器台帳!$C$2:$C$400+機器台帳!$D$2:$D$400-1&gt;=12))&gt;1," 他"&amp;(SUMPRODUCT((機器台帳!$A$2:$A$400="E24-S8-4")*((機器台帳!$B$2:$B$400="背面")+(機器台帳!$B$2:$B$400="両面")&gt;0)*(機器台帳!$F$2:$F$400&lt;&gt;"")*(機器台帳!$C$2:$C$400&lt;=12)*(機器台帳!$C$2:$C$400+機器台帳!$D$2:$D$400-1&gt;=12))-1)&amp;"台",""))</f>
        <v/>
      </c>
      <c r="Q39">
        <f>IF(SUMPRODUCT((機器台帳!$A$2:$A$400="E24-S8-4")*((機器台帳!$B$2:$B$400="背面")+(機器台帳!$B$2:$B$400="両面")&gt;0)*(機器台帳!$F$2:$F$400&lt;&gt;"")*(機器台帳!$C$2:$C$400&lt;=12)*(機器台帳!$C$2:$C$400+機器台帳!$D$2:$D$400-1&gt;=12))=0,"",INDEX(機器台帳!$I$2:$I$400,MATCH(1,INDEX((機器台帳!$A$2:$A$400="E24-S8-4")*((機器台帳!$B$2:$B$400="背面")+(機器台帳!$B$2:$B$400="両面")&gt;0)*(機器台帳!$F$2:$F$400&lt;&gt;"")*(機器台帳!$C$2:$C$400&lt;=12)*(機器台帳!$C$2:$C$400+機器台帳!$D$2:$D$400-1&gt;=12),0),0))&amp;IF(INDEX(機器台帳!$Y$2:$Y$400,MATCH(1,INDEX((機器台帳!$A$2:$A$400="E24-S8-4")*((機器台帳!$B$2:$B$400="背面")+(機器台帳!$B$2:$B$400="両面")&gt;0)*(機器台帳!$F$2:$F$400&lt;&gt;"")*(機器台帳!$C$2:$C$400&lt;=12)*(機器台帳!$C$2:$C$400+機器台帳!$D$2:$D$400-1&gt;=12),0),0))=0,"|未記入",""))</f>
        <v/>
      </c>
      <c r="R39" s="12">
        <f>IF(SUMPRODUCT((機器台帳!$A$2:$A$400="E24-S8-5")*((機器台帳!$B$2:$B$400="前面")+(機器台帳!$B$2:$B$400="両面")&gt;0)*(機器台帳!$F$2:$F$400&lt;&gt;"")*(機器台帳!$C$2:$C$400&lt;=12)*(機器台帳!$C$2:$C$400+機器台帳!$D$2:$D$400-1&gt;=12))=0,"",INDEX(機器台帳!$F$2:$F$400,MATCH(1,INDEX((機器台帳!$A$2:$A$400="E24-S8-5")*((機器台帳!$B$2:$B$400="前面")+(機器台帳!$B$2:$B$400="両面")&gt;0)*(機器台帳!$F$2:$F$400&lt;&gt;"")*(機器台帳!$C$2:$C$400&lt;=12)*(機器台帳!$C$2:$C$400+機器台帳!$D$2:$D$400-1&gt;=12),0),0))&amp;IF(INDEX(機器台帳!$G$2:$G$400,MATCH(1,INDEX((機器台帳!$A$2:$A$400="E24-S8-5")*((機器台帳!$B$2:$B$400="前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-5")*((機器台帳!$B$2:$B$400="前面")+(機器台帳!$B$2:$B$400="両面")&gt;0)*(機器台帳!$F$2:$F$400&lt;&gt;"")*(機器台帳!$C$2:$C$400&lt;=12)*(機器台帳!$C$2:$C$400+機器台帳!$D$2:$D$400-1&gt;=12),0),0)))&amp;IF(SUMPRODUCT((機器台帳!$A$2:$A$400="E24-S8-5")*((機器台帳!$B$2:$B$400="前面")+(機器台帳!$B$2:$B$400="両面")&gt;0)*(機器台帳!$F$2:$F$400&lt;&gt;"")*(機器台帳!$C$2:$C$400&lt;=12)*(機器台帳!$C$2:$C$400+機器台帳!$D$2:$D$400-1&gt;=12))&gt;1," 他"&amp;(SUMPRODUCT((機器台帳!$A$2:$A$400="E24-S8-5")*((機器台帳!$B$2:$B$400="前面")+(機器台帳!$B$2:$B$400="両面")&gt;0)*(機器台帳!$F$2:$F$400&lt;&gt;"")*(機器台帳!$C$2:$C$400&lt;=12)*(機器台帳!$C$2:$C$400+機器台帳!$D$2:$D$400-1&gt;=12))-1)&amp;"台",""))</f>
        <v/>
      </c>
      <c r="S39">
        <f>IF(SUMPRODUCT((機器台帳!$A$2:$A$400="E24-S8-5")*((機器台帳!$B$2:$B$400="前面")+(機器台帳!$B$2:$B$400="両面")&gt;0)*(機器台帳!$F$2:$F$400&lt;&gt;"")*(機器台帳!$C$2:$C$400&lt;=12)*(機器台帳!$C$2:$C$400+機器台帳!$D$2:$D$400-1&gt;=12))=0,"",INDEX(機器台帳!$I$2:$I$400,MATCH(1,INDEX((機器台帳!$A$2:$A$400="E24-S8-5")*((機器台帳!$B$2:$B$400="前面")+(機器台帳!$B$2:$B$400="両面")&gt;0)*(機器台帳!$F$2:$F$400&lt;&gt;"")*(機器台帳!$C$2:$C$400&lt;=12)*(機器台帳!$C$2:$C$400+機器台帳!$D$2:$D$400-1&gt;=12),0),0))&amp;IF(INDEX(機器台帳!$Y$2:$Y$400,MATCH(1,INDEX((機器台帳!$A$2:$A$400="E24-S8-5")*((機器台帳!$B$2:$B$400="前面")+(機器台帳!$B$2:$B$400="両面")&gt;0)*(機器台帳!$F$2:$F$400&lt;&gt;"")*(機器台帳!$C$2:$C$400&lt;=12)*(機器台帳!$C$2:$C$400+機器台帳!$D$2:$D$400-1&gt;=12),0),0))=0,"|未記入",""))</f>
        <v/>
      </c>
      <c r="T39" s="12">
        <f>IF(SUMPRODUCT((機器台帳!$A$2:$A$400="E24-S8-5")*((機器台帳!$B$2:$B$400="背面")+(機器台帳!$B$2:$B$400="両面")&gt;0)*(機器台帳!$F$2:$F$400&lt;&gt;"")*(機器台帳!$C$2:$C$400&lt;=12)*(機器台帳!$C$2:$C$400+機器台帳!$D$2:$D$400-1&gt;=12))=0,"",INDEX(機器台帳!$F$2:$F$400,MATCH(1,INDEX((機器台帳!$A$2:$A$400="E24-S8-5")*((機器台帳!$B$2:$B$400="背面")+(機器台帳!$B$2:$B$400="両面")&gt;0)*(機器台帳!$F$2:$F$400&lt;&gt;"")*(機器台帳!$C$2:$C$400&lt;=12)*(機器台帳!$C$2:$C$400+機器台帳!$D$2:$D$400-1&gt;=12),0),0))&amp;IF(INDEX(機器台帳!$G$2:$G$400,MATCH(1,INDEX((機器台帳!$A$2:$A$400="E24-S8-5")*((機器台帳!$B$2:$B$400="背面")+(機器台帳!$B$2:$B$400="両面")&gt;0)*(機器台帳!$F$2:$F$400&lt;&gt;"")*(機器台帳!$C$2:$C$400&lt;=12)*(機器台帳!$C$2:$C$400+機器台帳!$D$2:$D$400-1&gt;=12),0),0))=""," "," "&amp;INDEX(機器台帳!$G$2:$G$400,MATCH(1,INDEX((機器台帳!$A$2:$A$400="E24-S8-5")*((機器台帳!$B$2:$B$400="背面")+(機器台帳!$B$2:$B$400="両面")&gt;0)*(機器台帳!$F$2:$F$400&lt;&gt;"")*(機器台帳!$C$2:$C$400&lt;=12)*(機器台帳!$C$2:$C$400+機器台帳!$D$2:$D$400-1&gt;=12),0),0)))&amp;IF(SUMPRODUCT((機器台帳!$A$2:$A$400="E24-S8-5")*((機器台帳!$B$2:$B$400="背面")+(機器台帳!$B$2:$B$400="両面")&gt;0)*(機器台帳!$F$2:$F$400&lt;&gt;"")*(機器台帳!$C$2:$C$400&lt;=12)*(機器台帳!$C$2:$C$400+機器台帳!$D$2:$D$400-1&gt;=12))&gt;1," 他"&amp;(SUMPRODUCT((機器台帳!$A$2:$A$400="E24-S8-5")*((機器台帳!$B$2:$B$400="背面")+(機器台帳!$B$2:$B$400="両面")&gt;0)*(機器台帳!$F$2:$F$400&lt;&gt;"")*(機器台帳!$C$2:$C$400&lt;=12)*(機器台帳!$C$2:$C$400+機器台帳!$D$2:$D$400-1&gt;=12))-1)&amp;"台",""))</f>
        <v/>
      </c>
      <c r="U39">
        <f>IF(SUMPRODUCT((機器台帳!$A$2:$A$400="E24-S8-5")*((機器台帳!$B$2:$B$400="背面")+(機器台帳!$B$2:$B$400="両面")&gt;0)*(機器台帳!$F$2:$F$400&lt;&gt;"")*(機器台帳!$C$2:$C$400&lt;=12)*(機器台帳!$C$2:$C$400+機器台帳!$D$2:$D$400-1&gt;=12))=0,"",INDEX(機器台帳!$I$2:$I$400,MATCH(1,INDEX((機器台帳!$A$2:$A$400="E24-S8-5")*((機器台帳!$B$2:$B$400="背面")+(機器台帳!$B$2:$B$400="両面")&gt;0)*(機器台帳!$F$2:$F$400&lt;&gt;"")*(機器台帳!$C$2:$C$400&lt;=12)*(機器台帳!$C$2:$C$400+機器台帳!$D$2:$D$400-1&gt;=12),0),0))&amp;IF(INDEX(機器台帳!$Y$2:$Y$400,MATCH(1,INDEX((機器台帳!$A$2:$A$400="E24-S8-5")*((機器台帳!$B$2:$B$400="背面")+(機器台帳!$B$2:$B$400="両面")&gt;0)*(機器台帳!$F$2:$F$400&lt;&gt;"")*(機器台帳!$C$2:$C$400&lt;=12)*(機器台帳!$C$2:$C$400+機器台帳!$D$2:$D$400-1&gt;=12),0),0))=0,"|未記入",""))</f>
        <v/>
      </c>
      <c r="V39" s="12">
        <f>IF(SUMPRODUCT((機器台帳!$A$2:$A$400="E24-S6-1")*((機器台帳!$B$2:$B$400="前面")+(機器台帳!$B$2:$B$400="両面")&gt;0)*(機器台帳!$F$2:$F$400&lt;&gt;"")*(機器台帳!$C$2:$C$400&lt;=12)*(機器台帳!$C$2:$C$400+機器台帳!$D$2:$D$400-1&gt;=12))=0,"",INDEX(機器台帳!$F$2:$F$400,MATCH(1,INDEX((機器台帳!$A$2:$A$400="E24-S6-1")*((機器台帳!$B$2:$B$400="前面")+(機器台帳!$B$2:$B$400="両面")&gt;0)*(機器台帳!$F$2:$F$400&lt;&gt;"")*(機器台帳!$C$2:$C$400&lt;=12)*(機器台帳!$C$2:$C$400+機器台帳!$D$2:$D$400-1&gt;=12),0),0))&amp;IF(INDEX(機器台帳!$G$2:$G$400,MATCH(1,INDEX((機器台帳!$A$2:$A$400="E24-S6-1")*((機器台帳!$B$2:$B$400="前面")+(機器台帳!$B$2:$B$400="両面")&gt;0)*(機器台帳!$F$2:$F$400&lt;&gt;"")*(機器台帳!$C$2:$C$400&lt;=12)*(機器台帳!$C$2:$C$400+機器台帳!$D$2:$D$400-1&gt;=12),0),0))=""," "," "&amp;INDEX(機器台帳!$G$2:$G$400,MATCH(1,INDEX((機器台帳!$A$2:$A$400="E24-S6-1")*((機器台帳!$B$2:$B$400="前面")+(機器台帳!$B$2:$B$400="両面")&gt;0)*(機器台帳!$F$2:$F$400&lt;&gt;"")*(機器台帳!$C$2:$C$400&lt;=12)*(機器台帳!$C$2:$C$400+機器台帳!$D$2:$D$400-1&gt;=12),0),0)))&amp;IF(SUMPRODUCT((機器台帳!$A$2:$A$400="E24-S6-1")*((機器台帳!$B$2:$B$400="前面")+(機器台帳!$B$2:$B$400="両面")&gt;0)*(機器台帳!$F$2:$F$400&lt;&gt;"")*(機器台帳!$C$2:$C$400&lt;=12)*(機器台帳!$C$2:$C$400+機器台帳!$D$2:$D$400-1&gt;=12))&gt;1," 他"&amp;(SUMPRODUCT((機器台帳!$A$2:$A$400="E24-S6-1")*((機器台帳!$B$2:$B$400="前面")+(機器台帳!$B$2:$B$400="両面")&gt;0)*(機器台帳!$F$2:$F$400&lt;&gt;"")*(機器台帳!$C$2:$C$400&lt;=12)*(機器台帳!$C$2:$C$400+機器台帳!$D$2:$D$400-1&gt;=12))-1)&amp;"台",""))</f>
        <v/>
      </c>
      <c r="W39">
        <f>IF(SUMPRODUCT((機器台帳!$A$2:$A$400="E24-S6-1")*((機器台帳!$B$2:$B$400="前面")+(機器台帳!$B$2:$B$400="両面")&gt;0)*(機器台帳!$F$2:$F$400&lt;&gt;"")*(機器台帳!$C$2:$C$400&lt;=12)*(機器台帳!$C$2:$C$400+機器台帳!$D$2:$D$400-1&gt;=12))=0,"",INDEX(機器台帳!$I$2:$I$400,MATCH(1,INDEX((機器台帳!$A$2:$A$400="E24-S6-1")*((機器台帳!$B$2:$B$400="前面")+(機器台帳!$B$2:$B$400="両面")&gt;0)*(機器台帳!$F$2:$F$400&lt;&gt;"")*(機器台帳!$C$2:$C$400&lt;=12)*(機器台帳!$C$2:$C$400+機器台帳!$D$2:$D$400-1&gt;=12),0),0))&amp;IF(INDEX(機器台帳!$Y$2:$Y$400,MATCH(1,INDEX((機器台帳!$A$2:$A$400="E24-S6-1")*((機器台帳!$B$2:$B$400="前面")+(機器台帳!$B$2:$B$400="両面")&gt;0)*(機器台帳!$F$2:$F$400&lt;&gt;"")*(機器台帳!$C$2:$C$400&lt;=12)*(機器台帳!$C$2:$C$400+機器台帳!$D$2:$D$400-1&gt;=12),0),0))=0,"|未記入",""))</f>
        <v/>
      </c>
      <c r="X39" s="12">
        <f>IF(SUMPRODUCT((機器台帳!$A$2:$A$400="E24-S6-1")*((機器台帳!$B$2:$B$400="背面")+(機器台帳!$B$2:$B$400="両面")&gt;0)*(機器台帳!$F$2:$F$400&lt;&gt;"")*(機器台帳!$C$2:$C$400&lt;=12)*(機器台帳!$C$2:$C$400+機器台帳!$D$2:$D$400-1&gt;=12))=0,"",INDEX(機器台帳!$F$2:$F$400,MATCH(1,INDEX((機器台帳!$A$2:$A$400="E24-S6-1")*((機器台帳!$B$2:$B$400="背面")+(機器台帳!$B$2:$B$400="両面")&gt;0)*(機器台帳!$F$2:$F$400&lt;&gt;"")*(機器台帳!$C$2:$C$400&lt;=12)*(機器台帳!$C$2:$C$400+機器台帳!$D$2:$D$400-1&gt;=12),0),0))&amp;IF(INDEX(機器台帳!$G$2:$G$400,MATCH(1,INDEX((機器台帳!$A$2:$A$400="E24-S6-1")*((機器台帳!$B$2:$B$400="背面")+(機器台帳!$B$2:$B$400="両面")&gt;0)*(機器台帳!$F$2:$F$400&lt;&gt;"")*(機器台帳!$C$2:$C$400&lt;=12)*(機器台帳!$C$2:$C$400+機器台帳!$D$2:$D$400-1&gt;=12),0),0))=""," "," "&amp;INDEX(機器台帳!$G$2:$G$400,MATCH(1,INDEX((機器台帳!$A$2:$A$400="E24-S6-1")*((機器台帳!$B$2:$B$400="背面")+(機器台帳!$B$2:$B$400="両面")&gt;0)*(機器台帳!$F$2:$F$400&lt;&gt;"")*(機器台帳!$C$2:$C$400&lt;=12)*(機器台帳!$C$2:$C$400+機器台帳!$D$2:$D$400-1&gt;=12),0),0)))&amp;IF(SUMPRODUCT((機器台帳!$A$2:$A$400="E24-S6-1")*((機器台帳!$B$2:$B$400="背面")+(機器台帳!$B$2:$B$400="両面")&gt;0)*(機器台帳!$F$2:$F$400&lt;&gt;"")*(機器台帳!$C$2:$C$400&lt;=12)*(機器台帳!$C$2:$C$400+機器台帳!$D$2:$D$400-1&gt;=12))&gt;1," 他"&amp;(SUMPRODUCT((機器台帳!$A$2:$A$400="E24-S6-1")*((機器台帳!$B$2:$B$400="背面")+(機器台帳!$B$2:$B$400="両面")&gt;0)*(機器台帳!$F$2:$F$400&lt;&gt;"")*(機器台帳!$C$2:$C$400&lt;=12)*(機器台帳!$C$2:$C$400+機器台帳!$D$2:$D$400-1&gt;=12))-1)&amp;"台",""))</f>
        <v/>
      </c>
      <c r="Y39">
        <f>IF(SUMPRODUCT((機器台帳!$A$2:$A$400="E24-S6-1")*((機器台帳!$B$2:$B$400="背面")+(機器台帳!$B$2:$B$400="両面")&gt;0)*(機器台帳!$F$2:$F$400&lt;&gt;"")*(機器台帳!$C$2:$C$400&lt;=12)*(機器台帳!$C$2:$C$400+機器台帳!$D$2:$D$400-1&gt;=12))=0,"",INDEX(機器台帳!$I$2:$I$400,MATCH(1,INDEX((機器台帳!$A$2:$A$400="E24-S6-1")*((機器台帳!$B$2:$B$400="背面")+(機器台帳!$B$2:$B$400="両面")&gt;0)*(機器台帳!$F$2:$F$400&lt;&gt;"")*(機器台帳!$C$2:$C$400&lt;=12)*(機器台帳!$C$2:$C$400+機器台帳!$D$2:$D$400-1&gt;=12),0),0))&amp;IF(INDEX(機器台帳!$Y$2:$Y$400,MATCH(1,INDEX((機器台帳!$A$2:$A$400="E24-S6-1")*((機器台帳!$B$2:$B$400="背面")+(機器台帳!$B$2:$B$400="両面")&gt;0)*(機器台帳!$F$2:$F$400&lt;&gt;"")*(機器台帳!$C$2:$C$400&lt;=12)*(機器台帳!$C$2:$C$400+機器台帳!$D$2:$D$400-1&gt;=12),0),0))=0,"|未記入",""))</f>
        <v/>
      </c>
    </row>
    <row r="40">
      <c r="A40" s="11" t="n">
        <v>11</v>
      </c>
      <c r="B40" s="12">
        <f>IF(SUMPRODUCT((機器台帳!$A$2:$A$400="E24-S8-1")*((機器台帳!$B$2:$B$400="前面")+(機器台帳!$B$2:$B$400="両面")&gt;0)*(機器台帳!$F$2:$F$400&lt;&gt;"")*(機器台帳!$C$2:$C$400&lt;=11)*(機器台帳!$C$2:$C$400+機器台帳!$D$2:$D$400-1&gt;=11))=0,"",INDEX(機器台帳!$F$2:$F$400,MATCH(1,INDEX((機器台帳!$A$2:$A$400="E24-S8-1")*((機器台帳!$B$2:$B$400="前面")+(機器台帳!$B$2:$B$400="両面")&gt;0)*(機器台帳!$F$2:$F$400&lt;&gt;"")*(機器台帳!$C$2:$C$400&lt;=11)*(機器台帳!$C$2:$C$400+機器台帳!$D$2:$D$400-1&gt;=11),0),0))&amp;IF(INDEX(機器台帳!$G$2:$G$400,MATCH(1,INDEX((機器台帳!$A$2:$A$400="E24-S8-1")*((機器台帳!$B$2:$B$400="前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-1")*((機器台帳!$B$2:$B$400="前面")+(機器台帳!$B$2:$B$400="両面")&gt;0)*(機器台帳!$F$2:$F$400&lt;&gt;"")*(機器台帳!$C$2:$C$400&lt;=11)*(機器台帳!$C$2:$C$400+機器台帳!$D$2:$D$400-1&gt;=11),0),0)))&amp;IF(SUMPRODUCT((機器台帳!$A$2:$A$400="E24-S8-1")*((機器台帳!$B$2:$B$400="前面")+(機器台帳!$B$2:$B$400="両面")&gt;0)*(機器台帳!$F$2:$F$400&lt;&gt;"")*(機器台帳!$C$2:$C$400&lt;=11)*(機器台帳!$C$2:$C$400+機器台帳!$D$2:$D$400-1&gt;=11))&gt;1," 他"&amp;(SUMPRODUCT((機器台帳!$A$2:$A$400="E24-S8-1")*((機器台帳!$B$2:$B$400="前面")+(機器台帳!$B$2:$B$400="両面")&gt;0)*(機器台帳!$F$2:$F$400&lt;&gt;"")*(機器台帳!$C$2:$C$400&lt;=11)*(機器台帳!$C$2:$C$400+機器台帳!$D$2:$D$400-1&gt;=11))-1)&amp;"台",""))</f>
        <v/>
      </c>
      <c r="C40">
        <f>IF(SUMPRODUCT((機器台帳!$A$2:$A$400="E24-S8-1")*((機器台帳!$B$2:$B$400="前面")+(機器台帳!$B$2:$B$400="両面")&gt;0)*(機器台帳!$F$2:$F$400&lt;&gt;"")*(機器台帳!$C$2:$C$400&lt;=11)*(機器台帳!$C$2:$C$400+機器台帳!$D$2:$D$400-1&gt;=11))=0,"",INDEX(機器台帳!$I$2:$I$400,MATCH(1,INDEX((機器台帳!$A$2:$A$400="E24-S8-1")*((機器台帳!$B$2:$B$400="前面")+(機器台帳!$B$2:$B$400="両面")&gt;0)*(機器台帳!$F$2:$F$400&lt;&gt;"")*(機器台帳!$C$2:$C$400&lt;=11)*(機器台帳!$C$2:$C$400+機器台帳!$D$2:$D$400-1&gt;=11),0),0))&amp;IF(INDEX(機器台帳!$Y$2:$Y$400,MATCH(1,INDEX((機器台帳!$A$2:$A$400="E24-S8-1")*((機器台帳!$B$2:$B$400="前面")+(機器台帳!$B$2:$B$400="両面")&gt;0)*(機器台帳!$F$2:$F$400&lt;&gt;"")*(機器台帳!$C$2:$C$400&lt;=11)*(機器台帳!$C$2:$C$400+機器台帳!$D$2:$D$400-1&gt;=11),0),0))=0,"|未記入",""))</f>
        <v/>
      </c>
      <c r="D40" s="12">
        <f>IF(SUMPRODUCT((機器台帳!$A$2:$A$400="E24-S8-1")*((機器台帳!$B$2:$B$400="背面")+(機器台帳!$B$2:$B$400="両面")&gt;0)*(機器台帳!$F$2:$F$400&lt;&gt;"")*(機器台帳!$C$2:$C$400&lt;=11)*(機器台帳!$C$2:$C$400+機器台帳!$D$2:$D$400-1&gt;=11))=0,"",INDEX(機器台帳!$F$2:$F$400,MATCH(1,INDEX((機器台帳!$A$2:$A$400="E24-S8-1")*((機器台帳!$B$2:$B$400="背面")+(機器台帳!$B$2:$B$400="両面")&gt;0)*(機器台帳!$F$2:$F$400&lt;&gt;"")*(機器台帳!$C$2:$C$400&lt;=11)*(機器台帳!$C$2:$C$400+機器台帳!$D$2:$D$400-1&gt;=11),0),0))&amp;IF(INDEX(機器台帳!$G$2:$G$400,MATCH(1,INDEX((機器台帳!$A$2:$A$400="E24-S8-1")*((機器台帳!$B$2:$B$400="背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-1")*((機器台帳!$B$2:$B$400="背面")+(機器台帳!$B$2:$B$400="両面")&gt;0)*(機器台帳!$F$2:$F$400&lt;&gt;"")*(機器台帳!$C$2:$C$400&lt;=11)*(機器台帳!$C$2:$C$400+機器台帳!$D$2:$D$400-1&gt;=11),0),0)))&amp;IF(SUMPRODUCT((機器台帳!$A$2:$A$400="E24-S8-1")*((機器台帳!$B$2:$B$400="背面")+(機器台帳!$B$2:$B$400="両面")&gt;0)*(機器台帳!$F$2:$F$400&lt;&gt;"")*(機器台帳!$C$2:$C$400&lt;=11)*(機器台帳!$C$2:$C$400+機器台帳!$D$2:$D$400-1&gt;=11))&gt;1," 他"&amp;(SUMPRODUCT((機器台帳!$A$2:$A$400="E24-S8-1")*((機器台帳!$B$2:$B$400="背面")+(機器台帳!$B$2:$B$400="両面")&gt;0)*(機器台帳!$F$2:$F$400&lt;&gt;"")*(機器台帳!$C$2:$C$400&lt;=11)*(機器台帳!$C$2:$C$400+機器台帳!$D$2:$D$400-1&gt;=11))-1)&amp;"台",""))</f>
        <v/>
      </c>
      <c r="E40">
        <f>IF(SUMPRODUCT((機器台帳!$A$2:$A$400="E24-S8-1")*((機器台帳!$B$2:$B$400="背面")+(機器台帳!$B$2:$B$400="両面")&gt;0)*(機器台帳!$F$2:$F$400&lt;&gt;"")*(機器台帳!$C$2:$C$400&lt;=11)*(機器台帳!$C$2:$C$400+機器台帳!$D$2:$D$400-1&gt;=11))=0,"",INDEX(機器台帳!$I$2:$I$400,MATCH(1,INDEX((機器台帳!$A$2:$A$400="E24-S8-1")*((機器台帳!$B$2:$B$400="背面")+(機器台帳!$B$2:$B$400="両面")&gt;0)*(機器台帳!$F$2:$F$400&lt;&gt;"")*(機器台帳!$C$2:$C$400&lt;=11)*(機器台帳!$C$2:$C$400+機器台帳!$D$2:$D$400-1&gt;=11),0),0))&amp;IF(INDEX(機器台帳!$Y$2:$Y$400,MATCH(1,INDEX((機器台帳!$A$2:$A$400="E24-S8-1")*((機器台帳!$B$2:$B$400="背面")+(機器台帳!$B$2:$B$400="両面")&gt;0)*(機器台帳!$F$2:$F$400&lt;&gt;"")*(機器台帳!$C$2:$C$400&lt;=11)*(機器台帳!$C$2:$C$400+機器台帳!$D$2:$D$400-1&gt;=11),0),0))=0,"|未記入",""))</f>
        <v/>
      </c>
      <c r="F40" s="12">
        <f>IF(SUMPRODUCT((機器台帳!$A$2:$A$400="E24-S8-2")*((機器台帳!$B$2:$B$400="前面")+(機器台帳!$B$2:$B$400="両面")&gt;0)*(機器台帳!$F$2:$F$400&lt;&gt;"")*(機器台帳!$C$2:$C$400&lt;=11)*(機器台帳!$C$2:$C$400+機器台帳!$D$2:$D$400-1&gt;=11))=0,"",INDEX(機器台帳!$F$2:$F$400,MATCH(1,INDEX((機器台帳!$A$2:$A$400="E24-S8-2")*((機器台帳!$B$2:$B$400="前面")+(機器台帳!$B$2:$B$400="両面")&gt;0)*(機器台帳!$F$2:$F$400&lt;&gt;"")*(機器台帳!$C$2:$C$400&lt;=11)*(機器台帳!$C$2:$C$400+機器台帳!$D$2:$D$400-1&gt;=11),0),0))&amp;IF(INDEX(機器台帳!$G$2:$G$400,MATCH(1,INDEX((機器台帳!$A$2:$A$400="E24-S8-2")*((機器台帳!$B$2:$B$400="前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-2")*((機器台帳!$B$2:$B$400="前面")+(機器台帳!$B$2:$B$400="両面")&gt;0)*(機器台帳!$F$2:$F$400&lt;&gt;"")*(機器台帳!$C$2:$C$400&lt;=11)*(機器台帳!$C$2:$C$400+機器台帳!$D$2:$D$400-1&gt;=11),0),0)))&amp;IF(SUMPRODUCT((機器台帳!$A$2:$A$400="E24-S8-2")*((機器台帳!$B$2:$B$400="前面")+(機器台帳!$B$2:$B$400="両面")&gt;0)*(機器台帳!$F$2:$F$400&lt;&gt;"")*(機器台帳!$C$2:$C$400&lt;=11)*(機器台帳!$C$2:$C$400+機器台帳!$D$2:$D$400-1&gt;=11))&gt;1," 他"&amp;(SUMPRODUCT((機器台帳!$A$2:$A$400="E24-S8-2")*((機器台帳!$B$2:$B$400="前面")+(機器台帳!$B$2:$B$400="両面")&gt;0)*(機器台帳!$F$2:$F$400&lt;&gt;"")*(機器台帳!$C$2:$C$400&lt;=11)*(機器台帳!$C$2:$C$400+機器台帳!$D$2:$D$400-1&gt;=11))-1)&amp;"台",""))</f>
        <v/>
      </c>
      <c r="G40">
        <f>IF(SUMPRODUCT((機器台帳!$A$2:$A$400="E24-S8-2")*((機器台帳!$B$2:$B$400="前面")+(機器台帳!$B$2:$B$400="両面")&gt;0)*(機器台帳!$F$2:$F$400&lt;&gt;"")*(機器台帳!$C$2:$C$400&lt;=11)*(機器台帳!$C$2:$C$400+機器台帳!$D$2:$D$400-1&gt;=11))=0,"",INDEX(機器台帳!$I$2:$I$400,MATCH(1,INDEX((機器台帳!$A$2:$A$400="E24-S8-2")*((機器台帳!$B$2:$B$400="前面")+(機器台帳!$B$2:$B$400="両面")&gt;0)*(機器台帳!$F$2:$F$400&lt;&gt;"")*(機器台帳!$C$2:$C$400&lt;=11)*(機器台帳!$C$2:$C$400+機器台帳!$D$2:$D$400-1&gt;=11),0),0))&amp;IF(INDEX(機器台帳!$Y$2:$Y$400,MATCH(1,INDEX((機器台帳!$A$2:$A$400="E24-S8-2")*((機器台帳!$B$2:$B$400="前面")+(機器台帳!$B$2:$B$400="両面")&gt;0)*(機器台帳!$F$2:$F$400&lt;&gt;"")*(機器台帳!$C$2:$C$400&lt;=11)*(機器台帳!$C$2:$C$400+機器台帳!$D$2:$D$400-1&gt;=11),0),0))=0,"|未記入",""))</f>
        <v/>
      </c>
      <c r="H40" s="12">
        <f>IF(SUMPRODUCT((機器台帳!$A$2:$A$400="E24-S8-2")*((機器台帳!$B$2:$B$400="背面")+(機器台帳!$B$2:$B$400="両面")&gt;0)*(機器台帳!$F$2:$F$400&lt;&gt;"")*(機器台帳!$C$2:$C$400&lt;=11)*(機器台帳!$C$2:$C$400+機器台帳!$D$2:$D$400-1&gt;=11))=0,"",INDEX(機器台帳!$F$2:$F$400,MATCH(1,INDEX((機器台帳!$A$2:$A$400="E24-S8-2")*((機器台帳!$B$2:$B$400="背面")+(機器台帳!$B$2:$B$400="両面")&gt;0)*(機器台帳!$F$2:$F$400&lt;&gt;"")*(機器台帳!$C$2:$C$400&lt;=11)*(機器台帳!$C$2:$C$400+機器台帳!$D$2:$D$400-1&gt;=11),0),0))&amp;IF(INDEX(機器台帳!$G$2:$G$400,MATCH(1,INDEX((機器台帳!$A$2:$A$400="E24-S8-2")*((機器台帳!$B$2:$B$400="背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-2")*((機器台帳!$B$2:$B$400="背面")+(機器台帳!$B$2:$B$400="両面")&gt;0)*(機器台帳!$F$2:$F$400&lt;&gt;"")*(機器台帳!$C$2:$C$400&lt;=11)*(機器台帳!$C$2:$C$400+機器台帳!$D$2:$D$400-1&gt;=11),0),0)))&amp;IF(SUMPRODUCT((機器台帳!$A$2:$A$400="E24-S8-2")*((機器台帳!$B$2:$B$400="背面")+(機器台帳!$B$2:$B$400="両面")&gt;0)*(機器台帳!$F$2:$F$400&lt;&gt;"")*(機器台帳!$C$2:$C$400&lt;=11)*(機器台帳!$C$2:$C$400+機器台帳!$D$2:$D$400-1&gt;=11))&gt;1," 他"&amp;(SUMPRODUCT((機器台帳!$A$2:$A$400="E24-S8-2")*((機器台帳!$B$2:$B$400="背面")+(機器台帳!$B$2:$B$400="両面")&gt;0)*(機器台帳!$F$2:$F$400&lt;&gt;"")*(機器台帳!$C$2:$C$400&lt;=11)*(機器台帳!$C$2:$C$400+機器台帳!$D$2:$D$400-1&gt;=11))-1)&amp;"台",""))</f>
        <v/>
      </c>
      <c r="I40">
        <f>IF(SUMPRODUCT((機器台帳!$A$2:$A$400="E24-S8-2")*((機器台帳!$B$2:$B$400="背面")+(機器台帳!$B$2:$B$400="両面")&gt;0)*(機器台帳!$F$2:$F$400&lt;&gt;"")*(機器台帳!$C$2:$C$400&lt;=11)*(機器台帳!$C$2:$C$400+機器台帳!$D$2:$D$400-1&gt;=11))=0,"",INDEX(機器台帳!$I$2:$I$400,MATCH(1,INDEX((機器台帳!$A$2:$A$400="E24-S8-2")*((機器台帳!$B$2:$B$400="背面")+(機器台帳!$B$2:$B$400="両面")&gt;0)*(機器台帳!$F$2:$F$400&lt;&gt;"")*(機器台帳!$C$2:$C$400&lt;=11)*(機器台帳!$C$2:$C$400+機器台帳!$D$2:$D$400-1&gt;=11),0),0))&amp;IF(INDEX(機器台帳!$Y$2:$Y$400,MATCH(1,INDEX((機器台帳!$A$2:$A$400="E24-S8-2")*((機器台帳!$B$2:$B$400="背面")+(機器台帳!$B$2:$B$400="両面")&gt;0)*(機器台帳!$F$2:$F$400&lt;&gt;"")*(機器台帳!$C$2:$C$400&lt;=11)*(機器台帳!$C$2:$C$400+機器台帳!$D$2:$D$400-1&gt;=11),0),0))=0,"|未記入",""))</f>
        <v/>
      </c>
      <c r="J40" s="12">
        <f>IF(SUMPRODUCT((機器台帳!$A$2:$A$400="E24-S8-3")*((機器台帳!$B$2:$B$400="前面")+(機器台帳!$B$2:$B$400="両面")&gt;0)*(機器台帳!$F$2:$F$400&lt;&gt;"")*(機器台帳!$C$2:$C$400&lt;=11)*(機器台帳!$C$2:$C$400+機器台帳!$D$2:$D$400-1&gt;=11))=0,"",INDEX(機器台帳!$F$2:$F$400,MATCH(1,INDEX((機器台帳!$A$2:$A$400="E24-S8-3")*((機器台帳!$B$2:$B$400="前面")+(機器台帳!$B$2:$B$400="両面")&gt;0)*(機器台帳!$F$2:$F$400&lt;&gt;"")*(機器台帳!$C$2:$C$400&lt;=11)*(機器台帳!$C$2:$C$400+機器台帳!$D$2:$D$400-1&gt;=11),0),0))&amp;IF(INDEX(機器台帳!$G$2:$G$400,MATCH(1,INDEX((機器台帳!$A$2:$A$400="E24-S8-3")*((機器台帳!$B$2:$B$400="前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-3")*((機器台帳!$B$2:$B$400="前面")+(機器台帳!$B$2:$B$400="両面")&gt;0)*(機器台帳!$F$2:$F$400&lt;&gt;"")*(機器台帳!$C$2:$C$400&lt;=11)*(機器台帳!$C$2:$C$400+機器台帳!$D$2:$D$400-1&gt;=11),0),0)))&amp;IF(SUMPRODUCT((機器台帳!$A$2:$A$400="E24-S8-3")*((機器台帳!$B$2:$B$400="前面")+(機器台帳!$B$2:$B$400="両面")&gt;0)*(機器台帳!$F$2:$F$400&lt;&gt;"")*(機器台帳!$C$2:$C$400&lt;=11)*(機器台帳!$C$2:$C$400+機器台帳!$D$2:$D$400-1&gt;=11))&gt;1," 他"&amp;(SUMPRODUCT((機器台帳!$A$2:$A$400="E24-S8-3")*((機器台帳!$B$2:$B$400="前面")+(機器台帳!$B$2:$B$400="両面")&gt;0)*(機器台帳!$F$2:$F$400&lt;&gt;"")*(機器台帳!$C$2:$C$400&lt;=11)*(機器台帳!$C$2:$C$400+機器台帳!$D$2:$D$400-1&gt;=11))-1)&amp;"台",""))</f>
        <v/>
      </c>
      <c r="K40">
        <f>IF(SUMPRODUCT((機器台帳!$A$2:$A$400="E24-S8-3")*((機器台帳!$B$2:$B$400="前面")+(機器台帳!$B$2:$B$400="両面")&gt;0)*(機器台帳!$F$2:$F$400&lt;&gt;"")*(機器台帳!$C$2:$C$400&lt;=11)*(機器台帳!$C$2:$C$400+機器台帳!$D$2:$D$400-1&gt;=11))=0,"",INDEX(機器台帳!$I$2:$I$400,MATCH(1,INDEX((機器台帳!$A$2:$A$400="E24-S8-3")*((機器台帳!$B$2:$B$400="前面")+(機器台帳!$B$2:$B$400="両面")&gt;0)*(機器台帳!$F$2:$F$400&lt;&gt;"")*(機器台帳!$C$2:$C$400&lt;=11)*(機器台帳!$C$2:$C$400+機器台帳!$D$2:$D$400-1&gt;=11),0),0))&amp;IF(INDEX(機器台帳!$Y$2:$Y$400,MATCH(1,INDEX((機器台帳!$A$2:$A$400="E24-S8-3")*((機器台帳!$B$2:$B$400="前面")+(機器台帳!$B$2:$B$400="両面")&gt;0)*(機器台帳!$F$2:$F$400&lt;&gt;"")*(機器台帳!$C$2:$C$400&lt;=11)*(機器台帳!$C$2:$C$400+機器台帳!$D$2:$D$400-1&gt;=11),0),0))=0,"|未記入",""))</f>
        <v/>
      </c>
      <c r="L40" s="12">
        <f>IF(SUMPRODUCT((機器台帳!$A$2:$A$400="E24-S8-3")*((機器台帳!$B$2:$B$400="背面")+(機器台帳!$B$2:$B$400="両面")&gt;0)*(機器台帳!$F$2:$F$400&lt;&gt;"")*(機器台帳!$C$2:$C$400&lt;=11)*(機器台帳!$C$2:$C$400+機器台帳!$D$2:$D$400-1&gt;=11))=0,"",INDEX(機器台帳!$F$2:$F$400,MATCH(1,INDEX((機器台帳!$A$2:$A$400="E24-S8-3")*((機器台帳!$B$2:$B$400="背面")+(機器台帳!$B$2:$B$400="両面")&gt;0)*(機器台帳!$F$2:$F$400&lt;&gt;"")*(機器台帳!$C$2:$C$400&lt;=11)*(機器台帳!$C$2:$C$400+機器台帳!$D$2:$D$400-1&gt;=11),0),0))&amp;IF(INDEX(機器台帳!$G$2:$G$400,MATCH(1,INDEX((機器台帳!$A$2:$A$400="E24-S8-3")*((機器台帳!$B$2:$B$400="背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-3")*((機器台帳!$B$2:$B$400="背面")+(機器台帳!$B$2:$B$400="両面")&gt;0)*(機器台帳!$F$2:$F$400&lt;&gt;"")*(機器台帳!$C$2:$C$400&lt;=11)*(機器台帳!$C$2:$C$400+機器台帳!$D$2:$D$400-1&gt;=11),0),0)))&amp;IF(SUMPRODUCT((機器台帳!$A$2:$A$400="E24-S8-3")*((機器台帳!$B$2:$B$400="背面")+(機器台帳!$B$2:$B$400="両面")&gt;0)*(機器台帳!$F$2:$F$400&lt;&gt;"")*(機器台帳!$C$2:$C$400&lt;=11)*(機器台帳!$C$2:$C$400+機器台帳!$D$2:$D$400-1&gt;=11))&gt;1," 他"&amp;(SUMPRODUCT((機器台帳!$A$2:$A$400="E24-S8-3")*((機器台帳!$B$2:$B$400="背面")+(機器台帳!$B$2:$B$400="両面")&gt;0)*(機器台帳!$F$2:$F$400&lt;&gt;"")*(機器台帳!$C$2:$C$400&lt;=11)*(機器台帳!$C$2:$C$400+機器台帳!$D$2:$D$400-1&gt;=11))-1)&amp;"台",""))</f>
        <v/>
      </c>
      <c r="M40">
        <f>IF(SUMPRODUCT((機器台帳!$A$2:$A$400="E24-S8-3")*((機器台帳!$B$2:$B$400="背面")+(機器台帳!$B$2:$B$400="両面")&gt;0)*(機器台帳!$F$2:$F$400&lt;&gt;"")*(機器台帳!$C$2:$C$400&lt;=11)*(機器台帳!$C$2:$C$400+機器台帳!$D$2:$D$400-1&gt;=11))=0,"",INDEX(機器台帳!$I$2:$I$400,MATCH(1,INDEX((機器台帳!$A$2:$A$400="E24-S8-3")*((機器台帳!$B$2:$B$400="背面")+(機器台帳!$B$2:$B$400="両面")&gt;0)*(機器台帳!$F$2:$F$400&lt;&gt;"")*(機器台帳!$C$2:$C$400&lt;=11)*(機器台帳!$C$2:$C$400+機器台帳!$D$2:$D$400-1&gt;=11),0),0))&amp;IF(INDEX(機器台帳!$Y$2:$Y$400,MATCH(1,INDEX((機器台帳!$A$2:$A$400="E24-S8-3")*((機器台帳!$B$2:$B$400="背面")+(機器台帳!$B$2:$B$400="両面")&gt;0)*(機器台帳!$F$2:$F$400&lt;&gt;"")*(機器台帳!$C$2:$C$400&lt;=11)*(機器台帳!$C$2:$C$400+機器台帳!$D$2:$D$400-1&gt;=11),0),0))=0,"|未記入",""))</f>
        <v/>
      </c>
      <c r="N40" s="12">
        <f>IF(SUMPRODUCT((機器台帳!$A$2:$A$400="E24-S8-4")*((機器台帳!$B$2:$B$400="前面")+(機器台帳!$B$2:$B$400="両面")&gt;0)*(機器台帳!$F$2:$F$400&lt;&gt;"")*(機器台帳!$C$2:$C$400&lt;=11)*(機器台帳!$C$2:$C$400+機器台帳!$D$2:$D$400-1&gt;=11))=0,"",INDEX(機器台帳!$F$2:$F$400,MATCH(1,INDEX((機器台帳!$A$2:$A$400="E24-S8-4")*((機器台帳!$B$2:$B$400="前面")+(機器台帳!$B$2:$B$400="両面")&gt;0)*(機器台帳!$F$2:$F$400&lt;&gt;"")*(機器台帳!$C$2:$C$400&lt;=11)*(機器台帳!$C$2:$C$400+機器台帳!$D$2:$D$400-1&gt;=11),0),0))&amp;IF(INDEX(機器台帳!$G$2:$G$400,MATCH(1,INDEX((機器台帳!$A$2:$A$400="E24-S8-4")*((機器台帳!$B$2:$B$400="前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-4")*((機器台帳!$B$2:$B$400="前面")+(機器台帳!$B$2:$B$400="両面")&gt;0)*(機器台帳!$F$2:$F$400&lt;&gt;"")*(機器台帳!$C$2:$C$400&lt;=11)*(機器台帳!$C$2:$C$400+機器台帳!$D$2:$D$400-1&gt;=11),0),0)))&amp;IF(SUMPRODUCT((機器台帳!$A$2:$A$400="E24-S8-4")*((機器台帳!$B$2:$B$400="前面")+(機器台帳!$B$2:$B$400="両面")&gt;0)*(機器台帳!$F$2:$F$400&lt;&gt;"")*(機器台帳!$C$2:$C$400&lt;=11)*(機器台帳!$C$2:$C$400+機器台帳!$D$2:$D$400-1&gt;=11))&gt;1," 他"&amp;(SUMPRODUCT((機器台帳!$A$2:$A$400="E24-S8-4")*((機器台帳!$B$2:$B$400="前面")+(機器台帳!$B$2:$B$400="両面")&gt;0)*(機器台帳!$F$2:$F$400&lt;&gt;"")*(機器台帳!$C$2:$C$400&lt;=11)*(機器台帳!$C$2:$C$400+機器台帳!$D$2:$D$400-1&gt;=11))-1)&amp;"台",""))</f>
        <v/>
      </c>
      <c r="O40">
        <f>IF(SUMPRODUCT((機器台帳!$A$2:$A$400="E24-S8-4")*((機器台帳!$B$2:$B$400="前面")+(機器台帳!$B$2:$B$400="両面")&gt;0)*(機器台帳!$F$2:$F$400&lt;&gt;"")*(機器台帳!$C$2:$C$400&lt;=11)*(機器台帳!$C$2:$C$400+機器台帳!$D$2:$D$400-1&gt;=11))=0,"",INDEX(機器台帳!$I$2:$I$400,MATCH(1,INDEX((機器台帳!$A$2:$A$400="E24-S8-4")*((機器台帳!$B$2:$B$400="前面")+(機器台帳!$B$2:$B$400="両面")&gt;0)*(機器台帳!$F$2:$F$400&lt;&gt;"")*(機器台帳!$C$2:$C$400&lt;=11)*(機器台帳!$C$2:$C$400+機器台帳!$D$2:$D$400-1&gt;=11),0),0))&amp;IF(INDEX(機器台帳!$Y$2:$Y$400,MATCH(1,INDEX((機器台帳!$A$2:$A$400="E24-S8-4")*((機器台帳!$B$2:$B$400="前面")+(機器台帳!$B$2:$B$400="両面")&gt;0)*(機器台帳!$F$2:$F$400&lt;&gt;"")*(機器台帳!$C$2:$C$400&lt;=11)*(機器台帳!$C$2:$C$400+機器台帳!$D$2:$D$400-1&gt;=11),0),0))=0,"|未記入",""))</f>
        <v/>
      </c>
      <c r="P40" s="12">
        <f>IF(SUMPRODUCT((機器台帳!$A$2:$A$400="E24-S8-4")*((機器台帳!$B$2:$B$400="背面")+(機器台帳!$B$2:$B$400="両面")&gt;0)*(機器台帳!$F$2:$F$400&lt;&gt;"")*(機器台帳!$C$2:$C$400&lt;=11)*(機器台帳!$C$2:$C$400+機器台帳!$D$2:$D$400-1&gt;=11))=0,"",INDEX(機器台帳!$F$2:$F$400,MATCH(1,INDEX((機器台帳!$A$2:$A$400="E24-S8-4")*((機器台帳!$B$2:$B$400="背面")+(機器台帳!$B$2:$B$400="両面")&gt;0)*(機器台帳!$F$2:$F$400&lt;&gt;"")*(機器台帳!$C$2:$C$400&lt;=11)*(機器台帳!$C$2:$C$400+機器台帳!$D$2:$D$400-1&gt;=11),0),0))&amp;IF(INDEX(機器台帳!$G$2:$G$400,MATCH(1,INDEX((機器台帳!$A$2:$A$400="E24-S8-4")*((機器台帳!$B$2:$B$400="背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-4")*((機器台帳!$B$2:$B$400="背面")+(機器台帳!$B$2:$B$400="両面")&gt;0)*(機器台帳!$F$2:$F$400&lt;&gt;"")*(機器台帳!$C$2:$C$400&lt;=11)*(機器台帳!$C$2:$C$400+機器台帳!$D$2:$D$400-1&gt;=11),0),0)))&amp;IF(SUMPRODUCT((機器台帳!$A$2:$A$400="E24-S8-4")*((機器台帳!$B$2:$B$400="背面")+(機器台帳!$B$2:$B$400="両面")&gt;0)*(機器台帳!$F$2:$F$400&lt;&gt;"")*(機器台帳!$C$2:$C$400&lt;=11)*(機器台帳!$C$2:$C$400+機器台帳!$D$2:$D$400-1&gt;=11))&gt;1," 他"&amp;(SUMPRODUCT((機器台帳!$A$2:$A$400="E24-S8-4")*((機器台帳!$B$2:$B$400="背面")+(機器台帳!$B$2:$B$400="両面")&gt;0)*(機器台帳!$F$2:$F$400&lt;&gt;"")*(機器台帳!$C$2:$C$400&lt;=11)*(機器台帳!$C$2:$C$400+機器台帳!$D$2:$D$400-1&gt;=11))-1)&amp;"台",""))</f>
        <v/>
      </c>
      <c r="Q40">
        <f>IF(SUMPRODUCT((機器台帳!$A$2:$A$400="E24-S8-4")*((機器台帳!$B$2:$B$400="背面")+(機器台帳!$B$2:$B$400="両面")&gt;0)*(機器台帳!$F$2:$F$400&lt;&gt;"")*(機器台帳!$C$2:$C$400&lt;=11)*(機器台帳!$C$2:$C$400+機器台帳!$D$2:$D$400-1&gt;=11))=0,"",INDEX(機器台帳!$I$2:$I$400,MATCH(1,INDEX((機器台帳!$A$2:$A$400="E24-S8-4")*((機器台帳!$B$2:$B$400="背面")+(機器台帳!$B$2:$B$400="両面")&gt;0)*(機器台帳!$F$2:$F$400&lt;&gt;"")*(機器台帳!$C$2:$C$400&lt;=11)*(機器台帳!$C$2:$C$400+機器台帳!$D$2:$D$400-1&gt;=11),0),0))&amp;IF(INDEX(機器台帳!$Y$2:$Y$400,MATCH(1,INDEX((機器台帳!$A$2:$A$400="E24-S8-4")*((機器台帳!$B$2:$B$400="背面")+(機器台帳!$B$2:$B$400="両面")&gt;0)*(機器台帳!$F$2:$F$400&lt;&gt;"")*(機器台帳!$C$2:$C$400&lt;=11)*(機器台帳!$C$2:$C$400+機器台帳!$D$2:$D$400-1&gt;=11),0),0))=0,"|未記入",""))</f>
        <v/>
      </c>
      <c r="R40" s="12">
        <f>IF(SUMPRODUCT((機器台帳!$A$2:$A$400="E24-S8-5")*((機器台帳!$B$2:$B$400="前面")+(機器台帳!$B$2:$B$400="両面")&gt;0)*(機器台帳!$F$2:$F$400&lt;&gt;"")*(機器台帳!$C$2:$C$400&lt;=11)*(機器台帳!$C$2:$C$400+機器台帳!$D$2:$D$400-1&gt;=11))=0,"",INDEX(機器台帳!$F$2:$F$400,MATCH(1,INDEX((機器台帳!$A$2:$A$400="E24-S8-5")*((機器台帳!$B$2:$B$400="前面")+(機器台帳!$B$2:$B$400="両面")&gt;0)*(機器台帳!$F$2:$F$400&lt;&gt;"")*(機器台帳!$C$2:$C$400&lt;=11)*(機器台帳!$C$2:$C$400+機器台帳!$D$2:$D$400-1&gt;=11),0),0))&amp;IF(INDEX(機器台帳!$G$2:$G$400,MATCH(1,INDEX((機器台帳!$A$2:$A$400="E24-S8-5")*((機器台帳!$B$2:$B$400="前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-5")*((機器台帳!$B$2:$B$400="前面")+(機器台帳!$B$2:$B$400="両面")&gt;0)*(機器台帳!$F$2:$F$400&lt;&gt;"")*(機器台帳!$C$2:$C$400&lt;=11)*(機器台帳!$C$2:$C$400+機器台帳!$D$2:$D$400-1&gt;=11),0),0)))&amp;IF(SUMPRODUCT((機器台帳!$A$2:$A$400="E24-S8-5")*((機器台帳!$B$2:$B$400="前面")+(機器台帳!$B$2:$B$400="両面")&gt;0)*(機器台帳!$F$2:$F$400&lt;&gt;"")*(機器台帳!$C$2:$C$400&lt;=11)*(機器台帳!$C$2:$C$400+機器台帳!$D$2:$D$400-1&gt;=11))&gt;1," 他"&amp;(SUMPRODUCT((機器台帳!$A$2:$A$400="E24-S8-5")*((機器台帳!$B$2:$B$400="前面")+(機器台帳!$B$2:$B$400="両面")&gt;0)*(機器台帳!$F$2:$F$400&lt;&gt;"")*(機器台帳!$C$2:$C$400&lt;=11)*(機器台帳!$C$2:$C$400+機器台帳!$D$2:$D$400-1&gt;=11))-1)&amp;"台",""))</f>
        <v/>
      </c>
      <c r="S40">
        <f>IF(SUMPRODUCT((機器台帳!$A$2:$A$400="E24-S8-5")*((機器台帳!$B$2:$B$400="前面")+(機器台帳!$B$2:$B$400="両面")&gt;0)*(機器台帳!$F$2:$F$400&lt;&gt;"")*(機器台帳!$C$2:$C$400&lt;=11)*(機器台帳!$C$2:$C$400+機器台帳!$D$2:$D$400-1&gt;=11))=0,"",INDEX(機器台帳!$I$2:$I$400,MATCH(1,INDEX((機器台帳!$A$2:$A$400="E24-S8-5")*((機器台帳!$B$2:$B$400="前面")+(機器台帳!$B$2:$B$400="両面")&gt;0)*(機器台帳!$F$2:$F$400&lt;&gt;"")*(機器台帳!$C$2:$C$400&lt;=11)*(機器台帳!$C$2:$C$400+機器台帳!$D$2:$D$400-1&gt;=11),0),0))&amp;IF(INDEX(機器台帳!$Y$2:$Y$400,MATCH(1,INDEX((機器台帳!$A$2:$A$400="E24-S8-5")*((機器台帳!$B$2:$B$400="前面")+(機器台帳!$B$2:$B$400="両面")&gt;0)*(機器台帳!$F$2:$F$400&lt;&gt;"")*(機器台帳!$C$2:$C$400&lt;=11)*(機器台帳!$C$2:$C$400+機器台帳!$D$2:$D$400-1&gt;=11),0),0))=0,"|未記入",""))</f>
        <v/>
      </c>
      <c r="T40" s="12">
        <f>IF(SUMPRODUCT((機器台帳!$A$2:$A$400="E24-S8-5")*((機器台帳!$B$2:$B$400="背面")+(機器台帳!$B$2:$B$400="両面")&gt;0)*(機器台帳!$F$2:$F$400&lt;&gt;"")*(機器台帳!$C$2:$C$400&lt;=11)*(機器台帳!$C$2:$C$400+機器台帳!$D$2:$D$400-1&gt;=11))=0,"",INDEX(機器台帳!$F$2:$F$400,MATCH(1,INDEX((機器台帳!$A$2:$A$400="E24-S8-5")*((機器台帳!$B$2:$B$400="背面")+(機器台帳!$B$2:$B$400="両面")&gt;0)*(機器台帳!$F$2:$F$400&lt;&gt;"")*(機器台帳!$C$2:$C$400&lt;=11)*(機器台帳!$C$2:$C$400+機器台帳!$D$2:$D$400-1&gt;=11),0),0))&amp;IF(INDEX(機器台帳!$G$2:$G$400,MATCH(1,INDEX((機器台帳!$A$2:$A$400="E24-S8-5")*((機器台帳!$B$2:$B$400="背面")+(機器台帳!$B$2:$B$400="両面")&gt;0)*(機器台帳!$F$2:$F$400&lt;&gt;"")*(機器台帳!$C$2:$C$400&lt;=11)*(機器台帳!$C$2:$C$400+機器台帳!$D$2:$D$400-1&gt;=11),0),0))=""," "," "&amp;INDEX(機器台帳!$G$2:$G$400,MATCH(1,INDEX((機器台帳!$A$2:$A$400="E24-S8-5")*((機器台帳!$B$2:$B$400="背面")+(機器台帳!$B$2:$B$400="両面")&gt;0)*(機器台帳!$F$2:$F$400&lt;&gt;"")*(機器台帳!$C$2:$C$400&lt;=11)*(機器台帳!$C$2:$C$400+機器台帳!$D$2:$D$400-1&gt;=11),0),0)))&amp;IF(SUMPRODUCT((機器台帳!$A$2:$A$400="E24-S8-5")*((機器台帳!$B$2:$B$400="背面")+(機器台帳!$B$2:$B$400="両面")&gt;0)*(機器台帳!$F$2:$F$400&lt;&gt;"")*(機器台帳!$C$2:$C$400&lt;=11)*(機器台帳!$C$2:$C$400+機器台帳!$D$2:$D$400-1&gt;=11))&gt;1," 他"&amp;(SUMPRODUCT((機器台帳!$A$2:$A$400="E24-S8-5")*((機器台帳!$B$2:$B$400="背面")+(機器台帳!$B$2:$B$400="両面")&gt;0)*(機器台帳!$F$2:$F$400&lt;&gt;"")*(機器台帳!$C$2:$C$400&lt;=11)*(機器台帳!$C$2:$C$400+機器台帳!$D$2:$D$400-1&gt;=11))-1)&amp;"台",""))</f>
        <v/>
      </c>
      <c r="U40">
        <f>IF(SUMPRODUCT((機器台帳!$A$2:$A$400="E24-S8-5")*((機器台帳!$B$2:$B$400="背面")+(機器台帳!$B$2:$B$400="両面")&gt;0)*(機器台帳!$F$2:$F$400&lt;&gt;"")*(機器台帳!$C$2:$C$400&lt;=11)*(機器台帳!$C$2:$C$400+機器台帳!$D$2:$D$400-1&gt;=11))=0,"",INDEX(機器台帳!$I$2:$I$400,MATCH(1,INDEX((機器台帳!$A$2:$A$400="E24-S8-5")*((機器台帳!$B$2:$B$400="背面")+(機器台帳!$B$2:$B$400="両面")&gt;0)*(機器台帳!$F$2:$F$400&lt;&gt;"")*(機器台帳!$C$2:$C$400&lt;=11)*(機器台帳!$C$2:$C$400+機器台帳!$D$2:$D$400-1&gt;=11),0),0))&amp;IF(INDEX(機器台帳!$Y$2:$Y$400,MATCH(1,INDEX((機器台帳!$A$2:$A$400="E24-S8-5")*((機器台帳!$B$2:$B$400="背面")+(機器台帳!$B$2:$B$400="両面")&gt;0)*(機器台帳!$F$2:$F$400&lt;&gt;"")*(機器台帳!$C$2:$C$400&lt;=11)*(機器台帳!$C$2:$C$400+機器台帳!$D$2:$D$400-1&gt;=11),0),0))=0,"|未記入",""))</f>
        <v/>
      </c>
      <c r="V40" s="12">
        <f>IF(SUMPRODUCT((機器台帳!$A$2:$A$400="E24-S6-1")*((機器台帳!$B$2:$B$400="前面")+(機器台帳!$B$2:$B$400="両面")&gt;0)*(機器台帳!$F$2:$F$400&lt;&gt;"")*(機器台帳!$C$2:$C$400&lt;=11)*(機器台帳!$C$2:$C$400+機器台帳!$D$2:$D$400-1&gt;=11))=0,"",INDEX(機器台帳!$F$2:$F$400,MATCH(1,INDEX((機器台帳!$A$2:$A$400="E24-S6-1")*((機器台帳!$B$2:$B$400="前面")+(機器台帳!$B$2:$B$400="両面")&gt;0)*(機器台帳!$F$2:$F$400&lt;&gt;"")*(機器台帳!$C$2:$C$400&lt;=11)*(機器台帳!$C$2:$C$400+機器台帳!$D$2:$D$400-1&gt;=11),0),0))&amp;IF(INDEX(機器台帳!$G$2:$G$400,MATCH(1,INDEX((機器台帳!$A$2:$A$400="E24-S6-1")*((機器台帳!$B$2:$B$400="前面")+(機器台帳!$B$2:$B$400="両面")&gt;0)*(機器台帳!$F$2:$F$400&lt;&gt;"")*(機器台帳!$C$2:$C$400&lt;=11)*(機器台帳!$C$2:$C$400+機器台帳!$D$2:$D$400-1&gt;=11),0),0))=""," "," "&amp;INDEX(機器台帳!$G$2:$G$400,MATCH(1,INDEX((機器台帳!$A$2:$A$400="E24-S6-1")*((機器台帳!$B$2:$B$400="前面")+(機器台帳!$B$2:$B$400="両面")&gt;0)*(機器台帳!$F$2:$F$400&lt;&gt;"")*(機器台帳!$C$2:$C$400&lt;=11)*(機器台帳!$C$2:$C$400+機器台帳!$D$2:$D$400-1&gt;=11),0),0)))&amp;IF(SUMPRODUCT((機器台帳!$A$2:$A$400="E24-S6-1")*((機器台帳!$B$2:$B$400="前面")+(機器台帳!$B$2:$B$400="両面")&gt;0)*(機器台帳!$F$2:$F$400&lt;&gt;"")*(機器台帳!$C$2:$C$400&lt;=11)*(機器台帳!$C$2:$C$400+機器台帳!$D$2:$D$400-1&gt;=11))&gt;1," 他"&amp;(SUMPRODUCT((機器台帳!$A$2:$A$400="E24-S6-1")*((機器台帳!$B$2:$B$400="前面")+(機器台帳!$B$2:$B$400="両面")&gt;0)*(機器台帳!$F$2:$F$400&lt;&gt;"")*(機器台帳!$C$2:$C$400&lt;=11)*(機器台帳!$C$2:$C$400+機器台帳!$D$2:$D$400-1&gt;=11))-1)&amp;"台",""))</f>
        <v/>
      </c>
      <c r="W40">
        <f>IF(SUMPRODUCT((機器台帳!$A$2:$A$400="E24-S6-1")*((機器台帳!$B$2:$B$400="前面")+(機器台帳!$B$2:$B$400="両面")&gt;0)*(機器台帳!$F$2:$F$400&lt;&gt;"")*(機器台帳!$C$2:$C$400&lt;=11)*(機器台帳!$C$2:$C$400+機器台帳!$D$2:$D$400-1&gt;=11))=0,"",INDEX(機器台帳!$I$2:$I$400,MATCH(1,INDEX((機器台帳!$A$2:$A$400="E24-S6-1")*((機器台帳!$B$2:$B$400="前面")+(機器台帳!$B$2:$B$400="両面")&gt;0)*(機器台帳!$F$2:$F$400&lt;&gt;"")*(機器台帳!$C$2:$C$400&lt;=11)*(機器台帳!$C$2:$C$400+機器台帳!$D$2:$D$400-1&gt;=11),0),0))&amp;IF(INDEX(機器台帳!$Y$2:$Y$400,MATCH(1,INDEX((機器台帳!$A$2:$A$400="E24-S6-1")*((機器台帳!$B$2:$B$400="前面")+(機器台帳!$B$2:$B$400="両面")&gt;0)*(機器台帳!$F$2:$F$400&lt;&gt;"")*(機器台帳!$C$2:$C$400&lt;=11)*(機器台帳!$C$2:$C$400+機器台帳!$D$2:$D$400-1&gt;=11),0),0))=0,"|未記入",""))</f>
        <v/>
      </c>
      <c r="X40" s="12">
        <f>IF(SUMPRODUCT((機器台帳!$A$2:$A$400="E24-S6-1")*((機器台帳!$B$2:$B$400="背面")+(機器台帳!$B$2:$B$400="両面")&gt;0)*(機器台帳!$F$2:$F$400&lt;&gt;"")*(機器台帳!$C$2:$C$400&lt;=11)*(機器台帳!$C$2:$C$400+機器台帳!$D$2:$D$400-1&gt;=11))=0,"",INDEX(機器台帳!$F$2:$F$400,MATCH(1,INDEX((機器台帳!$A$2:$A$400="E24-S6-1")*((機器台帳!$B$2:$B$400="背面")+(機器台帳!$B$2:$B$400="両面")&gt;0)*(機器台帳!$F$2:$F$400&lt;&gt;"")*(機器台帳!$C$2:$C$400&lt;=11)*(機器台帳!$C$2:$C$400+機器台帳!$D$2:$D$400-1&gt;=11),0),0))&amp;IF(INDEX(機器台帳!$G$2:$G$400,MATCH(1,INDEX((機器台帳!$A$2:$A$400="E24-S6-1")*((機器台帳!$B$2:$B$400="背面")+(機器台帳!$B$2:$B$400="両面")&gt;0)*(機器台帳!$F$2:$F$400&lt;&gt;"")*(機器台帳!$C$2:$C$400&lt;=11)*(機器台帳!$C$2:$C$400+機器台帳!$D$2:$D$400-1&gt;=11),0),0))=""," "," "&amp;INDEX(機器台帳!$G$2:$G$400,MATCH(1,INDEX((機器台帳!$A$2:$A$400="E24-S6-1")*((機器台帳!$B$2:$B$400="背面")+(機器台帳!$B$2:$B$400="両面")&gt;0)*(機器台帳!$F$2:$F$400&lt;&gt;"")*(機器台帳!$C$2:$C$400&lt;=11)*(機器台帳!$C$2:$C$400+機器台帳!$D$2:$D$400-1&gt;=11),0),0)))&amp;IF(SUMPRODUCT((機器台帳!$A$2:$A$400="E24-S6-1")*((機器台帳!$B$2:$B$400="背面")+(機器台帳!$B$2:$B$400="両面")&gt;0)*(機器台帳!$F$2:$F$400&lt;&gt;"")*(機器台帳!$C$2:$C$400&lt;=11)*(機器台帳!$C$2:$C$400+機器台帳!$D$2:$D$400-1&gt;=11))&gt;1," 他"&amp;(SUMPRODUCT((機器台帳!$A$2:$A$400="E24-S6-1")*((機器台帳!$B$2:$B$400="背面")+(機器台帳!$B$2:$B$400="両面")&gt;0)*(機器台帳!$F$2:$F$400&lt;&gt;"")*(機器台帳!$C$2:$C$400&lt;=11)*(機器台帳!$C$2:$C$400+機器台帳!$D$2:$D$400-1&gt;=11))-1)&amp;"台",""))</f>
        <v/>
      </c>
      <c r="Y40">
        <f>IF(SUMPRODUCT((機器台帳!$A$2:$A$400="E24-S6-1")*((機器台帳!$B$2:$B$400="背面")+(機器台帳!$B$2:$B$400="両面")&gt;0)*(機器台帳!$F$2:$F$400&lt;&gt;"")*(機器台帳!$C$2:$C$400&lt;=11)*(機器台帳!$C$2:$C$400+機器台帳!$D$2:$D$400-1&gt;=11))=0,"",INDEX(機器台帳!$I$2:$I$400,MATCH(1,INDEX((機器台帳!$A$2:$A$400="E24-S6-1")*((機器台帳!$B$2:$B$400="背面")+(機器台帳!$B$2:$B$400="両面")&gt;0)*(機器台帳!$F$2:$F$400&lt;&gt;"")*(機器台帳!$C$2:$C$400&lt;=11)*(機器台帳!$C$2:$C$400+機器台帳!$D$2:$D$400-1&gt;=11),0),0))&amp;IF(INDEX(機器台帳!$Y$2:$Y$400,MATCH(1,INDEX((機器台帳!$A$2:$A$400="E24-S6-1")*((機器台帳!$B$2:$B$400="背面")+(機器台帳!$B$2:$B$400="両面")&gt;0)*(機器台帳!$F$2:$F$400&lt;&gt;"")*(機器台帳!$C$2:$C$400&lt;=11)*(機器台帳!$C$2:$C$400+機器台帳!$D$2:$D$400-1&gt;=11),0),0))=0,"|未記入",""))</f>
        <v/>
      </c>
    </row>
    <row r="41">
      <c r="A41" s="11" t="n">
        <v>10</v>
      </c>
      <c r="B41" s="12">
        <f>IF(SUMPRODUCT((機器台帳!$A$2:$A$400="E24-S8-1")*((機器台帳!$B$2:$B$400="前面")+(機器台帳!$B$2:$B$400="両面")&gt;0)*(機器台帳!$F$2:$F$400&lt;&gt;"")*(機器台帳!$C$2:$C$400&lt;=10)*(機器台帳!$C$2:$C$400+機器台帳!$D$2:$D$400-1&gt;=10))=0,"",INDEX(機器台帳!$F$2:$F$400,MATCH(1,INDEX((機器台帳!$A$2:$A$400="E24-S8-1")*((機器台帳!$B$2:$B$400="前面")+(機器台帳!$B$2:$B$400="両面")&gt;0)*(機器台帳!$F$2:$F$400&lt;&gt;"")*(機器台帳!$C$2:$C$400&lt;=10)*(機器台帳!$C$2:$C$400+機器台帳!$D$2:$D$400-1&gt;=10),0),0))&amp;IF(INDEX(機器台帳!$G$2:$G$400,MATCH(1,INDEX((機器台帳!$A$2:$A$400="E24-S8-1")*((機器台帳!$B$2:$B$400="前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-1")*((機器台帳!$B$2:$B$400="前面")+(機器台帳!$B$2:$B$400="両面")&gt;0)*(機器台帳!$F$2:$F$400&lt;&gt;"")*(機器台帳!$C$2:$C$400&lt;=10)*(機器台帳!$C$2:$C$400+機器台帳!$D$2:$D$400-1&gt;=10),0),0)))&amp;IF(SUMPRODUCT((機器台帳!$A$2:$A$400="E24-S8-1")*((機器台帳!$B$2:$B$400="前面")+(機器台帳!$B$2:$B$400="両面")&gt;0)*(機器台帳!$F$2:$F$400&lt;&gt;"")*(機器台帳!$C$2:$C$400&lt;=10)*(機器台帳!$C$2:$C$400+機器台帳!$D$2:$D$400-1&gt;=10))&gt;1," 他"&amp;(SUMPRODUCT((機器台帳!$A$2:$A$400="E24-S8-1")*((機器台帳!$B$2:$B$400="前面")+(機器台帳!$B$2:$B$400="両面")&gt;0)*(機器台帳!$F$2:$F$400&lt;&gt;"")*(機器台帳!$C$2:$C$400&lt;=10)*(機器台帳!$C$2:$C$400+機器台帳!$D$2:$D$400-1&gt;=10))-1)&amp;"台",""))</f>
        <v/>
      </c>
      <c r="C41">
        <f>IF(SUMPRODUCT((機器台帳!$A$2:$A$400="E24-S8-1")*((機器台帳!$B$2:$B$400="前面")+(機器台帳!$B$2:$B$400="両面")&gt;0)*(機器台帳!$F$2:$F$400&lt;&gt;"")*(機器台帳!$C$2:$C$400&lt;=10)*(機器台帳!$C$2:$C$400+機器台帳!$D$2:$D$400-1&gt;=10))=0,"",INDEX(機器台帳!$I$2:$I$400,MATCH(1,INDEX((機器台帳!$A$2:$A$400="E24-S8-1")*((機器台帳!$B$2:$B$400="前面")+(機器台帳!$B$2:$B$400="両面")&gt;0)*(機器台帳!$F$2:$F$400&lt;&gt;"")*(機器台帳!$C$2:$C$400&lt;=10)*(機器台帳!$C$2:$C$400+機器台帳!$D$2:$D$400-1&gt;=10),0),0))&amp;IF(INDEX(機器台帳!$Y$2:$Y$400,MATCH(1,INDEX((機器台帳!$A$2:$A$400="E24-S8-1")*((機器台帳!$B$2:$B$400="前面")+(機器台帳!$B$2:$B$400="両面")&gt;0)*(機器台帳!$F$2:$F$400&lt;&gt;"")*(機器台帳!$C$2:$C$400&lt;=10)*(機器台帳!$C$2:$C$400+機器台帳!$D$2:$D$400-1&gt;=10),0),0))=0,"|未記入",""))</f>
        <v/>
      </c>
      <c r="D41" s="12">
        <f>IF(SUMPRODUCT((機器台帳!$A$2:$A$400="E24-S8-1")*((機器台帳!$B$2:$B$400="背面")+(機器台帳!$B$2:$B$400="両面")&gt;0)*(機器台帳!$F$2:$F$400&lt;&gt;"")*(機器台帳!$C$2:$C$400&lt;=10)*(機器台帳!$C$2:$C$400+機器台帳!$D$2:$D$400-1&gt;=10))=0,"",INDEX(機器台帳!$F$2:$F$400,MATCH(1,INDEX((機器台帳!$A$2:$A$400="E24-S8-1")*((機器台帳!$B$2:$B$400="背面")+(機器台帳!$B$2:$B$400="両面")&gt;0)*(機器台帳!$F$2:$F$400&lt;&gt;"")*(機器台帳!$C$2:$C$400&lt;=10)*(機器台帳!$C$2:$C$400+機器台帳!$D$2:$D$400-1&gt;=10),0),0))&amp;IF(INDEX(機器台帳!$G$2:$G$400,MATCH(1,INDEX((機器台帳!$A$2:$A$400="E24-S8-1")*((機器台帳!$B$2:$B$400="背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-1")*((機器台帳!$B$2:$B$400="背面")+(機器台帳!$B$2:$B$400="両面")&gt;0)*(機器台帳!$F$2:$F$400&lt;&gt;"")*(機器台帳!$C$2:$C$400&lt;=10)*(機器台帳!$C$2:$C$400+機器台帳!$D$2:$D$400-1&gt;=10),0),0)))&amp;IF(SUMPRODUCT((機器台帳!$A$2:$A$400="E24-S8-1")*((機器台帳!$B$2:$B$400="背面")+(機器台帳!$B$2:$B$400="両面")&gt;0)*(機器台帳!$F$2:$F$400&lt;&gt;"")*(機器台帳!$C$2:$C$400&lt;=10)*(機器台帳!$C$2:$C$400+機器台帳!$D$2:$D$400-1&gt;=10))&gt;1," 他"&amp;(SUMPRODUCT((機器台帳!$A$2:$A$400="E24-S8-1")*((機器台帳!$B$2:$B$400="背面")+(機器台帳!$B$2:$B$400="両面")&gt;0)*(機器台帳!$F$2:$F$400&lt;&gt;"")*(機器台帳!$C$2:$C$400&lt;=10)*(機器台帳!$C$2:$C$400+機器台帳!$D$2:$D$400-1&gt;=10))-1)&amp;"台",""))</f>
        <v/>
      </c>
      <c r="E41">
        <f>IF(SUMPRODUCT((機器台帳!$A$2:$A$400="E24-S8-1")*((機器台帳!$B$2:$B$400="背面")+(機器台帳!$B$2:$B$400="両面")&gt;0)*(機器台帳!$F$2:$F$400&lt;&gt;"")*(機器台帳!$C$2:$C$400&lt;=10)*(機器台帳!$C$2:$C$400+機器台帳!$D$2:$D$400-1&gt;=10))=0,"",INDEX(機器台帳!$I$2:$I$400,MATCH(1,INDEX((機器台帳!$A$2:$A$400="E24-S8-1")*((機器台帳!$B$2:$B$400="背面")+(機器台帳!$B$2:$B$400="両面")&gt;0)*(機器台帳!$F$2:$F$400&lt;&gt;"")*(機器台帳!$C$2:$C$400&lt;=10)*(機器台帳!$C$2:$C$400+機器台帳!$D$2:$D$400-1&gt;=10),0),0))&amp;IF(INDEX(機器台帳!$Y$2:$Y$400,MATCH(1,INDEX((機器台帳!$A$2:$A$400="E24-S8-1")*((機器台帳!$B$2:$B$400="背面")+(機器台帳!$B$2:$B$400="両面")&gt;0)*(機器台帳!$F$2:$F$400&lt;&gt;"")*(機器台帳!$C$2:$C$400&lt;=10)*(機器台帳!$C$2:$C$400+機器台帳!$D$2:$D$400-1&gt;=10),0),0))=0,"|未記入",""))</f>
        <v/>
      </c>
      <c r="F41" s="12">
        <f>IF(SUMPRODUCT((機器台帳!$A$2:$A$400="E24-S8-2")*((機器台帳!$B$2:$B$400="前面")+(機器台帳!$B$2:$B$400="両面")&gt;0)*(機器台帳!$F$2:$F$400&lt;&gt;"")*(機器台帳!$C$2:$C$400&lt;=10)*(機器台帳!$C$2:$C$400+機器台帳!$D$2:$D$400-1&gt;=10))=0,"",INDEX(機器台帳!$F$2:$F$400,MATCH(1,INDEX((機器台帳!$A$2:$A$400="E24-S8-2")*((機器台帳!$B$2:$B$400="前面")+(機器台帳!$B$2:$B$400="両面")&gt;0)*(機器台帳!$F$2:$F$400&lt;&gt;"")*(機器台帳!$C$2:$C$400&lt;=10)*(機器台帳!$C$2:$C$400+機器台帳!$D$2:$D$400-1&gt;=10),0),0))&amp;IF(INDEX(機器台帳!$G$2:$G$400,MATCH(1,INDEX((機器台帳!$A$2:$A$400="E24-S8-2")*((機器台帳!$B$2:$B$400="前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-2")*((機器台帳!$B$2:$B$400="前面")+(機器台帳!$B$2:$B$400="両面")&gt;0)*(機器台帳!$F$2:$F$400&lt;&gt;"")*(機器台帳!$C$2:$C$400&lt;=10)*(機器台帳!$C$2:$C$400+機器台帳!$D$2:$D$400-1&gt;=10),0),0)))&amp;IF(SUMPRODUCT((機器台帳!$A$2:$A$400="E24-S8-2")*((機器台帳!$B$2:$B$400="前面")+(機器台帳!$B$2:$B$400="両面")&gt;0)*(機器台帳!$F$2:$F$400&lt;&gt;"")*(機器台帳!$C$2:$C$400&lt;=10)*(機器台帳!$C$2:$C$400+機器台帳!$D$2:$D$400-1&gt;=10))&gt;1," 他"&amp;(SUMPRODUCT((機器台帳!$A$2:$A$400="E24-S8-2")*((機器台帳!$B$2:$B$400="前面")+(機器台帳!$B$2:$B$400="両面")&gt;0)*(機器台帳!$F$2:$F$400&lt;&gt;"")*(機器台帳!$C$2:$C$400&lt;=10)*(機器台帳!$C$2:$C$400+機器台帳!$D$2:$D$400-1&gt;=10))-1)&amp;"台",""))</f>
        <v/>
      </c>
      <c r="G41">
        <f>IF(SUMPRODUCT((機器台帳!$A$2:$A$400="E24-S8-2")*((機器台帳!$B$2:$B$400="前面")+(機器台帳!$B$2:$B$400="両面")&gt;0)*(機器台帳!$F$2:$F$400&lt;&gt;"")*(機器台帳!$C$2:$C$400&lt;=10)*(機器台帳!$C$2:$C$400+機器台帳!$D$2:$D$400-1&gt;=10))=0,"",INDEX(機器台帳!$I$2:$I$400,MATCH(1,INDEX((機器台帳!$A$2:$A$400="E24-S8-2")*((機器台帳!$B$2:$B$400="前面")+(機器台帳!$B$2:$B$400="両面")&gt;0)*(機器台帳!$F$2:$F$400&lt;&gt;"")*(機器台帳!$C$2:$C$400&lt;=10)*(機器台帳!$C$2:$C$400+機器台帳!$D$2:$D$400-1&gt;=10),0),0))&amp;IF(INDEX(機器台帳!$Y$2:$Y$400,MATCH(1,INDEX((機器台帳!$A$2:$A$400="E24-S8-2")*((機器台帳!$B$2:$B$400="前面")+(機器台帳!$B$2:$B$400="両面")&gt;0)*(機器台帳!$F$2:$F$400&lt;&gt;"")*(機器台帳!$C$2:$C$400&lt;=10)*(機器台帳!$C$2:$C$400+機器台帳!$D$2:$D$400-1&gt;=10),0),0))=0,"|未記入",""))</f>
        <v/>
      </c>
      <c r="H41" s="12">
        <f>IF(SUMPRODUCT((機器台帳!$A$2:$A$400="E24-S8-2")*((機器台帳!$B$2:$B$400="背面")+(機器台帳!$B$2:$B$400="両面")&gt;0)*(機器台帳!$F$2:$F$400&lt;&gt;"")*(機器台帳!$C$2:$C$400&lt;=10)*(機器台帳!$C$2:$C$400+機器台帳!$D$2:$D$400-1&gt;=10))=0,"",INDEX(機器台帳!$F$2:$F$400,MATCH(1,INDEX((機器台帳!$A$2:$A$400="E24-S8-2")*((機器台帳!$B$2:$B$400="背面")+(機器台帳!$B$2:$B$400="両面")&gt;0)*(機器台帳!$F$2:$F$400&lt;&gt;"")*(機器台帳!$C$2:$C$400&lt;=10)*(機器台帳!$C$2:$C$400+機器台帳!$D$2:$D$400-1&gt;=10),0),0))&amp;IF(INDEX(機器台帳!$G$2:$G$400,MATCH(1,INDEX((機器台帳!$A$2:$A$400="E24-S8-2")*((機器台帳!$B$2:$B$400="背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-2")*((機器台帳!$B$2:$B$400="背面")+(機器台帳!$B$2:$B$400="両面")&gt;0)*(機器台帳!$F$2:$F$400&lt;&gt;"")*(機器台帳!$C$2:$C$400&lt;=10)*(機器台帳!$C$2:$C$400+機器台帳!$D$2:$D$400-1&gt;=10),0),0)))&amp;IF(SUMPRODUCT((機器台帳!$A$2:$A$400="E24-S8-2")*((機器台帳!$B$2:$B$400="背面")+(機器台帳!$B$2:$B$400="両面")&gt;0)*(機器台帳!$F$2:$F$400&lt;&gt;"")*(機器台帳!$C$2:$C$400&lt;=10)*(機器台帳!$C$2:$C$400+機器台帳!$D$2:$D$400-1&gt;=10))&gt;1," 他"&amp;(SUMPRODUCT((機器台帳!$A$2:$A$400="E24-S8-2")*((機器台帳!$B$2:$B$400="背面")+(機器台帳!$B$2:$B$400="両面")&gt;0)*(機器台帳!$F$2:$F$400&lt;&gt;"")*(機器台帳!$C$2:$C$400&lt;=10)*(機器台帳!$C$2:$C$400+機器台帳!$D$2:$D$400-1&gt;=10))-1)&amp;"台",""))</f>
        <v/>
      </c>
      <c r="I41">
        <f>IF(SUMPRODUCT((機器台帳!$A$2:$A$400="E24-S8-2")*((機器台帳!$B$2:$B$400="背面")+(機器台帳!$B$2:$B$400="両面")&gt;0)*(機器台帳!$F$2:$F$400&lt;&gt;"")*(機器台帳!$C$2:$C$400&lt;=10)*(機器台帳!$C$2:$C$400+機器台帳!$D$2:$D$400-1&gt;=10))=0,"",INDEX(機器台帳!$I$2:$I$400,MATCH(1,INDEX((機器台帳!$A$2:$A$400="E24-S8-2")*((機器台帳!$B$2:$B$400="背面")+(機器台帳!$B$2:$B$400="両面")&gt;0)*(機器台帳!$F$2:$F$400&lt;&gt;"")*(機器台帳!$C$2:$C$400&lt;=10)*(機器台帳!$C$2:$C$400+機器台帳!$D$2:$D$400-1&gt;=10),0),0))&amp;IF(INDEX(機器台帳!$Y$2:$Y$400,MATCH(1,INDEX((機器台帳!$A$2:$A$400="E24-S8-2")*((機器台帳!$B$2:$B$400="背面")+(機器台帳!$B$2:$B$400="両面")&gt;0)*(機器台帳!$F$2:$F$400&lt;&gt;"")*(機器台帳!$C$2:$C$400&lt;=10)*(機器台帳!$C$2:$C$400+機器台帳!$D$2:$D$400-1&gt;=10),0),0))=0,"|未記入",""))</f>
        <v/>
      </c>
      <c r="J41" s="12">
        <f>IF(SUMPRODUCT((機器台帳!$A$2:$A$400="E24-S8-3")*((機器台帳!$B$2:$B$400="前面")+(機器台帳!$B$2:$B$400="両面")&gt;0)*(機器台帳!$F$2:$F$400&lt;&gt;"")*(機器台帳!$C$2:$C$400&lt;=10)*(機器台帳!$C$2:$C$400+機器台帳!$D$2:$D$400-1&gt;=10))=0,"",INDEX(機器台帳!$F$2:$F$400,MATCH(1,INDEX((機器台帳!$A$2:$A$400="E24-S8-3")*((機器台帳!$B$2:$B$400="前面")+(機器台帳!$B$2:$B$400="両面")&gt;0)*(機器台帳!$F$2:$F$400&lt;&gt;"")*(機器台帳!$C$2:$C$400&lt;=10)*(機器台帳!$C$2:$C$400+機器台帳!$D$2:$D$400-1&gt;=10),0),0))&amp;IF(INDEX(機器台帳!$G$2:$G$400,MATCH(1,INDEX((機器台帳!$A$2:$A$400="E24-S8-3")*((機器台帳!$B$2:$B$400="前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-3")*((機器台帳!$B$2:$B$400="前面")+(機器台帳!$B$2:$B$400="両面")&gt;0)*(機器台帳!$F$2:$F$400&lt;&gt;"")*(機器台帳!$C$2:$C$400&lt;=10)*(機器台帳!$C$2:$C$400+機器台帳!$D$2:$D$400-1&gt;=10),0),0)))&amp;IF(SUMPRODUCT((機器台帳!$A$2:$A$400="E24-S8-3")*((機器台帳!$B$2:$B$400="前面")+(機器台帳!$B$2:$B$400="両面")&gt;0)*(機器台帳!$F$2:$F$400&lt;&gt;"")*(機器台帳!$C$2:$C$400&lt;=10)*(機器台帳!$C$2:$C$400+機器台帳!$D$2:$D$400-1&gt;=10))&gt;1," 他"&amp;(SUMPRODUCT((機器台帳!$A$2:$A$400="E24-S8-3")*((機器台帳!$B$2:$B$400="前面")+(機器台帳!$B$2:$B$400="両面")&gt;0)*(機器台帳!$F$2:$F$400&lt;&gt;"")*(機器台帳!$C$2:$C$400&lt;=10)*(機器台帳!$C$2:$C$400+機器台帳!$D$2:$D$400-1&gt;=10))-1)&amp;"台",""))</f>
        <v/>
      </c>
      <c r="K41">
        <f>IF(SUMPRODUCT((機器台帳!$A$2:$A$400="E24-S8-3")*((機器台帳!$B$2:$B$400="前面")+(機器台帳!$B$2:$B$400="両面")&gt;0)*(機器台帳!$F$2:$F$400&lt;&gt;"")*(機器台帳!$C$2:$C$400&lt;=10)*(機器台帳!$C$2:$C$400+機器台帳!$D$2:$D$400-1&gt;=10))=0,"",INDEX(機器台帳!$I$2:$I$400,MATCH(1,INDEX((機器台帳!$A$2:$A$400="E24-S8-3")*((機器台帳!$B$2:$B$400="前面")+(機器台帳!$B$2:$B$400="両面")&gt;0)*(機器台帳!$F$2:$F$400&lt;&gt;"")*(機器台帳!$C$2:$C$400&lt;=10)*(機器台帳!$C$2:$C$400+機器台帳!$D$2:$D$400-1&gt;=10),0),0))&amp;IF(INDEX(機器台帳!$Y$2:$Y$400,MATCH(1,INDEX((機器台帳!$A$2:$A$400="E24-S8-3")*((機器台帳!$B$2:$B$400="前面")+(機器台帳!$B$2:$B$400="両面")&gt;0)*(機器台帳!$F$2:$F$400&lt;&gt;"")*(機器台帳!$C$2:$C$400&lt;=10)*(機器台帳!$C$2:$C$400+機器台帳!$D$2:$D$400-1&gt;=10),0),0))=0,"|未記入",""))</f>
        <v/>
      </c>
      <c r="L41" s="12">
        <f>IF(SUMPRODUCT((機器台帳!$A$2:$A$400="E24-S8-3")*((機器台帳!$B$2:$B$400="背面")+(機器台帳!$B$2:$B$400="両面")&gt;0)*(機器台帳!$F$2:$F$400&lt;&gt;"")*(機器台帳!$C$2:$C$400&lt;=10)*(機器台帳!$C$2:$C$400+機器台帳!$D$2:$D$400-1&gt;=10))=0,"",INDEX(機器台帳!$F$2:$F$400,MATCH(1,INDEX((機器台帳!$A$2:$A$400="E24-S8-3")*((機器台帳!$B$2:$B$400="背面")+(機器台帳!$B$2:$B$400="両面")&gt;0)*(機器台帳!$F$2:$F$400&lt;&gt;"")*(機器台帳!$C$2:$C$400&lt;=10)*(機器台帳!$C$2:$C$400+機器台帳!$D$2:$D$400-1&gt;=10),0),0))&amp;IF(INDEX(機器台帳!$G$2:$G$400,MATCH(1,INDEX((機器台帳!$A$2:$A$400="E24-S8-3")*((機器台帳!$B$2:$B$400="背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-3")*((機器台帳!$B$2:$B$400="背面")+(機器台帳!$B$2:$B$400="両面")&gt;0)*(機器台帳!$F$2:$F$400&lt;&gt;"")*(機器台帳!$C$2:$C$400&lt;=10)*(機器台帳!$C$2:$C$400+機器台帳!$D$2:$D$400-1&gt;=10),0),0)))&amp;IF(SUMPRODUCT((機器台帳!$A$2:$A$400="E24-S8-3")*((機器台帳!$B$2:$B$400="背面")+(機器台帳!$B$2:$B$400="両面")&gt;0)*(機器台帳!$F$2:$F$400&lt;&gt;"")*(機器台帳!$C$2:$C$400&lt;=10)*(機器台帳!$C$2:$C$400+機器台帳!$D$2:$D$400-1&gt;=10))&gt;1," 他"&amp;(SUMPRODUCT((機器台帳!$A$2:$A$400="E24-S8-3")*((機器台帳!$B$2:$B$400="背面")+(機器台帳!$B$2:$B$400="両面")&gt;0)*(機器台帳!$F$2:$F$400&lt;&gt;"")*(機器台帳!$C$2:$C$400&lt;=10)*(機器台帳!$C$2:$C$400+機器台帳!$D$2:$D$400-1&gt;=10))-1)&amp;"台",""))</f>
        <v/>
      </c>
      <c r="M41">
        <f>IF(SUMPRODUCT((機器台帳!$A$2:$A$400="E24-S8-3")*((機器台帳!$B$2:$B$400="背面")+(機器台帳!$B$2:$B$400="両面")&gt;0)*(機器台帳!$F$2:$F$400&lt;&gt;"")*(機器台帳!$C$2:$C$400&lt;=10)*(機器台帳!$C$2:$C$400+機器台帳!$D$2:$D$400-1&gt;=10))=0,"",INDEX(機器台帳!$I$2:$I$400,MATCH(1,INDEX((機器台帳!$A$2:$A$400="E24-S8-3")*((機器台帳!$B$2:$B$400="背面")+(機器台帳!$B$2:$B$400="両面")&gt;0)*(機器台帳!$F$2:$F$400&lt;&gt;"")*(機器台帳!$C$2:$C$400&lt;=10)*(機器台帳!$C$2:$C$400+機器台帳!$D$2:$D$400-1&gt;=10),0),0))&amp;IF(INDEX(機器台帳!$Y$2:$Y$400,MATCH(1,INDEX((機器台帳!$A$2:$A$400="E24-S8-3")*((機器台帳!$B$2:$B$400="背面")+(機器台帳!$B$2:$B$400="両面")&gt;0)*(機器台帳!$F$2:$F$400&lt;&gt;"")*(機器台帳!$C$2:$C$400&lt;=10)*(機器台帳!$C$2:$C$400+機器台帳!$D$2:$D$400-1&gt;=10),0),0))=0,"|未記入",""))</f>
        <v/>
      </c>
      <c r="N41" s="12">
        <f>IF(SUMPRODUCT((機器台帳!$A$2:$A$400="E24-S8-4")*((機器台帳!$B$2:$B$400="前面")+(機器台帳!$B$2:$B$400="両面")&gt;0)*(機器台帳!$F$2:$F$400&lt;&gt;"")*(機器台帳!$C$2:$C$400&lt;=10)*(機器台帳!$C$2:$C$400+機器台帳!$D$2:$D$400-1&gt;=10))=0,"",INDEX(機器台帳!$F$2:$F$400,MATCH(1,INDEX((機器台帳!$A$2:$A$400="E24-S8-4")*((機器台帳!$B$2:$B$400="前面")+(機器台帳!$B$2:$B$400="両面")&gt;0)*(機器台帳!$F$2:$F$400&lt;&gt;"")*(機器台帳!$C$2:$C$400&lt;=10)*(機器台帳!$C$2:$C$400+機器台帳!$D$2:$D$400-1&gt;=10),0),0))&amp;IF(INDEX(機器台帳!$G$2:$G$400,MATCH(1,INDEX((機器台帳!$A$2:$A$400="E24-S8-4")*((機器台帳!$B$2:$B$400="前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-4")*((機器台帳!$B$2:$B$400="前面")+(機器台帳!$B$2:$B$400="両面")&gt;0)*(機器台帳!$F$2:$F$400&lt;&gt;"")*(機器台帳!$C$2:$C$400&lt;=10)*(機器台帳!$C$2:$C$400+機器台帳!$D$2:$D$400-1&gt;=10),0),0)))&amp;IF(SUMPRODUCT((機器台帳!$A$2:$A$400="E24-S8-4")*((機器台帳!$B$2:$B$400="前面")+(機器台帳!$B$2:$B$400="両面")&gt;0)*(機器台帳!$F$2:$F$400&lt;&gt;"")*(機器台帳!$C$2:$C$400&lt;=10)*(機器台帳!$C$2:$C$400+機器台帳!$D$2:$D$400-1&gt;=10))&gt;1," 他"&amp;(SUMPRODUCT((機器台帳!$A$2:$A$400="E24-S8-4")*((機器台帳!$B$2:$B$400="前面")+(機器台帳!$B$2:$B$400="両面")&gt;0)*(機器台帳!$F$2:$F$400&lt;&gt;"")*(機器台帳!$C$2:$C$400&lt;=10)*(機器台帳!$C$2:$C$400+機器台帳!$D$2:$D$400-1&gt;=10))-1)&amp;"台",""))</f>
        <v/>
      </c>
      <c r="O41">
        <f>IF(SUMPRODUCT((機器台帳!$A$2:$A$400="E24-S8-4")*((機器台帳!$B$2:$B$400="前面")+(機器台帳!$B$2:$B$400="両面")&gt;0)*(機器台帳!$F$2:$F$400&lt;&gt;"")*(機器台帳!$C$2:$C$400&lt;=10)*(機器台帳!$C$2:$C$400+機器台帳!$D$2:$D$400-1&gt;=10))=0,"",INDEX(機器台帳!$I$2:$I$400,MATCH(1,INDEX((機器台帳!$A$2:$A$400="E24-S8-4")*((機器台帳!$B$2:$B$400="前面")+(機器台帳!$B$2:$B$400="両面")&gt;0)*(機器台帳!$F$2:$F$400&lt;&gt;"")*(機器台帳!$C$2:$C$400&lt;=10)*(機器台帳!$C$2:$C$400+機器台帳!$D$2:$D$400-1&gt;=10),0),0))&amp;IF(INDEX(機器台帳!$Y$2:$Y$400,MATCH(1,INDEX((機器台帳!$A$2:$A$400="E24-S8-4")*((機器台帳!$B$2:$B$400="前面")+(機器台帳!$B$2:$B$400="両面")&gt;0)*(機器台帳!$F$2:$F$400&lt;&gt;"")*(機器台帳!$C$2:$C$400&lt;=10)*(機器台帳!$C$2:$C$400+機器台帳!$D$2:$D$400-1&gt;=10),0),0))=0,"|未記入",""))</f>
        <v/>
      </c>
      <c r="P41" s="12">
        <f>IF(SUMPRODUCT((機器台帳!$A$2:$A$400="E24-S8-4")*((機器台帳!$B$2:$B$400="背面")+(機器台帳!$B$2:$B$400="両面")&gt;0)*(機器台帳!$F$2:$F$400&lt;&gt;"")*(機器台帳!$C$2:$C$400&lt;=10)*(機器台帳!$C$2:$C$400+機器台帳!$D$2:$D$400-1&gt;=10))=0,"",INDEX(機器台帳!$F$2:$F$400,MATCH(1,INDEX((機器台帳!$A$2:$A$400="E24-S8-4")*((機器台帳!$B$2:$B$400="背面")+(機器台帳!$B$2:$B$400="両面")&gt;0)*(機器台帳!$F$2:$F$400&lt;&gt;"")*(機器台帳!$C$2:$C$400&lt;=10)*(機器台帳!$C$2:$C$400+機器台帳!$D$2:$D$400-1&gt;=10),0),0))&amp;IF(INDEX(機器台帳!$G$2:$G$400,MATCH(1,INDEX((機器台帳!$A$2:$A$400="E24-S8-4")*((機器台帳!$B$2:$B$400="背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-4")*((機器台帳!$B$2:$B$400="背面")+(機器台帳!$B$2:$B$400="両面")&gt;0)*(機器台帳!$F$2:$F$400&lt;&gt;"")*(機器台帳!$C$2:$C$400&lt;=10)*(機器台帳!$C$2:$C$400+機器台帳!$D$2:$D$400-1&gt;=10),0),0)))&amp;IF(SUMPRODUCT((機器台帳!$A$2:$A$400="E24-S8-4")*((機器台帳!$B$2:$B$400="背面")+(機器台帳!$B$2:$B$400="両面")&gt;0)*(機器台帳!$F$2:$F$400&lt;&gt;"")*(機器台帳!$C$2:$C$400&lt;=10)*(機器台帳!$C$2:$C$400+機器台帳!$D$2:$D$400-1&gt;=10))&gt;1," 他"&amp;(SUMPRODUCT((機器台帳!$A$2:$A$400="E24-S8-4")*((機器台帳!$B$2:$B$400="背面")+(機器台帳!$B$2:$B$400="両面")&gt;0)*(機器台帳!$F$2:$F$400&lt;&gt;"")*(機器台帳!$C$2:$C$400&lt;=10)*(機器台帳!$C$2:$C$400+機器台帳!$D$2:$D$400-1&gt;=10))-1)&amp;"台",""))</f>
        <v/>
      </c>
      <c r="Q41">
        <f>IF(SUMPRODUCT((機器台帳!$A$2:$A$400="E24-S8-4")*((機器台帳!$B$2:$B$400="背面")+(機器台帳!$B$2:$B$400="両面")&gt;0)*(機器台帳!$F$2:$F$400&lt;&gt;"")*(機器台帳!$C$2:$C$400&lt;=10)*(機器台帳!$C$2:$C$400+機器台帳!$D$2:$D$400-1&gt;=10))=0,"",INDEX(機器台帳!$I$2:$I$400,MATCH(1,INDEX((機器台帳!$A$2:$A$400="E24-S8-4")*((機器台帳!$B$2:$B$400="背面")+(機器台帳!$B$2:$B$400="両面")&gt;0)*(機器台帳!$F$2:$F$400&lt;&gt;"")*(機器台帳!$C$2:$C$400&lt;=10)*(機器台帳!$C$2:$C$400+機器台帳!$D$2:$D$400-1&gt;=10),0),0))&amp;IF(INDEX(機器台帳!$Y$2:$Y$400,MATCH(1,INDEX((機器台帳!$A$2:$A$400="E24-S8-4")*((機器台帳!$B$2:$B$400="背面")+(機器台帳!$B$2:$B$400="両面")&gt;0)*(機器台帳!$F$2:$F$400&lt;&gt;"")*(機器台帳!$C$2:$C$400&lt;=10)*(機器台帳!$C$2:$C$400+機器台帳!$D$2:$D$400-1&gt;=10),0),0))=0,"|未記入",""))</f>
        <v/>
      </c>
      <c r="R41" s="12">
        <f>IF(SUMPRODUCT((機器台帳!$A$2:$A$400="E24-S8-5")*((機器台帳!$B$2:$B$400="前面")+(機器台帳!$B$2:$B$400="両面")&gt;0)*(機器台帳!$F$2:$F$400&lt;&gt;"")*(機器台帳!$C$2:$C$400&lt;=10)*(機器台帳!$C$2:$C$400+機器台帳!$D$2:$D$400-1&gt;=10))=0,"",INDEX(機器台帳!$F$2:$F$400,MATCH(1,INDEX((機器台帳!$A$2:$A$400="E24-S8-5")*((機器台帳!$B$2:$B$400="前面")+(機器台帳!$B$2:$B$400="両面")&gt;0)*(機器台帳!$F$2:$F$400&lt;&gt;"")*(機器台帳!$C$2:$C$400&lt;=10)*(機器台帳!$C$2:$C$400+機器台帳!$D$2:$D$400-1&gt;=10),0),0))&amp;IF(INDEX(機器台帳!$G$2:$G$400,MATCH(1,INDEX((機器台帳!$A$2:$A$400="E24-S8-5")*((機器台帳!$B$2:$B$400="前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-5")*((機器台帳!$B$2:$B$400="前面")+(機器台帳!$B$2:$B$400="両面")&gt;0)*(機器台帳!$F$2:$F$400&lt;&gt;"")*(機器台帳!$C$2:$C$400&lt;=10)*(機器台帳!$C$2:$C$400+機器台帳!$D$2:$D$400-1&gt;=10),0),0)))&amp;IF(SUMPRODUCT((機器台帳!$A$2:$A$400="E24-S8-5")*((機器台帳!$B$2:$B$400="前面")+(機器台帳!$B$2:$B$400="両面")&gt;0)*(機器台帳!$F$2:$F$400&lt;&gt;"")*(機器台帳!$C$2:$C$400&lt;=10)*(機器台帳!$C$2:$C$400+機器台帳!$D$2:$D$400-1&gt;=10))&gt;1," 他"&amp;(SUMPRODUCT((機器台帳!$A$2:$A$400="E24-S8-5")*((機器台帳!$B$2:$B$400="前面")+(機器台帳!$B$2:$B$400="両面")&gt;0)*(機器台帳!$F$2:$F$400&lt;&gt;"")*(機器台帳!$C$2:$C$400&lt;=10)*(機器台帳!$C$2:$C$400+機器台帳!$D$2:$D$400-1&gt;=10))-1)&amp;"台",""))</f>
        <v/>
      </c>
      <c r="S41">
        <f>IF(SUMPRODUCT((機器台帳!$A$2:$A$400="E24-S8-5")*((機器台帳!$B$2:$B$400="前面")+(機器台帳!$B$2:$B$400="両面")&gt;0)*(機器台帳!$F$2:$F$400&lt;&gt;"")*(機器台帳!$C$2:$C$400&lt;=10)*(機器台帳!$C$2:$C$400+機器台帳!$D$2:$D$400-1&gt;=10))=0,"",INDEX(機器台帳!$I$2:$I$400,MATCH(1,INDEX((機器台帳!$A$2:$A$400="E24-S8-5")*((機器台帳!$B$2:$B$400="前面")+(機器台帳!$B$2:$B$400="両面")&gt;0)*(機器台帳!$F$2:$F$400&lt;&gt;"")*(機器台帳!$C$2:$C$400&lt;=10)*(機器台帳!$C$2:$C$400+機器台帳!$D$2:$D$400-1&gt;=10),0),0))&amp;IF(INDEX(機器台帳!$Y$2:$Y$400,MATCH(1,INDEX((機器台帳!$A$2:$A$400="E24-S8-5")*((機器台帳!$B$2:$B$400="前面")+(機器台帳!$B$2:$B$400="両面")&gt;0)*(機器台帳!$F$2:$F$400&lt;&gt;"")*(機器台帳!$C$2:$C$400&lt;=10)*(機器台帳!$C$2:$C$400+機器台帳!$D$2:$D$400-1&gt;=10),0),0))=0,"|未記入",""))</f>
        <v/>
      </c>
      <c r="T41" s="12">
        <f>IF(SUMPRODUCT((機器台帳!$A$2:$A$400="E24-S8-5")*((機器台帳!$B$2:$B$400="背面")+(機器台帳!$B$2:$B$400="両面")&gt;0)*(機器台帳!$F$2:$F$400&lt;&gt;"")*(機器台帳!$C$2:$C$400&lt;=10)*(機器台帳!$C$2:$C$400+機器台帳!$D$2:$D$400-1&gt;=10))=0,"",INDEX(機器台帳!$F$2:$F$400,MATCH(1,INDEX((機器台帳!$A$2:$A$400="E24-S8-5")*((機器台帳!$B$2:$B$400="背面")+(機器台帳!$B$2:$B$400="両面")&gt;0)*(機器台帳!$F$2:$F$400&lt;&gt;"")*(機器台帳!$C$2:$C$400&lt;=10)*(機器台帳!$C$2:$C$400+機器台帳!$D$2:$D$400-1&gt;=10),0),0))&amp;IF(INDEX(機器台帳!$G$2:$G$400,MATCH(1,INDEX((機器台帳!$A$2:$A$400="E24-S8-5")*((機器台帳!$B$2:$B$400="背面")+(機器台帳!$B$2:$B$400="両面")&gt;0)*(機器台帳!$F$2:$F$400&lt;&gt;"")*(機器台帳!$C$2:$C$400&lt;=10)*(機器台帳!$C$2:$C$400+機器台帳!$D$2:$D$400-1&gt;=10),0),0))=""," "," "&amp;INDEX(機器台帳!$G$2:$G$400,MATCH(1,INDEX((機器台帳!$A$2:$A$400="E24-S8-5")*((機器台帳!$B$2:$B$400="背面")+(機器台帳!$B$2:$B$400="両面")&gt;0)*(機器台帳!$F$2:$F$400&lt;&gt;"")*(機器台帳!$C$2:$C$400&lt;=10)*(機器台帳!$C$2:$C$400+機器台帳!$D$2:$D$400-1&gt;=10),0),0)))&amp;IF(SUMPRODUCT((機器台帳!$A$2:$A$400="E24-S8-5")*((機器台帳!$B$2:$B$400="背面")+(機器台帳!$B$2:$B$400="両面")&gt;0)*(機器台帳!$F$2:$F$400&lt;&gt;"")*(機器台帳!$C$2:$C$400&lt;=10)*(機器台帳!$C$2:$C$400+機器台帳!$D$2:$D$400-1&gt;=10))&gt;1," 他"&amp;(SUMPRODUCT((機器台帳!$A$2:$A$400="E24-S8-5")*((機器台帳!$B$2:$B$400="背面")+(機器台帳!$B$2:$B$400="両面")&gt;0)*(機器台帳!$F$2:$F$400&lt;&gt;"")*(機器台帳!$C$2:$C$400&lt;=10)*(機器台帳!$C$2:$C$400+機器台帳!$D$2:$D$400-1&gt;=10))-1)&amp;"台",""))</f>
        <v/>
      </c>
      <c r="U41">
        <f>IF(SUMPRODUCT((機器台帳!$A$2:$A$400="E24-S8-5")*((機器台帳!$B$2:$B$400="背面")+(機器台帳!$B$2:$B$400="両面")&gt;0)*(機器台帳!$F$2:$F$400&lt;&gt;"")*(機器台帳!$C$2:$C$400&lt;=10)*(機器台帳!$C$2:$C$400+機器台帳!$D$2:$D$400-1&gt;=10))=0,"",INDEX(機器台帳!$I$2:$I$400,MATCH(1,INDEX((機器台帳!$A$2:$A$400="E24-S8-5")*((機器台帳!$B$2:$B$400="背面")+(機器台帳!$B$2:$B$400="両面")&gt;0)*(機器台帳!$F$2:$F$400&lt;&gt;"")*(機器台帳!$C$2:$C$400&lt;=10)*(機器台帳!$C$2:$C$400+機器台帳!$D$2:$D$400-1&gt;=10),0),0))&amp;IF(INDEX(機器台帳!$Y$2:$Y$400,MATCH(1,INDEX((機器台帳!$A$2:$A$400="E24-S8-5")*((機器台帳!$B$2:$B$400="背面")+(機器台帳!$B$2:$B$400="両面")&gt;0)*(機器台帳!$F$2:$F$400&lt;&gt;"")*(機器台帳!$C$2:$C$400&lt;=10)*(機器台帳!$C$2:$C$400+機器台帳!$D$2:$D$400-1&gt;=10),0),0))=0,"|未記入",""))</f>
        <v/>
      </c>
      <c r="V41" s="12">
        <f>IF(SUMPRODUCT((機器台帳!$A$2:$A$400="E24-S6-1")*((機器台帳!$B$2:$B$400="前面")+(機器台帳!$B$2:$B$400="両面")&gt;0)*(機器台帳!$F$2:$F$400&lt;&gt;"")*(機器台帳!$C$2:$C$400&lt;=10)*(機器台帳!$C$2:$C$400+機器台帳!$D$2:$D$400-1&gt;=10))=0,"",INDEX(機器台帳!$F$2:$F$400,MATCH(1,INDEX((機器台帳!$A$2:$A$400="E24-S6-1")*((機器台帳!$B$2:$B$400="前面")+(機器台帳!$B$2:$B$400="両面")&gt;0)*(機器台帳!$F$2:$F$400&lt;&gt;"")*(機器台帳!$C$2:$C$400&lt;=10)*(機器台帳!$C$2:$C$400+機器台帳!$D$2:$D$400-1&gt;=10),0),0))&amp;IF(INDEX(機器台帳!$G$2:$G$400,MATCH(1,INDEX((機器台帳!$A$2:$A$400="E24-S6-1")*((機器台帳!$B$2:$B$400="前面")+(機器台帳!$B$2:$B$400="両面")&gt;0)*(機器台帳!$F$2:$F$400&lt;&gt;"")*(機器台帳!$C$2:$C$400&lt;=10)*(機器台帳!$C$2:$C$400+機器台帳!$D$2:$D$400-1&gt;=10),0),0))=""," "," "&amp;INDEX(機器台帳!$G$2:$G$400,MATCH(1,INDEX((機器台帳!$A$2:$A$400="E24-S6-1")*((機器台帳!$B$2:$B$400="前面")+(機器台帳!$B$2:$B$400="両面")&gt;0)*(機器台帳!$F$2:$F$400&lt;&gt;"")*(機器台帳!$C$2:$C$400&lt;=10)*(機器台帳!$C$2:$C$400+機器台帳!$D$2:$D$400-1&gt;=10),0),0)))&amp;IF(SUMPRODUCT((機器台帳!$A$2:$A$400="E24-S6-1")*((機器台帳!$B$2:$B$400="前面")+(機器台帳!$B$2:$B$400="両面")&gt;0)*(機器台帳!$F$2:$F$400&lt;&gt;"")*(機器台帳!$C$2:$C$400&lt;=10)*(機器台帳!$C$2:$C$400+機器台帳!$D$2:$D$400-1&gt;=10))&gt;1," 他"&amp;(SUMPRODUCT((機器台帳!$A$2:$A$400="E24-S6-1")*((機器台帳!$B$2:$B$400="前面")+(機器台帳!$B$2:$B$400="両面")&gt;0)*(機器台帳!$F$2:$F$400&lt;&gt;"")*(機器台帳!$C$2:$C$400&lt;=10)*(機器台帳!$C$2:$C$400+機器台帳!$D$2:$D$400-1&gt;=10))-1)&amp;"台",""))</f>
        <v/>
      </c>
      <c r="W41">
        <f>IF(SUMPRODUCT((機器台帳!$A$2:$A$400="E24-S6-1")*((機器台帳!$B$2:$B$400="前面")+(機器台帳!$B$2:$B$400="両面")&gt;0)*(機器台帳!$F$2:$F$400&lt;&gt;"")*(機器台帳!$C$2:$C$400&lt;=10)*(機器台帳!$C$2:$C$400+機器台帳!$D$2:$D$400-1&gt;=10))=0,"",INDEX(機器台帳!$I$2:$I$400,MATCH(1,INDEX((機器台帳!$A$2:$A$400="E24-S6-1")*((機器台帳!$B$2:$B$400="前面")+(機器台帳!$B$2:$B$400="両面")&gt;0)*(機器台帳!$F$2:$F$400&lt;&gt;"")*(機器台帳!$C$2:$C$400&lt;=10)*(機器台帳!$C$2:$C$400+機器台帳!$D$2:$D$400-1&gt;=10),0),0))&amp;IF(INDEX(機器台帳!$Y$2:$Y$400,MATCH(1,INDEX((機器台帳!$A$2:$A$400="E24-S6-1")*((機器台帳!$B$2:$B$400="前面")+(機器台帳!$B$2:$B$400="両面")&gt;0)*(機器台帳!$F$2:$F$400&lt;&gt;"")*(機器台帳!$C$2:$C$400&lt;=10)*(機器台帳!$C$2:$C$400+機器台帳!$D$2:$D$400-1&gt;=10),0),0))=0,"|未記入",""))</f>
        <v/>
      </c>
      <c r="X41" s="12">
        <f>IF(SUMPRODUCT((機器台帳!$A$2:$A$400="E24-S6-1")*((機器台帳!$B$2:$B$400="背面")+(機器台帳!$B$2:$B$400="両面")&gt;0)*(機器台帳!$F$2:$F$400&lt;&gt;"")*(機器台帳!$C$2:$C$400&lt;=10)*(機器台帳!$C$2:$C$400+機器台帳!$D$2:$D$400-1&gt;=10))=0,"",INDEX(機器台帳!$F$2:$F$400,MATCH(1,INDEX((機器台帳!$A$2:$A$400="E24-S6-1")*((機器台帳!$B$2:$B$400="背面")+(機器台帳!$B$2:$B$400="両面")&gt;0)*(機器台帳!$F$2:$F$400&lt;&gt;"")*(機器台帳!$C$2:$C$400&lt;=10)*(機器台帳!$C$2:$C$400+機器台帳!$D$2:$D$400-1&gt;=10),0),0))&amp;IF(INDEX(機器台帳!$G$2:$G$400,MATCH(1,INDEX((機器台帳!$A$2:$A$400="E24-S6-1")*((機器台帳!$B$2:$B$400="背面")+(機器台帳!$B$2:$B$400="両面")&gt;0)*(機器台帳!$F$2:$F$400&lt;&gt;"")*(機器台帳!$C$2:$C$400&lt;=10)*(機器台帳!$C$2:$C$400+機器台帳!$D$2:$D$400-1&gt;=10),0),0))=""," "," "&amp;INDEX(機器台帳!$G$2:$G$400,MATCH(1,INDEX((機器台帳!$A$2:$A$400="E24-S6-1")*((機器台帳!$B$2:$B$400="背面")+(機器台帳!$B$2:$B$400="両面")&gt;0)*(機器台帳!$F$2:$F$400&lt;&gt;"")*(機器台帳!$C$2:$C$400&lt;=10)*(機器台帳!$C$2:$C$400+機器台帳!$D$2:$D$400-1&gt;=10),0),0)))&amp;IF(SUMPRODUCT((機器台帳!$A$2:$A$400="E24-S6-1")*((機器台帳!$B$2:$B$400="背面")+(機器台帳!$B$2:$B$400="両面")&gt;0)*(機器台帳!$F$2:$F$400&lt;&gt;"")*(機器台帳!$C$2:$C$400&lt;=10)*(機器台帳!$C$2:$C$400+機器台帳!$D$2:$D$400-1&gt;=10))&gt;1," 他"&amp;(SUMPRODUCT((機器台帳!$A$2:$A$400="E24-S6-1")*((機器台帳!$B$2:$B$400="背面")+(機器台帳!$B$2:$B$400="両面")&gt;0)*(機器台帳!$F$2:$F$400&lt;&gt;"")*(機器台帳!$C$2:$C$400&lt;=10)*(機器台帳!$C$2:$C$400+機器台帳!$D$2:$D$400-1&gt;=10))-1)&amp;"台",""))</f>
        <v/>
      </c>
      <c r="Y41">
        <f>IF(SUMPRODUCT((機器台帳!$A$2:$A$400="E24-S6-1")*((機器台帳!$B$2:$B$400="背面")+(機器台帳!$B$2:$B$400="両面")&gt;0)*(機器台帳!$F$2:$F$400&lt;&gt;"")*(機器台帳!$C$2:$C$400&lt;=10)*(機器台帳!$C$2:$C$400+機器台帳!$D$2:$D$400-1&gt;=10))=0,"",INDEX(機器台帳!$I$2:$I$400,MATCH(1,INDEX((機器台帳!$A$2:$A$400="E24-S6-1")*((機器台帳!$B$2:$B$400="背面")+(機器台帳!$B$2:$B$400="両面")&gt;0)*(機器台帳!$F$2:$F$400&lt;&gt;"")*(機器台帳!$C$2:$C$400&lt;=10)*(機器台帳!$C$2:$C$400+機器台帳!$D$2:$D$400-1&gt;=10),0),0))&amp;IF(INDEX(機器台帳!$Y$2:$Y$400,MATCH(1,INDEX((機器台帳!$A$2:$A$400="E24-S6-1")*((機器台帳!$B$2:$B$400="背面")+(機器台帳!$B$2:$B$400="両面")&gt;0)*(機器台帳!$F$2:$F$400&lt;&gt;"")*(機器台帳!$C$2:$C$400&lt;=10)*(機器台帳!$C$2:$C$400+機器台帳!$D$2:$D$400-1&gt;=10),0),0))=0,"|未記入",""))</f>
        <v/>
      </c>
    </row>
    <row r="42">
      <c r="A42" s="11" t="n">
        <v>9</v>
      </c>
      <c r="B42" s="12">
        <f>IF(SUMPRODUCT((機器台帳!$A$2:$A$400="E24-S8-1")*((機器台帳!$B$2:$B$400="前面")+(機器台帳!$B$2:$B$400="両面")&gt;0)*(機器台帳!$F$2:$F$400&lt;&gt;"")*(機器台帳!$C$2:$C$400&lt;=9)*(機器台帳!$C$2:$C$400+機器台帳!$D$2:$D$400-1&gt;=9))=0,"",INDEX(機器台帳!$F$2:$F$400,MATCH(1,INDEX((機器台帳!$A$2:$A$400="E24-S8-1")*((機器台帳!$B$2:$B$400="前面")+(機器台帳!$B$2:$B$400="両面")&gt;0)*(機器台帳!$F$2:$F$400&lt;&gt;"")*(機器台帳!$C$2:$C$400&lt;=9)*(機器台帳!$C$2:$C$400+機器台帳!$D$2:$D$400-1&gt;=9),0),0))&amp;IF(INDEX(機器台帳!$G$2:$G$400,MATCH(1,INDEX((機器台帳!$A$2:$A$400="E24-S8-1")*((機器台帳!$B$2:$B$400="前面")+(機器台帳!$B$2:$B$400="両面")&gt;0)*(機器台帳!$F$2:$F$400&lt;&gt;"")*(機器台帳!$C$2:$C$400&lt;=9)*(機器台帳!$C$2:$C$400+機器台帳!$D$2:$D$400-1&gt;=9),0),0))=""," "," "&amp;INDEX(機器台帳!$G$2:$G$400,MATCH(1,INDEX((機器台帳!$A$2:$A$400="E24-S8-1")*((機器台帳!$B$2:$B$400="前面")+(機器台帳!$B$2:$B$400="両面")&gt;0)*(機器台帳!$F$2:$F$400&lt;&gt;"")*(機器台帳!$C$2:$C$400&lt;=9)*(機器台帳!$C$2:$C$400+機器台帳!$D$2:$D$400-1&gt;=9),0),0)))&amp;IF(SUMPRODUCT((機器台帳!$A$2:$A$400="E24-S8-1")*((機器台帳!$B$2:$B$400="前面")+(機器台帳!$B$2:$B$400="両面")&gt;0)*(機器台帳!$F$2:$F$400&lt;&gt;"")*(機器台帳!$C$2:$C$400&lt;=9)*(機器台帳!$C$2:$C$400+機器台帳!$D$2:$D$400-1&gt;=9))&gt;1," 他"&amp;(SUMPRODUCT((機器台帳!$A$2:$A$400="E24-S8-1")*((機器台帳!$B$2:$B$400="前面")+(機器台帳!$B$2:$B$400="両面")&gt;0)*(機器台帳!$F$2:$F$400&lt;&gt;"")*(機器台帳!$C$2:$C$400&lt;=9)*(機器台帳!$C$2:$C$400+機器台帳!$D$2:$D$400-1&gt;=9))-1)&amp;"台",""))</f>
        <v/>
      </c>
      <c r="C42">
        <f>IF(SUMPRODUCT((機器台帳!$A$2:$A$400="E24-S8-1")*((機器台帳!$B$2:$B$400="前面")+(機器台帳!$B$2:$B$400="両面")&gt;0)*(機器台帳!$F$2:$F$400&lt;&gt;"")*(機器台帳!$C$2:$C$400&lt;=9)*(機器台帳!$C$2:$C$400+機器台帳!$D$2:$D$400-1&gt;=9))=0,"",INDEX(機器台帳!$I$2:$I$400,MATCH(1,INDEX((機器台帳!$A$2:$A$400="E24-S8-1")*((機器台帳!$B$2:$B$400="前面")+(機器台帳!$B$2:$B$400="両面")&gt;0)*(機器台帳!$F$2:$F$400&lt;&gt;"")*(機器台帳!$C$2:$C$400&lt;=9)*(機器台帳!$C$2:$C$400+機器台帳!$D$2:$D$400-1&gt;=9),0),0))&amp;IF(INDEX(機器台帳!$Y$2:$Y$400,MATCH(1,INDEX((機器台帳!$A$2:$A$400="E24-S8-1")*((機器台帳!$B$2:$B$400="前面")+(機器台帳!$B$2:$B$400="両面")&gt;0)*(機器台帳!$F$2:$F$400&lt;&gt;"")*(機器台帳!$C$2:$C$400&lt;=9)*(機器台帳!$C$2:$C$400+機器台帳!$D$2:$D$400-1&gt;=9),0),0))=0,"|未記入",""))</f>
        <v/>
      </c>
      <c r="D42" s="12">
        <f>IF(SUMPRODUCT((機器台帳!$A$2:$A$400="E24-S8-1")*((機器台帳!$B$2:$B$400="背面")+(機器台帳!$B$2:$B$400="両面")&gt;0)*(機器台帳!$F$2:$F$400&lt;&gt;"")*(機器台帳!$C$2:$C$400&lt;=9)*(機器台帳!$C$2:$C$400+機器台帳!$D$2:$D$400-1&gt;=9))=0,"",INDEX(機器台帳!$F$2:$F$400,MATCH(1,INDEX((機器台帳!$A$2:$A$400="E24-S8-1")*((機器台帳!$B$2:$B$400="背面")+(機器台帳!$B$2:$B$400="両面")&gt;0)*(機器台帳!$F$2:$F$400&lt;&gt;"")*(機器台帳!$C$2:$C$400&lt;=9)*(機器台帳!$C$2:$C$400+機器台帳!$D$2:$D$400-1&gt;=9),0),0))&amp;IF(INDEX(機器台帳!$G$2:$G$400,MATCH(1,INDEX((機器台帳!$A$2:$A$400="E24-S8-1")*((機器台帳!$B$2:$B$400="背面")+(機器台帳!$B$2:$B$400="両面")&gt;0)*(機器台帳!$F$2:$F$400&lt;&gt;"")*(機器台帳!$C$2:$C$400&lt;=9)*(機器台帳!$C$2:$C$400+機器台帳!$D$2:$D$400-1&gt;=9),0),0))=""," "," "&amp;INDEX(機器台帳!$G$2:$G$400,MATCH(1,INDEX((機器台帳!$A$2:$A$400="E24-S8-1")*((機器台帳!$B$2:$B$400="背面")+(機器台帳!$B$2:$B$400="両面")&gt;0)*(機器台帳!$F$2:$F$400&lt;&gt;"")*(機器台帳!$C$2:$C$400&lt;=9)*(機器台帳!$C$2:$C$400+機器台帳!$D$2:$D$400-1&gt;=9),0),0)))&amp;IF(SUMPRODUCT((機器台帳!$A$2:$A$400="E24-S8-1")*((機器台帳!$B$2:$B$400="背面")+(機器台帳!$B$2:$B$400="両面")&gt;0)*(機器台帳!$F$2:$F$400&lt;&gt;"")*(機器台帳!$C$2:$C$400&lt;=9)*(機器台帳!$C$2:$C$400+機器台帳!$D$2:$D$400-1&gt;=9))&gt;1," 他"&amp;(SUMPRODUCT((機器台帳!$A$2:$A$400="E24-S8-1")*((機器台帳!$B$2:$B$400="背面")+(機器台帳!$B$2:$B$400="両面")&gt;0)*(機器台帳!$F$2:$F$400&lt;&gt;"")*(機器台帳!$C$2:$C$400&lt;=9)*(機器台帳!$C$2:$C$400+機器台帳!$D$2:$D$400-1&gt;=9))-1)&amp;"台",""))</f>
        <v/>
      </c>
      <c r="E42">
        <f>IF(SUMPRODUCT((機器台帳!$A$2:$A$400="E24-S8-1")*((機器台帳!$B$2:$B$400="背面")+(機器台帳!$B$2:$B$400="両面")&gt;0)*(機器台帳!$F$2:$F$400&lt;&gt;"")*(機器台帳!$C$2:$C$400&lt;=9)*(機器台帳!$C$2:$C$400+機器台帳!$D$2:$D$400-1&gt;=9))=0,"",INDEX(機器台帳!$I$2:$I$400,MATCH(1,INDEX((機器台帳!$A$2:$A$400="E24-S8-1")*((機器台帳!$B$2:$B$400="背面")+(機器台帳!$B$2:$B$400="両面")&gt;0)*(機器台帳!$F$2:$F$400&lt;&gt;"")*(機器台帳!$C$2:$C$400&lt;=9)*(機器台帳!$C$2:$C$400+機器台帳!$D$2:$D$400-1&gt;=9),0),0))&amp;IF(INDEX(機器台帳!$Y$2:$Y$400,MATCH(1,INDEX((機器台帳!$A$2:$A$400="E24-S8-1")*((機器台帳!$B$2:$B$400="背面")+(機器台帳!$B$2:$B$400="両面")&gt;0)*(機器台帳!$F$2:$F$400&lt;&gt;"")*(機器台帳!$C$2:$C$400&lt;=9)*(機器台帳!$C$2:$C$400+機器台帳!$D$2:$D$400-1&gt;=9),0),0))=0,"|未記入",""))</f>
        <v/>
      </c>
      <c r="F42" s="12">
        <f>IF(SUMPRODUCT((機器台帳!$A$2:$A$400="E24-S8-2")*((機器台帳!$B$2:$B$400="前面")+(機器台帳!$B$2:$B$400="両面")&gt;0)*(機器台帳!$F$2:$F$400&lt;&gt;"")*(機器台帳!$C$2:$C$400&lt;=9)*(機器台帳!$C$2:$C$400+機器台帳!$D$2:$D$400-1&gt;=9))=0,"",INDEX(機器台帳!$F$2:$F$400,MATCH(1,INDEX((機器台帳!$A$2:$A$400="E24-S8-2")*((機器台帳!$B$2:$B$400="前面")+(機器台帳!$B$2:$B$400="両面")&gt;0)*(機器台帳!$F$2:$F$400&lt;&gt;"")*(機器台帳!$C$2:$C$400&lt;=9)*(機器台帳!$C$2:$C$400+機器台帳!$D$2:$D$400-1&gt;=9),0),0))&amp;IF(INDEX(機器台帳!$G$2:$G$400,MATCH(1,INDEX((機器台帳!$A$2:$A$400="E24-S8-2")*((機器台帳!$B$2:$B$400="前面")+(機器台帳!$B$2:$B$400="両面")&gt;0)*(機器台帳!$F$2:$F$400&lt;&gt;"")*(機器台帳!$C$2:$C$400&lt;=9)*(機器台帳!$C$2:$C$400+機器台帳!$D$2:$D$400-1&gt;=9),0),0))=""," "," "&amp;INDEX(機器台帳!$G$2:$G$400,MATCH(1,INDEX((機器台帳!$A$2:$A$400="E24-S8-2")*((機器台帳!$B$2:$B$400="前面")+(機器台帳!$B$2:$B$400="両面")&gt;0)*(機器台帳!$F$2:$F$400&lt;&gt;"")*(機器台帳!$C$2:$C$400&lt;=9)*(機器台帳!$C$2:$C$400+機器台帳!$D$2:$D$400-1&gt;=9),0),0)))&amp;IF(SUMPRODUCT((機器台帳!$A$2:$A$400="E24-S8-2")*((機器台帳!$B$2:$B$400="前面")+(機器台帳!$B$2:$B$400="両面")&gt;0)*(機器台帳!$F$2:$F$400&lt;&gt;"")*(機器台帳!$C$2:$C$400&lt;=9)*(機器台帳!$C$2:$C$400+機器台帳!$D$2:$D$400-1&gt;=9))&gt;1," 他"&amp;(SUMPRODUCT((機器台帳!$A$2:$A$400="E24-S8-2")*((機器台帳!$B$2:$B$400="前面")+(機器台帳!$B$2:$B$400="両面")&gt;0)*(機器台帳!$F$2:$F$400&lt;&gt;"")*(機器台帳!$C$2:$C$400&lt;=9)*(機器台帳!$C$2:$C$400+機器台帳!$D$2:$D$400-1&gt;=9))-1)&amp;"台",""))</f>
        <v/>
      </c>
      <c r="G42">
        <f>IF(SUMPRODUCT((機器台帳!$A$2:$A$400="E24-S8-2")*((機器台帳!$B$2:$B$400="前面")+(機器台帳!$B$2:$B$400="両面")&gt;0)*(機器台帳!$F$2:$F$400&lt;&gt;"")*(機器台帳!$C$2:$C$400&lt;=9)*(機器台帳!$C$2:$C$400+機器台帳!$D$2:$D$400-1&gt;=9))=0,"",INDEX(機器台帳!$I$2:$I$400,MATCH(1,INDEX((機器台帳!$A$2:$A$400="E24-S8-2")*((機器台帳!$B$2:$B$400="前面")+(機器台帳!$B$2:$B$400="両面")&gt;0)*(機器台帳!$F$2:$F$400&lt;&gt;"")*(機器台帳!$C$2:$C$400&lt;=9)*(機器台帳!$C$2:$C$400+機器台帳!$D$2:$D$400-1&gt;=9),0),0))&amp;IF(INDEX(機器台帳!$Y$2:$Y$400,MATCH(1,INDEX((機器台帳!$A$2:$A$400="E24-S8-2")*((機器台帳!$B$2:$B$400="前面")+(機器台帳!$B$2:$B$400="両面")&gt;0)*(機器台帳!$F$2:$F$400&lt;&gt;"")*(機器台帳!$C$2:$C$400&lt;=9)*(機器台帳!$C$2:$C$400+機器台帳!$D$2:$D$400-1&gt;=9),0),0))=0,"|未記入",""))</f>
        <v/>
      </c>
      <c r="H42" s="12">
        <f>IF(SUMPRODUCT((機器台帳!$A$2:$A$400="E24-S8-2")*((機器台帳!$B$2:$B$400="背面")+(機器台帳!$B$2:$B$400="両面")&gt;0)*(機器台帳!$F$2:$F$400&lt;&gt;"")*(機器台帳!$C$2:$C$400&lt;=9)*(機器台帳!$C$2:$C$400+機器台帳!$D$2:$D$400-1&gt;=9))=0,"",INDEX(機器台帳!$F$2:$F$400,MATCH(1,INDEX((機器台帳!$A$2:$A$400="E24-S8-2")*((機器台帳!$B$2:$B$400="背面")+(機器台帳!$B$2:$B$400="両面")&gt;0)*(機器台帳!$F$2:$F$400&lt;&gt;"")*(機器台帳!$C$2:$C$400&lt;=9)*(機器台帳!$C$2:$C$400+機器台帳!$D$2:$D$400-1&gt;=9),0),0))&amp;IF(INDEX(機器台帳!$G$2:$G$400,MATCH(1,INDEX((機器台帳!$A$2:$A$400="E24-S8-2")*((機器台帳!$B$2:$B$400="背面")+(機器台帳!$B$2:$B$400="両面")&gt;0)*(機器台帳!$F$2:$F$400&lt;&gt;"")*(機器台帳!$C$2:$C$400&lt;=9)*(機器台帳!$C$2:$C$400+機器台帳!$D$2:$D$400-1&gt;=9),0),0))=""," "," "&amp;INDEX(機器台帳!$G$2:$G$400,MATCH(1,INDEX((機器台帳!$A$2:$A$400="E24-S8-2")*((機器台帳!$B$2:$B$400="背面")+(機器台帳!$B$2:$B$400="両面")&gt;0)*(機器台帳!$F$2:$F$400&lt;&gt;"")*(機器台帳!$C$2:$C$400&lt;=9)*(機器台帳!$C$2:$C$400+機器台帳!$D$2:$D$400-1&gt;=9),0),0)))&amp;IF(SUMPRODUCT((機器台帳!$A$2:$A$400="E24-S8-2")*((機器台帳!$B$2:$B$400="背面")+(機器台帳!$B$2:$B$400="両面")&gt;0)*(機器台帳!$F$2:$F$400&lt;&gt;"")*(機器台帳!$C$2:$C$400&lt;=9)*(機器台帳!$C$2:$C$400+機器台帳!$D$2:$D$400-1&gt;=9))&gt;1," 他"&amp;(SUMPRODUCT((機器台帳!$A$2:$A$400="E24-S8-2")*((機器台帳!$B$2:$B$400="背面")+(機器台帳!$B$2:$B$400="両面")&gt;0)*(機器台帳!$F$2:$F$400&lt;&gt;"")*(機器台帳!$C$2:$C$400&lt;=9)*(機器台帳!$C$2:$C$400+機器台帳!$D$2:$D$400-1&gt;=9))-1)&amp;"台",""))</f>
        <v/>
      </c>
      <c r="I42">
        <f>IF(SUMPRODUCT((機器台帳!$A$2:$A$400="E24-S8-2")*((機器台帳!$B$2:$B$400="背面")+(機器台帳!$B$2:$B$400="両面")&gt;0)*(機器台帳!$F$2:$F$400&lt;&gt;"")*(機器台帳!$C$2:$C$400&lt;=9)*(機器台帳!$C$2:$C$400+機器台帳!$D$2:$D$400-1&gt;=9))=0,"",INDEX(機器台帳!$I$2:$I$400,MATCH(1,INDEX((機器台帳!$A$2:$A$400="E24-S8-2")*((機器台帳!$B$2:$B$400="背面")+(機器台帳!$B$2:$B$400="両面")&gt;0)*(機器台帳!$F$2:$F$400&lt;&gt;"")*(機器台帳!$C$2:$C$400&lt;=9)*(機器台帳!$C$2:$C$400+機器台帳!$D$2:$D$400-1&gt;=9),0),0))&amp;IF(INDEX(機器台帳!$Y$2:$Y$400,MATCH(1,INDEX((機器台帳!$A$2:$A$400="E24-S8-2")*((機器台帳!$B$2:$B$400="背面")+(機器台帳!$B$2:$B$400="両面")&gt;0)*(機器台帳!$F$2:$F$400&lt;&gt;"")*(機器台帳!$C$2:$C$400&lt;=9)*(機器台帳!$C$2:$C$400+機器台帳!$D$2:$D$400-1&gt;=9),0),0))=0,"|未記入",""))</f>
        <v/>
      </c>
      <c r="J42" s="12">
        <f>IF(SUMPRODUCT((機器台帳!$A$2:$A$400="E24-S8-3")*((機器台帳!$B$2:$B$400="前面")+(機器台帳!$B$2:$B$400="両面")&gt;0)*(機器台帳!$F$2:$F$400&lt;&gt;"")*(機器台帳!$C$2:$C$400&lt;=9)*(機器台帳!$C$2:$C$400+機器台帳!$D$2:$D$400-1&gt;=9))=0,"",INDEX(機器台帳!$F$2:$F$400,MATCH(1,INDEX((機器台帳!$A$2:$A$400="E24-S8-3")*((機器台帳!$B$2:$B$400="前面")+(機器台帳!$B$2:$B$400="両面")&gt;0)*(機器台帳!$F$2:$F$400&lt;&gt;"")*(機器台帳!$C$2:$C$400&lt;=9)*(機器台帳!$C$2:$C$400+機器台帳!$D$2:$D$400-1&gt;=9),0),0))&amp;IF(INDEX(機器台帳!$G$2:$G$400,MATCH(1,INDEX((機器台帳!$A$2:$A$400="E24-S8-3")*((機器台帳!$B$2:$B$400="前面")+(機器台帳!$B$2:$B$400="両面")&gt;0)*(機器台帳!$F$2:$F$400&lt;&gt;"")*(機器台帳!$C$2:$C$400&lt;=9)*(機器台帳!$C$2:$C$400+機器台帳!$D$2:$D$400-1&gt;=9),0),0))=""," "," "&amp;INDEX(機器台帳!$G$2:$G$400,MATCH(1,INDEX((機器台帳!$A$2:$A$400="E24-S8-3")*((機器台帳!$B$2:$B$400="前面")+(機器台帳!$B$2:$B$400="両面")&gt;0)*(機器台帳!$F$2:$F$400&lt;&gt;"")*(機器台帳!$C$2:$C$400&lt;=9)*(機器台帳!$C$2:$C$400+機器台帳!$D$2:$D$400-1&gt;=9),0),0)))&amp;IF(SUMPRODUCT((機器台帳!$A$2:$A$400="E24-S8-3")*((機器台帳!$B$2:$B$400="前面")+(機器台帳!$B$2:$B$400="両面")&gt;0)*(機器台帳!$F$2:$F$400&lt;&gt;"")*(機器台帳!$C$2:$C$400&lt;=9)*(機器台帳!$C$2:$C$400+機器台帳!$D$2:$D$400-1&gt;=9))&gt;1," 他"&amp;(SUMPRODUCT((機器台帳!$A$2:$A$400="E24-S8-3")*((機器台帳!$B$2:$B$400="前面")+(機器台帳!$B$2:$B$400="両面")&gt;0)*(機器台帳!$F$2:$F$400&lt;&gt;"")*(機器台帳!$C$2:$C$400&lt;=9)*(機器台帳!$C$2:$C$400+機器台帳!$D$2:$D$400-1&gt;=9))-1)&amp;"台",""))</f>
        <v/>
      </c>
      <c r="K42">
        <f>IF(SUMPRODUCT((機器台帳!$A$2:$A$400="E24-S8-3")*((機器台帳!$B$2:$B$400="前面")+(機器台帳!$B$2:$B$400="両面")&gt;0)*(機器台帳!$F$2:$F$400&lt;&gt;"")*(機器台帳!$C$2:$C$400&lt;=9)*(機器台帳!$C$2:$C$400+機器台帳!$D$2:$D$400-1&gt;=9))=0,"",INDEX(機器台帳!$I$2:$I$400,MATCH(1,INDEX((機器台帳!$A$2:$A$400="E24-S8-3")*((機器台帳!$B$2:$B$400="前面")+(機器台帳!$B$2:$B$400="両面")&gt;0)*(機器台帳!$F$2:$F$400&lt;&gt;"")*(機器台帳!$C$2:$C$400&lt;=9)*(機器台帳!$C$2:$C$400+機器台帳!$D$2:$D$400-1&gt;=9),0),0))&amp;IF(INDEX(機器台帳!$Y$2:$Y$400,MATCH(1,INDEX((機器台帳!$A$2:$A$400="E24-S8-3")*((機器台帳!$B$2:$B$400="前面")+(機器台帳!$B$2:$B$400="両面")&gt;0)*(機器台帳!$F$2:$F$400&lt;&gt;"")*(機器台帳!$C$2:$C$400&lt;=9)*(機器台帳!$C$2:$C$400+機器台帳!$D$2:$D$400-1&gt;=9),0),0))=0,"|未記入",""))</f>
        <v/>
      </c>
      <c r="L42" s="12">
        <f>IF(SUMPRODUCT((機器台帳!$A$2:$A$400="E24-S8-3")*((機器台帳!$B$2:$B$400="背面")+(機器台帳!$B$2:$B$400="両面")&gt;0)*(機器台帳!$F$2:$F$400&lt;&gt;"")*(機器台帳!$C$2:$C$400&lt;=9)*(機器台帳!$C$2:$C$400+機器台帳!$D$2:$D$400-1&gt;=9))=0,"",INDEX(機器台帳!$F$2:$F$400,MATCH(1,INDEX((機器台帳!$A$2:$A$400="E24-S8-3")*((機器台帳!$B$2:$B$400="背面")+(機器台帳!$B$2:$B$400="両面")&gt;0)*(機器台帳!$F$2:$F$400&lt;&gt;"")*(機器台帳!$C$2:$C$400&lt;=9)*(機器台帳!$C$2:$C$400+機器台帳!$D$2:$D$400-1&gt;=9),0),0))&amp;IF(INDEX(機器台帳!$G$2:$G$400,MATCH(1,INDEX((機器台帳!$A$2:$A$400="E24-S8-3")*((機器台帳!$B$2:$B$400="背面")+(機器台帳!$B$2:$B$400="両面")&gt;0)*(機器台帳!$F$2:$F$400&lt;&gt;"")*(機器台帳!$C$2:$C$400&lt;=9)*(機器台帳!$C$2:$C$400+機器台帳!$D$2:$D$400-1&gt;=9),0),0))=""," "," "&amp;INDEX(機器台帳!$G$2:$G$400,MATCH(1,INDEX((機器台帳!$A$2:$A$400="E24-S8-3")*((機器台帳!$B$2:$B$400="背面")+(機器台帳!$B$2:$B$400="両面")&gt;0)*(機器台帳!$F$2:$F$400&lt;&gt;"")*(機器台帳!$C$2:$C$400&lt;=9)*(機器台帳!$C$2:$C$400+機器台帳!$D$2:$D$400-1&gt;=9),0),0)))&amp;IF(SUMPRODUCT((機器台帳!$A$2:$A$400="E24-S8-3")*((機器台帳!$B$2:$B$400="背面")+(機器台帳!$B$2:$B$400="両面")&gt;0)*(機器台帳!$F$2:$F$400&lt;&gt;"")*(機器台帳!$C$2:$C$400&lt;=9)*(機器台帳!$C$2:$C$400+機器台帳!$D$2:$D$400-1&gt;=9))&gt;1," 他"&amp;(SUMPRODUCT((機器台帳!$A$2:$A$400="E24-S8-3")*((機器台帳!$B$2:$B$400="背面")+(機器台帳!$B$2:$B$400="両面")&gt;0)*(機器台帳!$F$2:$F$400&lt;&gt;"")*(機器台帳!$C$2:$C$400&lt;=9)*(機器台帳!$C$2:$C$400+機器台帳!$D$2:$D$400-1&gt;=9))-1)&amp;"台",""))</f>
        <v/>
      </c>
      <c r="M42">
        <f>IF(SUMPRODUCT((機器台帳!$A$2:$A$400="E24-S8-3")*((機器台帳!$B$2:$B$400="背面")+(機器台帳!$B$2:$B$400="両面")&gt;0)*(機器台帳!$F$2:$F$400&lt;&gt;"")*(機器台帳!$C$2:$C$400&lt;=9)*(機器台帳!$C$2:$C$400+機器台帳!$D$2:$D$400-1&gt;=9))=0,"",INDEX(機器台帳!$I$2:$I$400,MATCH(1,INDEX((機器台帳!$A$2:$A$400="E24-S8-3")*((機器台帳!$B$2:$B$400="背面")+(機器台帳!$B$2:$B$400="両面")&gt;0)*(機器台帳!$F$2:$F$400&lt;&gt;"")*(機器台帳!$C$2:$C$400&lt;=9)*(機器台帳!$C$2:$C$400+機器台帳!$D$2:$D$400-1&gt;=9),0),0))&amp;IF(INDEX(機器台帳!$Y$2:$Y$400,MATCH(1,INDEX((機器台帳!$A$2:$A$400="E24-S8-3")*((機器台帳!$B$2:$B$400="背面")+(機器台帳!$B$2:$B$400="両面")&gt;0)*(機器台帳!$F$2:$F$400&lt;&gt;"")*(機器台帳!$C$2:$C$400&lt;=9)*(機器台帳!$C$2:$C$400+機器台帳!$D$2:$D$400-1&gt;=9),0),0))=0,"|未記入",""))</f>
        <v/>
      </c>
      <c r="N42" s="12">
        <f>IF(SUMPRODUCT((機器台帳!$A$2:$A$400="E24-S8-4")*((機器台帳!$B$2:$B$400="前面")+(機器台帳!$B$2:$B$400="両面")&gt;0)*(機器台帳!$F$2:$F$400&lt;&gt;"")*(機器台帳!$C$2:$C$400&lt;=9)*(機器台帳!$C$2:$C$400+機器台帳!$D$2:$D$400-1&gt;=9))=0,"",INDEX(機器台帳!$F$2:$F$400,MATCH(1,INDEX((機器台帳!$A$2:$A$400="E24-S8-4")*((機器台帳!$B$2:$B$400="前面")+(機器台帳!$B$2:$B$400="両面")&gt;0)*(機器台帳!$F$2:$F$400&lt;&gt;"")*(機器台帳!$C$2:$C$400&lt;=9)*(機器台帳!$C$2:$C$400+機器台帳!$D$2:$D$400-1&gt;=9),0),0))&amp;IF(INDEX(機器台帳!$G$2:$G$400,MATCH(1,INDEX((機器台帳!$A$2:$A$400="E24-S8-4")*((機器台帳!$B$2:$B$400="前面")+(機器台帳!$B$2:$B$400="両面")&gt;0)*(機器台帳!$F$2:$F$400&lt;&gt;"")*(機器台帳!$C$2:$C$400&lt;=9)*(機器台帳!$C$2:$C$400+機器台帳!$D$2:$D$400-1&gt;=9),0),0))=""," "," "&amp;INDEX(機器台帳!$G$2:$G$400,MATCH(1,INDEX((機器台帳!$A$2:$A$400="E24-S8-4")*((機器台帳!$B$2:$B$400="前面")+(機器台帳!$B$2:$B$400="両面")&gt;0)*(機器台帳!$F$2:$F$400&lt;&gt;"")*(機器台帳!$C$2:$C$400&lt;=9)*(機器台帳!$C$2:$C$400+機器台帳!$D$2:$D$400-1&gt;=9),0),0)))&amp;IF(SUMPRODUCT((機器台帳!$A$2:$A$400="E24-S8-4")*((機器台帳!$B$2:$B$400="前面")+(機器台帳!$B$2:$B$400="両面")&gt;0)*(機器台帳!$F$2:$F$400&lt;&gt;"")*(機器台帳!$C$2:$C$400&lt;=9)*(機器台帳!$C$2:$C$400+機器台帳!$D$2:$D$400-1&gt;=9))&gt;1," 他"&amp;(SUMPRODUCT((機器台帳!$A$2:$A$400="E24-S8-4")*((機器台帳!$B$2:$B$400="前面")+(機器台帳!$B$2:$B$400="両面")&gt;0)*(機器台帳!$F$2:$F$400&lt;&gt;"")*(機器台帳!$C$2:$C$400&lt;=9)*(機器台帳!$C$2:$C$400+機器台帳!$D$2:$D$400-1&gt;=9))-1)&amp;"台",""))</f>
        <v/>
      </c>
      <c r="O42">
        <f>IF(SUMPRODUCT((機器台帳!$A$2:$A$400="E24-S8-4")*((機器台帳!$B$2:$B$400="前面")+(機器台帳!$B$2:$B$400="両面")&gt;0)*(機器台帳!$F$2:$F$400&lt;&gt;"")*(機器台帳!$C$2:$C$400&lt;=9)*(機器台帳!$C$2:$C$400+機器台帳!$D$2:$D$400-1&gt;=9))=0,"",INDEX(機器台帳!$I$2:$I$400,MATCH(1,INDEX((機器台帳!$A$2:$A$400="E24-S8-4")*((機器台帳!$B$2:$B$400="前面")+(機器台帳!$B$2:$B$400="両面")&gt;0)*(機器台帳!$F$2:$F$400&lt;&gt;"")*(機器台帳!$C$2:$C$400&lt;=9)*(機器台帳!$C$2:$C$400+機器台帳!$D$2:$D$400-1&gt;=9),0),0))&amp;IF(INDEX(機器台帳!$Y$2:$Y$400,MATCH(1,INDEX((機器台帳!$A$2:$A$400="E24-S8-4")*((機器台帳!$B$2:$B$400="前面")+(機器台帳!$B$2:$B$400="両面")&gt;0)*(機器台帳!$F$2:$F$400&lt;&gt;"")*(機器台帳!$C$2:$C$400&lt;=9)*(機器台帳!$C$2:$C$400+機器台帳!$D$2:$D$400-1&gt;=9),0),0))=0,"|未記入",""))</f>
        <v/>
      </c>
      <c r="P42" s="12">
        <f>IF(SUMPRODUCT((機器台帳!$A$2:$A$400="E24-S8-4")*((機器台帳!$B$2:$B$400="背面")+(機器台帳!$B$2:$B$400="両面")&gt;0)*(機器台帳!$F$2:$F$400&lt;&gt;"")*(機器台帳!$C$2:$C$400&lt;=9)*(機器台帳!$C$2:$C$400+機器台帳!$D$2:$D$400-1&gt;=9))=0,"",INDEX(機器台帳!$F$2:$F$400,MATCH(1,INDEX((機器台帳!$A$2:$A$400="E24-S8-4")*((機器台帳!$B$2:$B$400="背面")+(機器台帳!$B$2:$B$400="両面")&gt;0)*(機器台帳!$F$2:$F$400&lt;&gt;"")*(機器台帳!$C$2:$C$400&lt;=9)*(機器台帳!$C$2:$C$400+機器台帳!$D$2:$D$400-1&gt;=9),0),0))&amp;IF(INDEX(機器台帳!$G$2:$G$400,MATCH(1,INDEX((機器台帳!$A$2:$A$400="E24-S8-4")*((機器台帳!$B$2:$B$400="背面")+(機器台帳!$B$2:$B$400="両面")&gt;0)*(機器台帳!$F$2:$F$400&lt;&gt;"")*(機器台帳!$C$2:$C$400&lt;=9)*(機器台帳!$C$2:$C$400+機器台帳!$D$2:$D$400-1&gt;=9),0),0))=""," "," "&amp;INDEX(機器台帳!$G$2:$G$400,MATCH(1,INDEX((機器台帳!$A$2:$A$400="E24-S8-4")*((機器台帳!$B$2:$B$400="背面")+(機器台帳!$B$2:$B$400="両面")&gt;0)*(機器台帳!$F$2:$F$400&lt;&gt;"")*(機器台帳!$C$2:$C$400&lt;=9)*(機器台帳!$C$2:$C$400+機器台帳!$D$2:$D$400-1&gt;=9),0),0)))&amp;IF(SUMPRODUCT((機器台帳!$A$2:$A$400="E24-S8-4")*((機器台帳!$B$2:$B$400="背面")+(機器台帳!$B$2:$B$400="両面")&gt;0)*(機器台帳!$F$2:$F$400&lt;&gt;"")*(機器台帳!$C$2:$C$400&lt;=9)*(機器台帳!$C$2:$C$400+機器台帳!$D$2:$D$400-1&gt;=9))&gt;1," 他"&amp;(SUMPRODUCT((機器台帳!$A$2:$A$400="E24-S8-4")*((機器台帳!$B$2:$B$400="背面")+(機器台帳!$B$2:$B$400="両面")&gt;0)*(機器台帳!$F$2:$F$400&lt;&gt;"")*(機器台帳!$C$2:$C$400&lt;=9)*(機器台帳!$C$2:$C$400+機器台帳!$D$2:$D$400-1&gt;=9))-1)&amp;"台",""))</f>
        <v/>
      </c>
      <c r="Q42">
        <f>IF(SUMPRODUCT((機器台帳!$A$2:$A$400="E24-S8-4")*((機器台帳!$B$2:$B$400="背面")+(機器台帳!$B$2:$B$400="両面")&gt;0)*(機器台帳!$F$2:$F$400&lt;&gt;"")*(機器台帳!$C$2:$C$400&lt;=9)*(機器台帳!$C$2:$C$400+機器台帳!$D$2:$D$400-1&gt;=9))=0,"",INDEX(機器台帳!$I$2:$I$400,MATCH(1,INDEX((機器台帳!$A$2:$A$400="E24-S8-4")*((機器台帳!$B$2:$B$400="背面")+(機器台帳!$B$2:$B$400="両面")&gt;0)*(機器台帳!$F$2:$F$400&lt;&gt;"")*(機器台帳!$C$2:$C$400&lt;=9)*(機器台帳!$C$2:$C$400+機器台帳!$D$2:$D$400-1&gt;=9),0),0))&amp;IF(INDEX(機器台帳!$Y$2:$Y$400,MATCH(1,INDEX((機器台帳!$A$2:$A$400="E24-S8-4")*((機器台帳!$B$2:$B$400="背面")+(機器台帳!$B$2:$B$400="両面")&gt;0)*(機器台帳!$F$2:$F$400&lt;&gt;"")*(機器台帳!$C$2:$C$400&lt;=9)*(機器台帳!$C$2:$C$400+機器台帳!$D$2:$D$400-1&gt;=9),0),0))=0,"|未記入",""))</f>
        <v/>
      </c>
      <c r="R42" s="12">
        <f>IF(SUMPRODUCT((機器台帳!$A$2:$A$400="E24-S8-5")*((機器台帳!$B$2:$B$400="前面")+(機器台帳!$B$2:$B$400="両面")&gt;0)*(機器台帳!$F$2:$F$400&lt;&gt;"")*(機器台帳!$C$2:$C$400&lt;=9)*(機器台帳!$C$2:$C$400+機器台帳!$D$2:$D$400-1&gt;=9))=0,"",INDEX(機器台帳!$F$2:$F$400,MATCH(1,INDEX((機器台帳!$A$2:$A$400="E24-S8-5")*((機器台帳!$B$2:$B$400="前面")+(機器台帳!$B$2:$B$400="両面")&gt;0)*(機器台帳!$F$2:$F$400&lt;&gt;"")*(機器台帳!$C$2:$C$400&lt;=9)*(機器台帳!$C$2:$C$400+機器台帳!$D$2:$D$400-1&gt;=9),0),0))&amp;IF(INDEX(機器台帳!$G$2:$G$400,MATCH(1,INDEX((機器台帳!$A$2:$A$400="E24-S8-5")*((機器台帳!$B$2:$B$400="前面")+(機器台帳!$B$2:$B$400="両面")&gt;0)*(機器台帳!$F$2:$F$400&lt;&gt;"")*(機器台帳!$C$2:$C$400&lt;=9)*(機器台帳!$C$2:$C$400+機器台帳!$D$2:$D$400-1&gt;=9),0),0))=""," "," "&amp;INDEX(機器台帳!$G$2:$G$400,MATCH(1,INDEX((機器台帳!$A$2:$A$400="E24-S8-5")*((機器台帳!$B$2:$B$400="前面")+(機器台帳!$B$2:$B$400="両面")&gt;0)*(機器台帳!$F$2:$F$400&lt;&gt;"")*(機器台帳!$C$2:$C$400&lt;=9)*(機器台帳!$C$2:$C$400+機器台帳!$D$2:$D$400-1&gt;=9),0),0)))&amp;IF(SUMPRODUCT((機器台帳!$A$2:$A$400="E24-S8-5")*((機器台帳!$B$2:$B$400="前面")+(機器台帳!$B$2:$B$400="両面")&gt;0)*(機器台帳!$F$2:$F$400&lt;&gt;"")*(機器台帳!$C$2:$C$400&lt;=9)*(機器台帳!$C$2:$C$400+機器台帳!$D$2:$D$400-1&gt;=9))&gt;1," 他"&amp;(SUMPRODUCT((機器台帳!$A$2:$A$400="E24-S8-5")*((機器台帳!$B$2:$B$400="前面")+(機器台帳!$B$2:$B$400="両面")&gt;0)*(機器台帳!$F$2:$F$400&lt;&gt;"")*(機器台帳!$C$2:$C$400&lt;=9)*(機器台帳!$C$2:$C$400+機器台帳!$D$2:$D$400-1&gt;=9))-1)&amp;"台",""))</f>
        <v/>
      </c>
      <c r="S42">
        <f>IF(SUMPRODUCT((機器台帳!$A$2:$A$400="E24-S8-5")*((機器台帳!$B$2:$B$400="前面")+(機器台帳!$B$2:$B$400="両面")&gt;0)*(機器台帳!$F$2:$F$400&lt;&gt;"")*(機器台帳!$C$2:$C$400&lt;=9)*(機器台帳!$C$2:$C$400+機器台帳!$D$2:$D$400-1&gt;=9))=0,"",INDEX(機器台帳!$I$2:$I$400,MATCH(1,INDEX((機器台帳!$A$2:$A$400="E24-S8-5")*((機器台帳!$B$2:$B$400="前面")+(機器台帳!$B$2:$B$400="両面")&gt;0)*(機器台帳!$F$2:$F$400&lt;&gt;"")*(機器台帳!$C$2:$C$400&lt;=9)*(機器台帳!$C$2:$C$400+機器台帳!$D$2:$D$400-1&gt;=9),0),0))&amp;IF(INDEX(機器台帳!$Y$2:$Y$400,MATCH(1,INDEX((機器台帳!$A$2:$A$400="E24-S8-5")*((機器台帳!$B$2:$B$400="前面")+(機器台帳!$B$2:$B$400="両面")&gt;0)*(機器台帳!$F$2:$F$400&lt;&gt;"")*(機器台帳!$C$2:$C$400&lt;=9)*(機器台帳!$C$2:$C$400+機器台帳!$D$2:$D$400-1&gt;=9),0),0))=0,"|未記入",""))</f>
        <v/>
      </c>
      <c r="T42" s="12">
        <f>IF(SUMPRODUCT((機器台帳!$A$2:$A$400="E24-S8-5")*((機器台帳!$B$2:$B$400="背面")+(機器台帳!$B$2:$B$400="両面")&gt;0)*(機器台帳!$F$2:$F$400&lt;&gt;"")*(機器台帳!$C$2:$C$400&lt;=9)*(機器台帳!$C$2:$C$400+機器台帳!$D$2:$D$400-1&gt;=9))=0,"",INDEX(機器台帳!$F$2:$F$400,MATCH(1,INDEX((機器台帳!$A$2:$A$400="E24-S8-5")*((機器台帳!$B$2:$B$400="背面")+(機器台帳!$B$2:$B$400="両面")&gt;0)*(機器台帳!$F$2:$F$400&lt;&gt;"")*(機器台帳!$C$2:$C$400&lt;=9)*(機器台帳!$C$2:$C$400+機器台帳!$D$2:$D$400-1&gt;=9),0),0))&amp;IF(INDEX(機器台帳!$G$2:$G$400,MATCH(1,INDEX((機器台帳!$A$2:$A$400="E24-S8-5")*((機器台帳!$B$2:$B$400="背面")+(機器台帳!$B$2:$B$400="両面")&gt;0)*(機器台帳!$F$2:$F$400&lt;&gt;"")*(機器台帳!$C$2:$C$400&lt;=9)*(機器台帳!$C$2:$C$400+機器台帳!$D$2:$D$400-1&gt;=9),0),0))=""," "," "&amp;INDEX(機器台帳!$G$2:$G$400,MATCH(1,INDEX((機器台帳!$A$2:$A$400="E24-S8-5")*((機器台帳!$B$2:$B$400="背面")+(機器台帳!$B$2:$B$400="両面")&gt;0)*(機器台帳!$F$2:$F$400&lt;&gt;"")*(機器台帳!$C$2:$C$400&lt;=9)*(機器台帳!$C$2:$C$400+機器台帳!$D$2:$D$400-1&gt;=9),0),0)))&amp;IF(SUMPRODUCT((機器台帳!$A$2:$A$400="E24-S8-5")*((機器台帳!$B$2:$B$400="背面")+(機器台帳!$B$2:$B$400="両面")&gt;0)*(機器台帳!$F$2:$F$400&lt;&gt;"")*(機器台帳!$C$2:$C$400&lt;=9)*(機器台帳!$C$2:$C$400+機器台帳!$D$2:$D$400-1&gt;=9))&gt;1," 他"&amp;(SUMPRODUCT((機器台帳!$A$2:$A$400="E24-S8-5")*((機器台帳!$B$2:$B$400="背面")+(機器台帳!$B$2:$B$400="両面")&gt;0)*(機器台帳!$F$2:$F$400&lt;&gt;"")*(機器台帳!$C$2:$C$400&lt;=9)*(機器台帳!$C$2:$C$400+機器台帳!$D$2:$D$400-1&gt;=9))-1)&amp;"台",""))</f>
        <v/>
      </c>
      <c r="U42">
        <f>IF(SUMPRODUCT((機器台帳!$A$2:$A$400="E24-S8-5")*((機器台帳!$B$2:$B$400="背面")+(機器台帳!$B$2:$B$400="両面")&gt;0)*(機器台帳!$F$2:$F$400&lt;&gt;"")*(機器台帳!$C$2:$C$400&lt;=9)*(機器台帳!$C$2:$C$400+機器台帳!$D$2:$D$400-1&gt;=9))=0,"",INDEX(機器台帳!$I$2:$I$400,MATCH(1,INDEX((機器台帳!$A$2:$A$400="E24-S8-5")*((機器台帳!$B$2:$B$400="背面")+(機器台帳!$B$2:$B$400="両面")&gt;0)*(機器台帳!$F$2:$F$400&lt;&gt;"")*(機器台帳!$C$2:$C$400&lt;=9)*(機器台帳!$C$2:$C$400+機器台帳!$D$2:$D$400-1&gt;=9),0),0))&amp;IF(INDEX(機器台帳!$Y$2:$Y$400,MATCH(1,INDEX((機器台帳!$A$2:$A$400="E24-S8-5")*((機器台帳!$B$2:$B$400="背面")+(機器台帳!$B$2:$B$400="両面")&gt;0)*(機器台帳!$F$2:$F$400&lt;&gt;"")*(機器台帳!$C$2:$C$400&lt;=9)*(機器台帳!$C$2:$C$400+機器台帳!$D$2:$D$400-1&gt;=9),0),0))=0,"|未記入",""))</f>
        <v/>
      </c>
      <c r="V42" s="12">
        <f>IF(SUMPRODUCT((機器台帳!$A$2:$A$400="E24-S6-1")*((機器台帳!$B$2:$B$400="前面")+(機器台帳!$B$2:$B$400="両面")&gt;0)*(機器台帳!$F$2:$F$400&lt;&gt;"")*(機器台帳!$C$2:$C$400&lt;=9)*(機器台帳!$C$2:$C$400+機器台帳!$D$2:$D$400-1&gt;=9))=0,"",INDEX(機器台帳!$F$2:$F$400,MATCH(1,INDEX((機器台帳!$A$2:$A$400="E24-S6-1")*((機器台帳!$B$2:$B$400="前面")+(機器台帳!$B$2:$B$400="両面")&gt;0)*(機器台帳!$F$2:$F$400&lt;&gt;"")*(機器台帳!$C$2:$C$400&lt;=9)*(機器台帳!$C$2:$C$400+機器台帳!$D$2:$D$400-1&gt;=9),0),0))&amp;IF(INDEX(機器台帳!$G$2:$G$400,MATCH(1,INDEX((機器台帳!$A$2:$A$400="E24-S6-1")*((機器台帳!$B$2:$B$400="前面")+(機器台帳!$B$2:$B$400="両面")&gt;0)*(機器台帳!$F$2:$F$400&lt;&gt;"")*(機器台帳!$C$2:$C$400&lt;=9)*(機器台帳!$C$2:$C$400+機器台帳!$D$2:$D$400-1&gt;=9),0),0))=""," "," "&amp;INDEX(機器台帳!$G$2:$G$400,MATCH(1,INDEX((機器台帳!$A$2:$A$400="E24-S6-1")*((機器台帳!$B$2:$B$400="前面")+(機器台帳!$B$2:$B$400="両面")&gt;0)*(機器台帳!$F$2:$F$400&lt;&gt;"")*(機器台帳!$C$2:$C$400&lt;=9)*(機器台帳!$C$2:$C$400+機器台帳!$D$2:$D$400-1&gt;=9),0),0)))&amp;IF(SUMPRODUCT((機器台帳!$A$2:$A$400="E24-S6-1")*((機器台帳!$B$2:$B$400="前面")+(機器台帳!$B$2:$B$400="両面")&gt;0)*(機器台帳!$F$2:$F$400&lt;&gt;"")*(機器台帳!$C$2:$C$400&lt;=9)*(機器台帳!$C$2:$C$400+機器台帳!$D$2:$D$400-1&gt;=9))&gt;1," 他"&amp;(SUMPRODUCT((機器台帳!$A$2:$A$400="E24-S6-1")*((機器台帳!$B$2:$B$400="前面")+(機器台帳!$B$2:$B$400="両面")&gt;0)*(機器台帳!$F$2:$F$400&lt;&gt;"")*(機器台帳!$C$2:$C$400&lt;=9)*(機器台帳!$C$2:$C$400+機器台帳!$D$2:$D$400-1&gt;=9))-1)&amp;"台",""))</f>
        <v/>
      </c>
      <c r="W42">
        <f>IF(SUMPRODUCT((機器台帳!$A$2:$A$400="E24-S6-1")*((機器台帳!$B$2:$B$400="前面")+(機器台帳!$B$2:$B$400="両面")&gt;0)*(機器台帳!$F$2:$F$400&lt;&gt;"")*(機器台帳!$C$2:$C$400&lt;=9)*(機器台帳!$C$2:$C$400+機器台帳!$D$2:$D$400-1&gt;=9))=0,"",INDEX(機器台帳!$I$2:$I$400,MATCH(1,INDEX((機器台帳!$A$2:$A$400="E24-S6-1")*((機器台帳!$B$2:$B$400="前面")+(機器台帳!$B$2:$B$400="両面")&gt;0)*(機器台帳!$F$2:$F$400&lt;&gt;"")*(機器台帳!$C$2:$C$400&lt;=9)*(機器台帳!$C$2:$C$400+機器台帳!$D$2:$D$400-1&gt;=9),0),0))&amp;IF(INDEX(機器台帳!$Y$2:$Y$400,MATCH(1,INDEX((機器台帳!$A$2:$A$400="E24-S6-1")*((機器台帳!$B$2:$B$400="前面")+(機器台帳!$B$2:$B$400="両面")&gt;0)*(機器台帳!$F$2:$F$400&lt;&gt;"")*(機器台帳!$C$2:$C$400&lt;=9)*(機器台帳!$C$2:$C$400+機器台帳!$D$2:$D$400-1&gt;=9),0),0))=0,"|未記入",""))</f>
        <v/>
      </c>
      <c r="X42" s="12">
        <f>IF(SUMPRODUCT((機器台帳!$A$2:$A$400="E24-S6-1")*((機器台帳!$B$2:$B$400="背面")+(機器台帳!$B$2:$B$400="両面")&gt;0)*(機器台帳!$F$2:$F$400&lt;&gt;"")*(機器台帳!$C$2:$C$400&lt;=9)*(機器台帳!$C$2:$C$400+機器台帳!$D$2:$D$400-1&gt;=9))=0,"",INDEX(機器台帳!$F$2:$F$400,MATCH(1,INDEX((機器台帳!$A$2:$A$400="E24-S6-1")*((機器台帳!$B$2:$B$400="背面")+(機器台帳!$B$2:$B$400="両面")&gt;0)*(機器台帳!$F$2:$F$400&lt;&gt;"")*(機器台帳!$C$2:$C$400&lt;=9)*(機器台帳!$C$2:$C$400+機器台帳!$D$2:$D$400-1&gt;=9),0),0))&amp;IF(INDEX(機器台帳!$G$2:$G$400,MATCH(1,INDEX((機器台帳!$A$2:$A$400="E24-S6-1")*((機器台帳!$B$2:$B$400="背面")+(機器台帳!$B$2:$B$400="両面")&gt;0)*(機器台帳!$F$2:$F$400&lt;&gt;"")*(機器台帳!$C$2:$C$400&lt;=9)*(機器台帳!$C$2:$C$400+機器台帳!$D$2:$D$400-1&gt;=9),0),0))=""," "," "&amp;INDEX(機器台帳!$G$2:$G$400,MATCH(1,INDEX((機器台帳!$A$2:$A$400="E24-S6-1")*((機器台帳!$B$2:$B$400="背面")+(機器台帳!$B$2:$B$400="両面")&gt;0)*(機器台帳!$F$2:$F$400&lt;&gt;"")*(機器台帳!$C$2:$C$400&lt;=9)*(機器台帳!$C$2:$C$400+機器台帳!$D$2:$D$400-1&gt;=9),0),0)))&amp;IF(SUMPRODUCT((機器台帳!$A$2:$A$400="E24-S6-1")*((機器台帳!$B$2:$B$400="背面")+(機器台帳!$B$2:$B$400="両面")&gt;0)*(機器台帳!$F$2:$F$400&lt;&gt;"")*(機器台帳!$C$2:$C$400&lt;=9)*(機器台帳!$C$2:$C$400+機器台帳!$D$2:$D$400-1&gt;=9))&gt;1," 他"&amp;(SUMPRODUCT((機器台帳!$A$2:$A$400="E24-S6-1")*((機器台帳!$B$2:$B$400="背面")+(機器台帳!$B$2:$B$400="両面")&gt;0)*(機器台帳!$F$2:$F$400&lt;&gt;"")*(機器台帳!$C$2:$C$400&lt;=9)*(機器台帳!$C$2:$C$400+機器台帳!$D$2:$D$400-1&gt;=9))-1)&amp;"台",""))</f>
        <v/>
      </c>
      <c r="Y42">
        <f>IF(SUMPRODUCT((機器台帳!$A$2:$A$400="E24-S6-1")*((機器台帳!$B$2:$B$400="背面")+(機器台帳!$B$2:$B$400="両面")&gt;0)*(機器台帳!$F$2:$F$400&lt;&gt;"")*(機器台帳!$C$2:$C$400&lt;=9)*(機器台帳!$C$2:$C$400+機器台帳!$D$2:$D$400-1&gt;=9))=0,"",INDEX(機器台帳!$I$2:$I$400,MATCH(1,INDEX((機器台帳!$A$2:$A$400="E24-S6-1")*((機器台帳!$B$2:$B$400="背面")+(機器台帳!$B$2:$B$400="両面")&gt;0)*(機器台帳!$F$2:$F$400&lt;&gt;"")*(機器台帳!$C$2:$C$400&lt;=9)*(機器台帳!$C$2:$C$400+機器台帳!$D$2:$D$400-1&gt;=9),0),0))&amp;IF(INDEX(機器台帳!$Y$2:$Y$400,MATCH(1,INDEX((機器台帳!$A$2:$A$400="E24-S6-1")*((機器台帳!$B$2:$B$400="背面")+(機器台帳!$B$2:$B$400="両面")&gt;0)*(機器台帳!$F$2:$F$400&lt;&gt;"")*(機器台帳!$C$2:$C$400&lt;=9)*(機器台帳!$C$2:$C$400+機器台帳!$D$2:$D$400-1&gt;=9),0),0))=0,"|未記入",""))</f>
        <v/>
      </c>
    </row>
    <row r="43">
      <c r="A43" s="11" t="n">
        <v>8</v>
      </c>
      <c r="B43" s="12">
        <f>IF(SUMPRODUCT((機器台帳!$A$2:$A$400="E24-S8-1")*((機器台帳!$B$2:$B$400="前面")+(機器台帳!$B$2:$B$400="両面")&gt;0)*(機器台帳!$F$2:$F$400&lt;&gt;"")*(機器台帳!$C$2:$C$400&lt;=8)*(機器台帳!$C$2:$C$400+機器台帳!$D$2:$D$400-1&gt;=8))=0,"",INDEX(機器台帳!$F$2:$F$400,MATCH(1,INDEX((機器台帳!$A$2:$A$400="E24-S8-1")*((機器台帳!$B$2:$B$400="前面")+(機器台帳!$B$2:$B$400="両面")&gt;0)*(機器台帳!$F$2:$F$400&lt;&gt;"")*(機器台帳!$C$2:$C$400&lt;=8)*(機器台帳!$C$2:$C$400+機器台帳!$D$2:$D$400-1&gt;=8),0),0))&amp;IF(INDEX(機器台帳!$G$2:$G$400,MATCH(1,INDEX((機器台帳!$A$2:$A$400="E24-S8-1")*((機器台帳!$B$2:$B$400="前面")+(機器台帳!$B$2:$B$400="両面")&gt;0)*(機器台帳!$F$2:$F$400&lt;&gt;"")*(機器台帳!$C$2:$C$400&lt;=8)*(機器台帳!$C$2:$C$400+機器台帳!$D$2:$D$400-1&gt;=8),0),0))=""," "," "&amp;INDEX(機器台帳!$G$2:$G$400,MATCH(1,INDEX((機器台帳!$A$2:$A$400="E24-S8-1")*((機器台帳!$B$2:$B$400="前面")+(機器台帳!$B$2:$B$400="両面")&gt;0)*(機器台帳!$F$2:$F$400&lt;&gt;"")*(機器台帳!$C$2:$C$400&lt;=8)*(機器台帳!$C$2:$C$400+機器台帳!$D$2:$D$400-1&gt;=8),0),0)))&amp;IF(SUMPRODUCT((機器台帳!$A$2:$A$400="E24-S8-1")*((機器台帳!$B$2:$B$400="前面")+(機器台帳!$B$2:$B$400="両面")&gt;0)*(機器台帳!$F$2:$F$400&lt;&gt;"")*(機器台帳!$C$2:$C$400&lt;=8)*(機器台帳!$C$2:$C$400+機器台帳!$D$2:$D$400-1&gt;=8))&gt;1," 他"&amp;(SUMPRODUCT((機器台帳!$A$2:$A$400="E24-S8-1")*((機器台帳!$B$2:$B$400="前面")+(機器台帳!$B$2:$B$400="両面")&gt;0)*(機器台帳!$F$2:$F$400&lt;&gt;"")*(機器台帳!$C$2:$C$400&lt;=8)*(機器台帳!$C$2:$C$400+機器台帳!$D$2:$D$400-1&gt;=8))-1)&amp;"台",""))</f>
        <v/>
      </c>
      <c r="C43">
        <f>IF(SUMPRODUCT((機器台帳!$A$2:$A$400="E24-S8-1")*((機器台帳!$B$2:$B$400="前面")+(機器台帳!$B$2:$B$400="両面")&gt;0)*(機器台帳!$F$2:$F$400&lt;&gt;"")*(機器台帳!$C$2:$C$400&lt;=8)*(機器台帳!$C$2:$C$400+機器台帳!$D$2:$D$400-1&gt;=8))=0,"",INDEX(機器台帳!$I$2:$I$400,MATCH(1,INDEX((機器台帳!$A$2:$A$400="E24-S8-1")*((機器台帳!$B$2:$B$400="前面")+(機器台帳!$B$2:$B$400="両面")&gt;0)*(機器台帳!$F$2:$F$400&lt;&gt;"")*(機器台帳!$C$2:$C$400&lt;=8)*(機器台帳!$C$2:$C$400+機器台帳!$D$2:$D$400-1&gt;=8),0),0))&amp;IF(INDEX(機器台帳!$Y$2:$Y$400,MATCH(1,INDEX((機器台帳!$A$2:$A$400="E24-S8-1")*((機器台帳!$B$2:$B$400="前面")+(機器台帳!$B$2:$B$400="両面")&gt;0)*(機器台帳!$F$2:$F$400&lt;&gt;"")*(機器台帳!$C$2:$C$400&lt;=8)*(機器台帳!$C$2:$C$400+機器台帳!$D$2:$D$400-1&gt;=8),0),0))=0,"|未記入",""))</f>
        <v/>
      </c>
      <c r="D43" s="12">
        <f>IF(SUMPRODUCT((機器台帳!$A$2:$A$400="E24-S8-1")*((機器台帳!$B$2:$B$400="背面")+(機器台帳!$B$2:$B$400="両面")&gt;0)*(機器台帳!$F$2:$F$400&lt;&gt;"")*(機器台帳!$C$2:$C$400&lt;=8)*(機器台帳!$C$2:$C$400+機器台帳!$D$2:$D$400-1&gt;=8))=0,"",INDEX(機器台帳!$F$2:$F$400,MATCH(1,INDEX((機器台帳!$A$2:$A$400="E24-S8-1")*((機器台帳!$B$2:$B$400="背面")+(機器台帳!$B$2:$B$400="両面")&gt;0)*(機器台帳!$F$2:$F$400&lt;&gt;"")*(機器台帳!$C$2:$C$400&lt;=8)*(機器台帳!$C$2:$C$400+機器台帳!$D$2:$D$400-1&gt;=8),0),0))&amp;IF(INDEX(機器台帳!$G$2:$G$400,MATCH(1,INDEX((機器台帳!$A$2:$A$400="E24-S8-1")*((機器台帳!$B$2:$B$400="背面")+(機器台帳!$B$2:$B$400="両面")&gt;0)*(機器台帳!$F$2:$F$400&lt;&gt;"")*(機器台帳!$C$2:$C$400&lt;=8)*(機器台帳!$C$2:$C$400+機器台帳!$D$2:$D$400-1&gt;=8),0),0))=""," "," "&amp;INDEX(機器台帳!$G$2:$G$400,MATCH(1,INDEX((機器台帳!$A$2:$A$400="E24-S8-1")*((機器台帳!$B$2:$B$400="背面")+(機器台帳!$B$2:$B$400="両面")&gt;0)*(機器台帳!$F$2:$F$400&lt;&gt;"")*(機器台帳!$C$2:$C$400&lt;=8)*(機器台帳!$C$2:$C$400+機器台帳!$D$2:$D$400-1&gt;=8),0),0)))&amp;IF(SUMPRODUCT((機器台帳!$A$2:$A$400="E24-S8-1")*((機器台帳!$B$2:$B$400="背面")+(機器台帳!$B$2:$B$400="両面")&gt;0)*(機器台帳!$F$2:$F$400&lt;&gt;"")*(機器台帳!$C$2:$C$400&lt;=8)*(機器台帳!$C$2:$C$400+機器台帳!$D$2:$D$400-1&gt;=8))&gt;1," 他"&amp;(SUMPRODUCT((機器台帳!$A$2:$A$400="E24-S8-1")*((機器台帳!$B$2:$B$400="背面")+(機器台帳!$B$2:$B$400="両面")&gt;0)*(機器台帳!$F$2:$F$400&lt;&gt;"")*(機器台帳!$C$2:$C$400&lt;=8)*(機器台帳!$C$2:$C$400+機器台帳!$D$2:$D$400-1&gt;=8))-1)&amp;"台",""))</f>
        <v/>
      </c>
      <c r="E43">
        <f>IF(SUMPRODUCT((機器台帳!$A$2:$A$400="E24-S8-1")*((機器台帳!$B$2:$B$400="背面")+(機器台帳!$B$2:$B$400="両面")&gt;0)*(機器台帳!$F$2:$F$400&lt;&gt;"")*(機器台帳!$C$2:$C$400&lt;=8)*(機器台帳!$C$2:$C$400+機器台帳!$D$2:$D$400-1&gt;=8))=0,"",INDEX(機器台帳!$I$2:$I$400,MATCH(1,INDEX((機器台帳!$A$2:$A$400="E24-S8-1")*((機器台帳!$B$2:$B$400="背面")+(機器台帳!$B$2:$B$400="両面")&gt;0)*(機器台帳!$F$2:$F$400&lt;&gt;"")*(機器台帳!$C$2:$C$400&lt;=8)*(機器台帳!$C$2:$C$400+機器台帳!$D$2:$D$400-1&gt;=8),0),0))&amp;IF(INDEX(機器台帳!$Y$2:$Y$400,MATCH(1,INDEX((機器台帳!$A$2:$A$400="E24-S8-1")*((機器台帳!$B$2:$B$400="背面")+(機器台帳!$B$2:$B$400="両面")&gt;0)*(機器台帳!$F$2:$F$400&lt;&gt;"")*(機器台帳!$C$2:$C$400&lt;=8)*(機器台帳!$C$2:$C$400+機器台帳!$D$2:$D$400-1&gt;=8),0),0))=0,"|未記入",""))</f>
        <v/>
      </c>
      <c r="F43" s="12">
        <f>IF(SUMPRODUCT((機器台帳!$A$2:$A$400="E24-S8-2")*((機器台帳!$B$2:$B$400="前面")+(機器台帳!$B$2:$B$400="両面")&gt;0)*(機器台帳!$F$2:$F$400&lt;&gt;"")*(機器台帳!$C$2:$C$400&lt;=8)*(機器台帳!$C$2:$C$400+機器台帳!$D$2:$D$400-1&gt;=8))=0,"",INDEX(機器台帳!$F$2:$F$400,MATCH(1,INDEX((機器台帳!$A$2:$A$400="E24-S8-2")*((機器台帳!$B$2:$B$400="前面")+(機器台帳!$B$2:$B$400="両面")&gt;0)*(機器台帳!$F$2:$F$400&lt;&gt;"")*(機器台帳!$C$2:$C$400&lt;=8)*(機器台帳!$C$2:$C$400+機器台帳!$D$2:$D$400-1&gt;=8),0),0))&amp;IF(INDEX(機器台帳!$G$2:$G$400,MATCH(1,INDEX((機器台帳!$A$2:$A$400="E24-S8-2")*((機器台帳!$B$2:$B$400="前面")+(機器台帳!$B$2:$B$400="両面")&gt;0)*(機器台帳!$F$2:$F$400&lt;&gt;"")*(機器台帳!$C$2:$C$400&lt;=8)*(機器台帳!$C$2:$C$400+機器台帳!$D$2:$D$400-1&gt;=8),0),0))=""," "," "&amp;INDEX(機器台帳!$G$2:$G$400,MATCH(1,INDEX((機器台帳!$A$2:$A$400="E24-S8-2")*((機器台帳!$B$2:$B$400="前面")+(機器台帳!$B$2:$B$400="両面")&gt;0)*(機器台帳!$F$2:$F$400&lt;&gt;"")*(機器台帳!$C$2:$C$400&lt;=8)*(機器台帳!$C$2:$C$400+機器台帳!$D$2:$D$400-1&gt;=8),0),0)))&amp;IF(SUMPRODUCT((機器台帳!$A$2:$A$400="E24-S8-2")*((機器台帳!$B$2:$B$400="前面")+(機器台帳!$B$2:$B$400="両面")&gt;0)*(機器台帳!$F$2:$F$400&lt;&gt;"")*(機器台帳!$C$2:$C$400&lt;=8)*(機器台帳!$C$2:$C$400+機器台帳!$D$2:$D$400-1&gt;=8))&gt;1," 他"&amp;(SUMPRODUCT((機器台帳!$A$2:$A$400="E24-S8-2")*((機器台帳!$B$2:$B$400="前面")+(機器台帳!$B$2:$B$400="両面")&gt;0)*(機器台帳!$F$2:$F$400&lt;&gt;"")*(機器台帳!$C$2:$C$400&lt;=8)*(機器台帳!$C$2:$C$400+機器台帳!$D$2:$D$400-1&gt;=8))-1)&amp;"台",""))</f>
        <v/>
      </c>
      <c r="G43">
        <f>IF(SUMPRODUCT((機器台帳!$A$2:$A$400="E24-S8-2")*((機器台帳!$B$2:$B$400="前面")+(機器台帳!$B$2:$B$400="両面")&gt;0)*(機器台帳!$F$2:$F$400&lt;&gt;"")*(機器台帳!$C$2:$C$400&lt;=8)*(機器台帳!$C$2:$C$400+機器台帳!$D$2:$D$400-1&gt;=8))=0,"",INDEX(機器台帳!$I$2:$I$400,MATCH(1,INDEX((機器台帳!$A$2:$A$400="E24-S8-2")*((機器台帳!$B$2:$B$400="前面")+(機器台帳!$B$2:$B$400="両面")&gt;0)*(機器台帳!$F$2:$F$400&lt;&gt;"")*(機器台帳!$C$2:$C$400&lt;=8)*(機器台帳!$C$2:$C$400+機器台帳!$D$2:$D$400-1&gt;=8),0),0))&amp;IF(INDEX(機器台帳!$Y$2:$Y$400,MATCH(1,INDEX((機器台帳!$A$2:$A$400="E24-S8-2")*((機器台帳!$B$2:$B$400="前面")+(機器台帳!$B$2:$B$400="両面")&gt;0)*(機器台帳!$F$2:$F$400&lt;&gt;"")*(機器台帳!$C$2:$C$400&lt;=8)*(機器台帳!$C$2:$C$400+機器台帳!$D$2:$D$400-1&gt;=8),0),0))=0,"|未記入",""))</f>
        <v/>
      </c>
      <c r="H43" s="12">
        <f>IF(SUMPRODUCT((機器台帳!$A$2:$A$400="E24-S8-2")*((機器台帳!$B$2:$B$400="背面")+(機器台帳!$B$2:$B$400="両面")&gt;0)*(機器台帳!$F$2:$F$400&lt;&gt;"")*(機器台帳!$C$2:$C$400&lt;=8)*(機器台帳!$C$2:$C$400+機器台帳!$D$2:$D$400-1&gt;=8))=0,"",INDEX(機器台帳!$F$2:$F$400,MATCH(1,INDEX((機器台帳!$A$2:$A$400="E24-S8-2")*((機器台帳!$B$2:$B$400="背面")+(機器台帳!$B$2:$B$400="両面")&gt;0)*(機器台帳!$F$2:$F$400&lt;&gt;"")*(機器台帳!$C$2:$C$400&lt;=8)*(機器台帳!$C$2:$C$400+機器台帳!$D$2:$D$400-1&gt;=8),0),0))&amp;IF(INDEX(機器台帳!$G$2:$G$400,MATCH(1,INDEX((機器台帳!$A$2:$A$400="E24-S8-2")*((機器台帳!$B$2:$B$400="背面")+(機器台帳!$B$2:$B$400="両面")&gt;0)*(機器台帳!$F$2:$F$400&lt;&gt;"")*(機器台帳!$C$2:$C$400&lt;=8)*(機器台帳!$C$2:$C$400+機器台帳!$D$2:$D$400-1&gt;=8),0),0))=""," "," "&amp;INDEX(機器台帳!$G$2:$G$400,MATCH(1,INDEX((機器台帳!$A$2:$A$400="E24-S8-2")*((機器台帳!$B$2:$B$400="背面")+(機器台帳!$B$2:$B$400="両面")&gt;0)*(機器台帳!$F$2:$F$400&lt;&gt;"")*(機器台帳!$C$2:$C$400&lt;=8)*(機器台帳!$C$2:$C$400+機器台帳!$D$2:$D$400-1&gt;=8),0),0)))&amp;IF(SUMPRODUCT((機器台帳!$A$2:$A$400="E24-S8-2")*((機器台帳!$B$2:$B$400="背面")+(機器台帳!$B$2:$B$400="両面")&gt;0)*(機器台帳!$F$2:$F$400&lt;&gt;"")*(機器台帳!$C$2:$C$400&lt;=8)*(機器台帳!$C$2:$C$400+機器台帳!$D$2:$D$400-1&gt;=8))&gt;1," 他"&amp;(SUMPRODUCT((機器台帳!$A$2:$A$400="E24-S8-2")*((機器台帳!$B$2:$B$400="背面")+(機器台帳!$B$2:$B$400="両面")&gt;0)*(機器台帳!$F$2:$F$400&lt;&gt;"")*(機器台帳!$C$2:$C$400&lt;=8)*(機器台帳!$C$2:$C$400+機器台帳!$D$2:$D$400-1&gt;=8))-1)&amp;"台",""))</f>
        <v/>
      </c>
      <c r="I43">
        <f>IF(SUMPRODUCT((機器台帳!$A$2:$A$400="E24-S8-2")*((機器台帳!$B$2:$B$400="背面")+(機器台帳!$B$2:$B$400="両面")&gt;0)*(機器台帳!$F$2:$F$400&lt;&gt;"")*(機器台帳!$C$2:$C$400&lt;=8)*(機器台帳!$C$2:$C$400+機器台帳!$D$2:$D$400-1&gt;=8))=0,"",INDEX(機器台帳!$I$2:$I$400,MATCH(1,INDEX((機器台帳!$A$2:$A$400="E24-S8-2")*((機器台帳!$B$2:$B$400="背面")+(機器台帳!$B$2:$B$400="両面")&gt;0)*(機器台帳!$F$2:$F$400&lt;&gt;"")*(機器台帳!$C$2:$C$400&lt;=8)*(機器台帳!$C$2:$C$400+機器台帳!$D$2:$D$400-1&gt;=8),0),0))&amp;IF(INDEX(機器台帳!$Y$2:$Y$400,MATCH(1,INDEX((機器台帳!$A$2:$A$400="E24-S8-2")*((機器台帳!$B$2:$B$400="背面")+(機器台帳!$B$2:$B$400="両面")&gt;0)*(機器台帳!$F$2:$F$400&lt;&gt;"")*(機器台帳!$C$2:$C$400&lt;=8)*(機器台帳!$C$2:$C$400+機器台帳!$D$2:$D$400-1&gt;=8),0),0))=0,"|未記入",""))</f>
        <v/>
      </c>
      <c r="J43" s="12">
        <f>IF(SUMPRODUCT((機器台帳!$A$2:$A$400="E24-S8-3")*((機器台帳!$B$2:$B$400="前面")+(機器台帳!$B$2:$B$400="両面")&gt;0)*(機器台帳!$F$2:$F$400&lt;&gt;"")*(機器台帳!$C$2:$C$400&lt;=8)*(機器台帳!$C$2:$C$400+機器台帳!$D$2:$D$400-1&gt;=8))=0,"",INDEX(機器台帳!$F$2:$F$400,MATCH(1,INDEX((機器台帳!$A$2:$A$400="E24-S8-3")*((機器台帳!$B$2:$B$400="前面")+(機器台帳!$B$2:$B$400="両面")&gt;0)*(機器台帳!$F$2:$F$400&lt;&gt;"")*(機器台帳!$C$2:$C$400&lt;=8)*(機器台帳!$C$2:$C$400+機器台帳!$D$2:$D$400-1&gt;=8),0),0))&amp;IF(INDEX(機器台帳!$G$2:$G$400,MATCH(1,INDEX((機器台帳!$A$2:$A$400="E24-S8-3")*((機器台帳!$B$2:$B$400="前面")+(機器台帳!$B$2:$B$400="両面")&gt;0)*(機器台帳!$F$2:$F$400&lt;&gt;"")*(機器台帳!$C$2:$C$400&lt;=8)*(機器台帳!$C$2:$C$400+機器台帳!$D$2:$D$400-1&gt;=8),0),0))=""," "," "&amp;INDEX(機器台帳!$G$2:$G$400,MATCH(1,INDEX((機器台帳!$A$2:$A$400="E24-S8-3")*((機器台帳!$B$2:$B$400="前面")+(機器台帳!$B$2:$B$400="両面")&gt;0)*(機器台帳!$F$2:$F$400&lt;&gt;"")*(機器台帳!$C$2:$C$400&lt;=8)*(機器台帳!$C$2:$C$400+機器台帳!$D$2:$D$400-1&gt;=8),0),0)))&amp;IF(SUMPRODUCT((機器台帳!$A$2:$A$400="E24-S8-3")*((機器台帳!$B$2:$B$400="前面")+(機器台帳!$B$2:$B$400="両面")&gt;0)*(機器台帳!$F$2:$F$400&lt;&gt;"")*(機器台帳!$C$2:$C$400&lt;=8)*(機器台帳!$C$2:$C$400+機器台帳!$D$2:$D$400-1&gt;=8))&gt;1," 他"&amp;(SUMPRODUCT((機器台帳!$A$2:$A$400="E24-S8-3")*((機器台帳!$B$2:$B$400="前面")+(機器台帳!$B$2:$B$400="両面")&gt;0)*(機器台帳!$F$2:$F$400&lt;&gt;"")*(機器台帳!$C$2:$C$400&lt;=8)*(機器台帳!$C$2:$C$400+機器台帳!$D$2:$D$400-1&gt;=8))-1)&amp;"台",""))</f>
        <v/>
      </c>
      <c r="K43">
        <f>IF(SUMPRODUCT((機器台帳!$A$2:$A$400="E24-S8-3")*((機器台帳!$B$2:$B$400="前面")+(機器台帳!$B$2:$B$400="両面")&gt;0)*(機器台帳!$F$2:$F$400&lt;&gt;"")*(機器台帳!$C$2:$C$400&lt;=8)*(機器台帳!$C$2:$C$400+機器台帳!$D$2:$D$400-1&gt;=8))=0,"",INDEX(機器台帳!$I$2:$I$400,MATCH(1,INDEX((機器台帳!$A$2:$A$400="E24-S8-3")*((機器台帳!$B$2:$B$400="前面")+(機器台帳!$B$2:$B$400="両面")&gt;0)*(機器台帳!$F$2:$F$400&lt;&gt;"")*(機器台帳!$C$2:$C$400&lt;=8)*(機器台帳!$C$2:$C$400+機器台帳!$D$2:$D$400-1&gt;=8),0),0))&amp;IF(INDEX(機器台帳!$Y$2:$Y$400,MATCH(1,INDEX((機器台帳!$A$2:$A$400="E24-S8-3")*((機器台帳!$B$2:$B$400="前面")+(機器台帳!$B$2:$B$400="両面")&gt;0)*(機器台帳!$F$2:$F$400&lt;&gt;"")*(機器台帳!$C$2:$C$400&lt;=8)*(機器台帳!$C$2:$C$400+機器台帳!$D$2:$D$400-1&gt;=8),0),0))=0,"|未記入",""))</f>
        <v/>
      </c>
      <c r="L43" s="12">
        <f>IF(SUMPRODUCT((機器台帳!$A$2:$A$400="E24-S8-3")*((機器台帳!$B$2:$B$400="背面")+(機器台帳!$B$2:$B$400="両面")&gt;0)*(機器台帳!$F$2:$F$400&lt;&gt;"")*(機器台帳!$C$2:$C$400&lt;=8)*(機器台帳!$C$2:$C$400+機器台帳!$D$2:$D$400-1&gt;=8))=0,"",INDEX(機器台帳!$F$2:$F$400,MATCH(1,INDEX((機器台帳!$A$2:$A$400="E24-S8-3")*((機器台帳!$B$2:$B$400="背面")+(機器台帳!$B$2:$B$400="両面")&gt;0)*(機器台帳!$F$2:$F$400&lt;&gt;"")*(機器台帳!$C$2:$C$400&lt;=8)*(機器台帳!$C$2:$C$400+機器台帳!$D$2:$D$400-1&gt;=8),0),0))&amp;IF(INDEX(機器台帳!$G$2:$G$400,MATCH(1,INDEX((機器台帳!$A$2:$A$400="E24-S8-3")*((機器台帳!$B$2:$B$400="背面")+(機器台帳!$B$2:$B$400="両面")&gt;0)*(機器台帳!$F$2:$F$400&lt;&gt;"")*(機器台帳!$C$2:$C$400&lt;=8)*(機器台帳!$C$2:$C$400+機器台帳!$D$2:$D$400-1&gt;=8),0),0))=""," "," "&amp;INDEX(機器台帳!$G$2:$G$400,MATCH(1,INDEX((機器台帳!$A$2:$A$400="E24-S8-3")*((機器台帳!$B$2:$B$400="背面")+(機器台帳!$B$2:$B$400="両面")&gt;0)*(機器台帳!$F$2:$F$400&lt;&gt;"")*(機器台帳!$C$2:$C$400&lt;=8)*(機器台帳!$C$2:$C$400+機器台帳!$D$2:$D$400-1&gt;=8),0),0)))&amp;IF(SUMPRODUCT((機器台帳!$A$2:$A$400="E24-S8-3")*((機器台帳!$B$2:$B$400="背面")+(機器台帳!$B$2:$B$400="両面")&gt;0)*(機器台帳!$F$2:$F$400&lt;&gt;"")*(機器台帳!$C$2:$C$400&lt;=8)*(機器台帳!$C$2:$C$400+機器台帳!$D$2:$D$400-1&gt;=8))&gt;1," 他"&amp;(SUMPRODUCT((機器台帳!$A$2:$A$400="E24-S8-3")*((機器台帳!$B$2:$B$400="背面")+(機器台帳!$B$2:$B$400="両面")&gt;0)*(機器台帳!$F$2:$F$400&lt;&gt;"")*(機器台帳!$C$2:$C$400&lt;=8)*(機器台帳!$C$2:$C$400+機器台帳!$D$2:$D$400-1&gt;=8))-1)&amp;"台",""))</f>
        <v/>
      </c>
      <c r="M43">
        <f>IF(SUMPRODUCT((機器台帳!$A$2:$A$400="E24-S8-3")*((機器台帳!$B$2:$B$400="背面")+(機器台帳!$B$2:$B$400="両面")&gt;0)*(機器台帳!$F$2:$F$400&lt;&gt;"")*(機器台帳!$C$2:$C$400&lt;=8)*(機器台帳!$C$2:$C$400+機器台帳!$D$2:$D$400-1&gt;=8))=0,"",INDEX(機器台帳!$I$2:$I$400,MATCH(1,INDEX((機器台帳!$A$2:$A$400="E24-S8-3")*((機器台帳!$B$2:$B$400="背面")+(機器台帳!$B$2:$B$400="両面")&gt;0)*(機器台帳!$F$2:$F$400&lt;&gt;"")*(機器台帳!$C$2:$C$400&lt;=8)*(機器台帳!$C$2:$C$400+機器台帳!$D$2:$D$400-1&gt;=8),0),0))&amp;IF(INDEX(機器台帳!$Y$2:$Y$400,MATCH(1,INDEX((機器台帳!$A$2:$A$400="E24-S8-3")*((機器台帳!$B$2:$B$400="背面")+(機器台帳!$B$2:$B$400="両面")&gt;0)*(機器台帳!$F$2:$F$400&lt;&gt;"")*(機器台帳!$C$2:$C$400&lt;=8)*(機器台帳!$C$2:$C$400+機器台帳!$D$2:$D$400-1&gt;=8),0),0))=0,"|未記入",""))</f>
        <v/>
      </c>
      <c r="N43" s="12">
        <f>IF(SUMPRODUCT((機器台帳!$A$2:$A$400="E24-S8-4")*((機器台帳!$B$2:$B$400="前面")+(機器台帳!$B$2:$B$400="両面")&gt;0)*(機器台帳!$F$2:$F$400&lt;&gt;"")*(機器台帳!$C$2:$C$400&lt;=8)*(機器台帳!$C$2:$C$400+機器台帳!$D$2:$D$400-1&gt;=8))=0,"",INDEX(機器台帳!$F$2:$F$400,MATCH(1,INDEX((機器台帳!$A$2:$A$400="E24-S8-4")*((機器台帳!$B$2:$B$400="前面")+(機器台帳!$B$2:$B$400="両面")&gt;0)*(機器台帳!$F$2:$F$400&lt;&gt;"")*(機器台帳!$C$2:$C$400&lt;=8)*(機器台帳!$C$2:$C$400+機器台帳!$D$2:$D$400-1&gt;=8),0),0))&amp;IF(INDEX(機器台帳!$G$2:$G$400,MATCH(1,INDEX((機器台帳!$A$2:$A$400="E24-S8-4")*((機器台帳!$B$2:$B$400="前面")+(機器台帳!$B$2:$B$400="両面")&gt;0)*(機器台帳!$F$2:$F$400&lt;&gt;"")*(機器台帳!$C$2:$C$400&lt;=8)*(機器台帳!$C$2:$C$400+機器台帳!$D$2:$D$400-1&gt;=8),0),0))=""," "," "&amp;INDEX(機器台帳!$G$2:$G$400,MATCH(1,INDEX((機器台帳!$A$2:$A$400="E24-S8-4")*((機器台帳!$B$2:$B$400="前面")+(機器台帳!$B$2:$B$400="両面")&gt;0)*(機器台帳!$F$2:$F$400&lt;&gt;"")*(機器台帳!$C$2:$C$400&lt;=8)*(機器台帳!$C$2:$C$400+機器台帳!$D$2:$D$400-1&gt;=8),0),0)))&amp;IF(SUMPRODUCT((機器台帳!$A$2:$A$400="E24-S8-4")*((機器台帳!$B$2:$B$400="前面")+(機器台帳!$B$2:$B$400="両面")&gt;0)*(機器台帳!$F$2:$F$400&lt;&gt;"")*(機器台帳!$C$2:$C$400&lt;=8)*(機器台帳!$C$2:$C$400+機器台帳!$D$2:$D$400-1&gt;=8))&gt;1," 他"&amp;(SUMPRODUCT((機器台帳!$A$2:$A$400="E24-S8-4")*((機器台帳!$B$2:$B$400="前面")+(機器台帳!$B$2:$B$400="両面")&gt;0)*(機器台帳!$F$2:$F$400&lt;&gt;"")*(機器台帳!$C$2:$C$400&lt;=8)*(機器台帳!$C$2:$C$400+機器台帳!$D$2:$D$400-1&gt;=8))-1)&amp;"台",""))</f>
        <v/>
      </c>
      <c r="O43">
        <f>IF(SUMPRODUCT((機器台帳!$A$2:$A$400="E24-S8-4")*((機器台帳!$B$2:$B$400="前面")+(機器台帳!$B$2:$B$400="両面")&gt;0)*(機器台帳!$F$2:$F$400&lt;&gt;"")*(機器台帳!$C$2:$C$400&lt;=8)*(機器台帳!$C$2:$C$400+機器台帳!$D$2:$D$400-1&gt;=8))=0,"",INDEX(機器台帳!$I$2:$I$400,MATCH(1,INDEX((機器台帳!$A$2:$A$400="E24-S8-4")*((機器台帳!$B$2:$B$400="前面")+(機器台帳!$B$2:$B$400="両面")&gt;0)*(機器台帳!$F$2:$F$400&lt;&gt;"")*(機器台帳!$C$2:$C$400&lt;=8)*(機器台帳!$C$2:$C$400+機器台帳!$D$2:$D$400-1&gt;=8),0),0))&amp;IF(INDEX(機器台帳!$Y$2:$Y$400,MATCH(1,INDEX((機器台帳!$A$2:$A$400="E24-S8-4")*((機器台帳!$B$2:$B$400="前面")+(機器台帳!$B$2:$B$400="両面")&gt;0)*(機器台帳!$F$2:$F$400&lt;&gt;"")*(機器台帳!$C$2:$C$400&lt;=8)*(機器台帳!$C$2:$C$400+機器台帳!$D$2:$D$400-1&gt;=8),0),0))=0,"|未記入",""))</f>
        <v/>
      </c>
      <c r="P43" s="12">
        <f>IF(SUMPRODUCT((機器台帳!$A$2:$A$400="E24-S8-4")*((機器台帳!$B$2:$B$400="背面")+(機器台帳!$B$2:$B$400="両面")&gt;0)*(機器台帳!$F$2:$F$400&lt;&gt;"")*(機器台帳!$C$2:$C$400&lt;=8)*(機器台帳!$C$2:$C$400+機器台帳!$D$2:$D$400-1&gt;=8))=0,"",INDEX(機器台帳!$F$2:$F$400,MATCH(1,INDEX((機器台帳!$A$2:$A$400="E24-S8-4")*((機器台帳!$B$2:$B$400="背面")+(機器台帳!$B$2:$B$400="両面")&gt;0)*(機器台帳!$F$2:$F$400&lt;&gt;"")*(機器台帳!$C$2:$C$400&lt;=8)*(機器台帳!$C$2:$C$400+機器台帳!$D$2:$D$400-1&gt;=8),0),0))&amp;IF(INDEX(機器台帳!$G$2:$G$400,MATCH(1,INDEX((機器台帳!$A$2:$A$400="E24-S8-4")*((機器台帳!$B$2:$B$400="背面")+(機器台帳!$B$2:$B$400="両面")&gt;0)*(機器台帳!$F$2:$F$400&lt;&gt;"")*(機器台帳!$C$2:$C$400&lt;=8)*(機器台帳!$C$2:$C$400+機器台帳!$D$2:$D$400-1&gt;=8),0),0))=""," "," "&amp;INDEX(機器台帳!$G$2:$G$400,MATCH(1,INDEX((機器台帳!$A$2:$A$400="E24-S8-4")*((機器台帳!$B$2:$B$400="背面")+(機器台帳!$B$2:$B$400="両面")&gt;0)*(機器台帳!$F$2:$F$400&lt;&gt;"")*(機器台帳!$C$2:$C$400&lt;=8)*(機器台帳!$C$2:$C$400+機器台帳!$D$2:$D$400-1&gt;=8),0),0)))&amp;IF(SUMPRODUCT((機器台帳!$A$2:$A$400="E24-S8-4")*((機器台帳!$B$2:$B$400="背面")+(機器台帳!$B$2:$B$400="両面")&gt;0)*(機器台帳!$F$2:$F$400&lt;&gt;"")*(機器台帳!$C$2:$C$400&lt;=8)*(機器台帳!$C$2:$C$400+機器台帳!$D$2:$D$400-1&gt;=8))&gt;1," 他"&amp;(SUMPRODUCT((機器台帳!$A$2:$A$400="E24-S8-4")*((機器台帳!$B$2:$B$400="背面")+(機器台帳!$B$2:$B$400="両面")&gt;0)*(機器台帳!$F$2:$F$400&lt;&gt;"")*(機器台帳!$C$2:$C$400&lt;=8)*(機器台帳!$C$2:$C$400+機器台帳!$D$2:$D$400-1&gt;=8))-1)&amp;"台",""))</f>
        <v/>
      </c>
      <c r="Q43">
        <f>IF(SUMPRODUCT((機器台帳!$A$2:$A$400="E24-S8-4")*((機器台帳!$B$2:$B$400="背面")+(機器台帳!$B$2:$B$400="両面")&gt;0)*(機器台帳!$F$2:$F$400&lt;&gt;"")*(機器台帳!$C$2:$C$400&lt;=8)*(機器台帳!$C$2:$C$400+機器台帳!$D$2:$D$400-1&gt;=8))=0,"",INDEX(機器台帳!$I$2:$I$400,MATCH(1,INDEX((機器台帳!$A$2:$A$400="E24-S8-4")*((機器台帳!$B$2:$B$400="背面")+(機器台帳!$B$2:$B$400="両面")&gt;0)*(機器台帳!$F$2:$F$400&lt;&gt;"")*(機器台帳!$C$2:$C$400&lt;=8)*(機器台帳!$C$2:$C$400+機器台帳!$D$2:$D$400-1&gt;=8),0),0))&amp;IF(INDEX(機器台帳!$Y$2:$Y$400,MATCH(1,INDEX((機器台帳!$A$2:$A$400="E24-S8-4")*((機器台帳!$B$2:$B$400="背面")+(機器台帳!$B$2:$B$400="両面")&gt;0)*(機器台帳!$F$2:$F$400&lt;&gt;"")*(機器台帳!$C$2:$C$400&lt;=8)*(機器台帳!$C$2:$C$400+機器台帳!$D$2:$D$400-1&gt;=8),0),0))=0,"|未記入",""))</f>
        <v/>
      </c>
      <c r="R43" s="12">
        <f>IF(SUMPRODUCT((機器台帳!$A$2:$A$400="E24-S8-5")*((機器台帳!$B$2:$B$400="前面")+(機器台帳!$B$2:$B$400="両面")&gt;0)*(機器台帳!$F$2:$F$400&lt;&gt;"")*(機器台帳!$C$2:$C$400&lt;=8)*(機器台帳!$C$2:$C$400+機器台帳!$D$2:$D$400-1&gt;=8))=0,"",INDEX(機器台帳!$F$2:$F$400,MATCH(1,INDEX((機器台帳!$A$2:$A$400="E24-S8-5")*((機器台帳!$B$2:$B$400="前面")+(機器台帳!$B$2:$B$400="両面")&gt;0)*(機器台帳!$F$2:$F$400&lt;&gt;"")*(機器台帳!$C$2:$C$400&lt;=8)*(機器台帳!$C$2:$C$400+機器台帳!$D$2:$D$400-1&gt;=8),0),0))&amp;IF(INDEX(機器台帳!$G$2:$G$400,MATCH(1,INDEX((機器台帳!$A$2:$A$400="E24-S8-5")*((機器台帳!$B$2:$B$400="前面")+(機器台帳!$B$2:$B$400="両面")&gt;0)*(機器台帳!$F$2:$F$400&lt;&gt;"")*(機器台帳!$C$2:$C$400&lt;=8)*(機器台帳!$C$2:$C$400+機器台帳!$D$2:$D$400-1&gt;=8),0),0))=""," "," "&amp;INDEX(機器台帳!$G$2:$G$400,MATCH(1,INDEX((機器台帳!$A$2:$A$400="E24-S8-5")*((機器台帳!$B$2:$B$400="前面")+(機器台帳!$B$2:$B$400="両面")&gt;0)*(機器台帳!$F$2:$F$400&lt;&gt;"")*(機器台帳!$C$2:$C$400&lt;=8)*(機器台帳!$C$2:$C$400+機器台帳!$D$2:$D$400-1&gt;=8),0),0)))&amp;IF(SUMPRODUCT((機器台帳!$A$2:$A$400="E24-S8-5")*((機器台帳!$B$2:$B$400="前面")+(機器台帳!$B$2:$B$400="両面")&gt;0)*(機器台帳!$F$2:$F$400&lt;&gt;"")*(機器台帳!$C$2:$C$400&lt;=8)*(機器台帳!$C$2:$C$400+機器台帳!$D$2:$D$400-1&gt;=8))&gt;1," 他"&amp;(SUMPRODUCT((機器台帳!$A$2:$A$400="E24-S8-5")*((機器台帳!$B$2:$B$400="前面")+(機器台帳!$B$2:$B$400="両面")&gt;0)*(機器台帳!$F$2:$F$400&lt;&gt;"")*(機器台帳!$C$2:$C$400&lt;=8)*(機器台帳!$C$2:$C$400+機器台帳!$D$2:$D$400-1&gt;=8))-1)&amp;"台",""))</f>
        <v/>
      </c>
      <c r="S43">
        <f>IF(SUMPRODUCT((機器台帳!$A$2:$A$400="E24-S8-5")*((機器台帳!$B$2:$B$400="前面")+(機器台帳!$B$2:$B$400="両面")&gt;0)*(機器台帳!$F$2:$F$400&lt;&gt;"")*(機器台帳!$C$2:$C$400&lt;=8)*(機器台帳!$C$2:$C$400+機器台帳!$D$2:$D$400-1&gt;=8))=0,"",INDEX(機器台帳!$I$2:$I$400,MATCH(1,INDEX((機器台帳!$A$2:$A$400="E24-S8-5")*((機器台帳!$B$2:$B$400="前面")+(機器台帳!$B$2:$B$400="両面")&gt;0)*(機器台帳!$F$2:$F$400&lt;&gt;"")*(機器台帳!$C$2:$C$400&lt;=8)*(機器台帳!$C$2:$C$400+機器台帳!$D$2:$D$400-1&gt;=8),0),0))&amp;IF(INDEX(機器台帳!$Y$2:$Y$400,MATCH(1,INDEX((機器台帳!$A$2:$A$400="E24-S8-5")*((機器台帳!$B$2:$B$400="前面")+(機器台帳!$B$2:$B$400="両面")&gt;0)*(機器台帳!$F$2:$F$400&lt;&gt;"")*(機器台帳!$C$2:$C$400&lt;=8)*(機器台帳!$C$2:$C$400+機器台帳!$D$2:$D$400-1&gt;=8),0),0))=0,"|未記入",""))</f>
        <v/>
      </c>
      <c r="T43" s="12">
        <f>IF(SUMPRODUCT((機器台帳!$A$2:$A$400="E24-S8-5")*((機器台帳!$B$2:$B$400="背面")+(機器台帳!$B$2:$B$400="両面")&gt;0)*(機器台帳!$F$2:$F$400&lt;&gt;"")*(機器台帳!$C$2:$C$400&lt;=8)*(機器台帳!$C$2:$C$400+機器台帳!$D$2:$D$400-1&gt;=8))=0,"",INDEX(機器台帳!$F$2:$F$400,MATCH(1,INDEX((機器台帳!$A$2:$A$400="E24-S8-5")*((機器台帳!$B$2:$B$400="背面")+(機器台帳!$B$2:$B$400="両面")&gt;0)*(機器台帳!$F$2:$F$400&lt;&gt;"")*(機器台帳!$C$2:$C$400&lt;=8)*(機器台帳!$C$2:$C$400+機器台帳!$D$2:$D$400-1&gt;=8),0),0))&amp;IF(INDEX(機器台帳!$G$2:$G$400,MATCH(1,INDEX((機器台帳!$A$2:$A$400="E24-S8-5")*((機器台帳!$B$2:$B$400="背面")+(機器台帳!$B$2:$B$400="両面")&gt;0)*(機器台帳!$F$2:$F$400&lt;&gt;"")*(機器台帳!$C$2:$C$400&lt;=8)*(機器台帳!$C$2:$C$400+機器台帳!$D$2:$D$400-1&gt;=8),0),0))=""," "," "&amp;INDEX(機器台帳!$G$2:$G$400,MATCH(1,INDEX((機器台帳!$A$2:$A$400="E24-S8-5")*((機器台帳!$B$2:$B$400="背面")+(機器台帳!$B$2:$B$400="両面")&gt;0)*(機器台帳!$F$2:$F$400&lt;&gt;"")*(機器台帳!$C$2:$C$400&lt;=8)*(機器台帳!$C$2:$C$400+機器台帳!$D$2:$D$400-1&gt;=8),0),0)))&amp;IF(SUMPRODUCT((機器台帳!$A$2:$A$400="E24-S8-5")*((機器台帳!$B$2:$B$400="背面")+(機器台帳!$B$2:$B$400="両面")&gt;0)*(機器台帳!$F$2:$F$400&lt;&gt;"")*(機器台帳!$C$2:$C$400&lt;=8)*(機器台帳!$C$2:$C$400+機器台帳!$D$2:$D$400-1&gt;=8))&gt;1," 他"&amp;(SUMPRODUCT((機器台帳!$A$2:$A$400="E24-S8-5")*((機器台帳!$B$2:$B$400="背面")+(機器台帳!$B$2:$B$400="両面")&gt;0)*(機器台帳!$F$2:$F$400&lt;&gt;"")*(機器台帳!$C$2:$C$400&lt;=8)*(機器台帳!$C$2:$C$400+機器台帳!$D$2:$D$400-1&gt;=8))-1)&amp;"台",""))</f>
        <v/>
      </c>
      <c r="U43">
        <f>IF(SUMPRODUCT((機器台帳!$A$2:$A$400="E24-S8-5")*((機器台帳!$B$2:$B$400="背面")+(機器台帳!$B$2:$B$400="両面")&gt;0)*(機器台帳!$F$2:$F$400&lt;&gt;"")*(機器台帳!$C$2:$C$400&lt;=8)*(機器台帳!$C$2:$C$400+機器台帳!$D$2:$D$400-1&gt;=8))=0,"",INDEX(機器台帳!$I$2:$I$400,MATCH(1,INDEX((機器台帳!$A$2:$A$400="E24-S8-5")*((機器台帳!$B$2:$B$400="背面")+(機器台帳!$B$2:$B$400="両面")&gt;0)*(機器台帳!$F$2:$F$400&lt;&gt;"")*(機器台帳!$C$2:$C$400&lt;=8)*(機器台帳!$C$2:$C$400+機器台帳!$D$2:$D$400-1&gt;=8),0),0))&amp;IF(INDEX(機器台帳!$Y$2:$Y$400,MATCH(1,INDEX((機器台帳!$A$2:$A$400="E24-S8-5")*((機器台帳!$B$2:$B$400="背面")+(機器台帳!$B$2:$B$400="両面")&gt;0)*(機器台帳!$F$2:$F$400&lt;&gt;"")*(機器台帳!$C$2:$C$400&lt;=8)*(機器台帳!$C$2:$C$400+機器台帳!$D$2:$D$400-1&gt;=8),0),0))=0,"|未記入",""))</f>
        <v/>
      </c>
      <c r="V43" s="12">
        <f>IF(SUMPRODUCT((機器台帳!$A$2:$A$400="E24-S6-1")*((機器台帳!$B$2:$B$400="前面")+(機器台帳!$B$2:$B$400="両面")&gt;0)*(機器台帳!$F$2:$F$400&lt;&gt;"")*(機器台帳!$C$2:$C$400&lt;=8)*(機器台帳!$C$2:$C$400+機器台帳!$D$2:$D$400-1&gt;=8))=0,"",INDEX(機器台帳!$F$2:$F$400,MATCH(1,INDEX((機器台帳!$A$2:$A$400="E24-S6-1")*((機器台帳!$B$2:$B$400="前面")+(機器台帳!$B$2:$B$400="両面")&gt;0)*(機器台帳!$F$2:$F$400&lt;&gt;"")*(機器台帳!$C$2:$C$400&lt;=8)*(機器台帳!$C$2:$C$400+機器台帳!$D$2:$D$400-1&gt;=8),0),0))&amp;IF(INDEX(機器台帳!$G$2:$G$400,MATCH(1,INDEX((機器台帳!$A$2:$A$400="E24-S6-1")*((機器台帳!$B$2:$B$400="前面")+(機器台帳!$B$2:$B$400="両面")&gt;0)*(機器台帳!$F$2:$F$400&lt;&gt;"")*(機器台帳!$C$2:$C$400&lt;=8)*(機器台帳!$C$2:$C$400+機器台帳!$D$2:$D$400-1&gt;=8),0),0))=""," "," "&amp;INDEX(機器台帳!$G$2:$G$400,MATCH(1,INDEX((機器台帳!$A$2:$A$400="E24-S6-1")*((機器台帳!$B$2:$B$400="前面")+(機器台帳!$B$2:$B$400="両面")&gt;0)*(機器台帳!$F$2:$F$400&lt;&gt;"")*(機器台帳!$C$2:$C$400&lt;=8)*(機器台帳!$C$2:$C$400+機器台帳!$D$2:$D$400-1&gt;=8),0),0)))&amp;IF(SUMPRODUCT((機器台帳!$A$2:$A$400="E24-S6-1")*((機器台帳!$B$2:$B$400="前面")+(機器台帳!$B$2:$B$400="両面")&gt;0)*(機器台帳!$F$2:$F$400&lt;&gt;"")*(機器台帳!$C$2:$C$400&lt;=8)*(機器台帳!$C$2:$C$400+機器台帳!$D$2:$D$400-1&gt;=8))&gt;1," 他"&amp;(SUMPRODUCT((機器台帳!$A$2:$A$400="E24-S6-1")*((機器台帳!$B$2:$B$400="前面")+(機器台帳!$B$2:$B$400="両面")&gt;0)*(機器台帳!$F$2:$F$400&lt;&gt;"")*(機器台帳!$C$2:$C$400&lt;=8)*(機器台帳!$C$2:$C$400+機器台帳!$D$2:$D$400-1&gt;=8))-1)&amp;"台",""))</f>
        <v/>
      </c>
      <c r="W43">
        <f>IF(SUMPRODUCT((機器台帳!$A$2:$A$400="E24-S6-1")*((機器台帳!$B$2:$B$400="前面")+(機器台帳!$B$2:$B$400="両面")&gt;0)*(機器台帳!$F$2:$F$400&lt;&gt;"")*(機器台帳!$C$2:$C$400&lt;=8)*(機器台帳!$C$2:$C$400+機器台帳!$D$2:$D$400-1&gt;=8))=0,"",INDEX(機器台帳!$I$2:$I$400,MATCH(1,INDEX((機器台帳!$A$2:$A$400="E24-S6-1")*((機器台帳!$B$2:$B$400="前面")+(機器台帳!$B$2:$B$400="両面")&gt;0)*(機器台帳!$F$2:$F$400&lt;&gt;"")*(機器台帳!$C$2:$C$400&lt;=8)*(機器台帳!$C$2:$C$400+機器台帳!$D$2:$D$400-1&gt;=8),0),0))&amp;IF(INDEX(機器台帳!$Y$2:$Y$400,MATCH(1,INDEX((機器台帳!$A$2:$A$400="E24-S6-1")*((機器台帳!$B$2:$B$400="前面")+(機器台帳!$B$2:$B$400="両面")&gt;0)*(機器台帳!$F$2:$F$400&lt;&gt;"")*(機器台帳!$C$2:$C$400&lt;=8)*(機器台帳!$C$2:$C$400+機器台帳!$D$2:$D$400-1&gt;=8),0),0))=0,"|未記入",""))</f>
        <v/>
      </c>
      <c r="X43" s="12">
        <f>IF(SUMPRODUCT((機器台帳!$A$2:$A$400="E24-S6-1")*((機器台帳!$B$2:$B$400="背面")+(機器台帳!$B$2:$B$400="両面")&gt;0)*(機器台帳!$F$2:$F$400&lt;&gt;"")*(機器台帳!$C$2:$C$400&lt;=8)*(機器台帳!$C$2:$C$400+機器台帳!$D$2:$D$400-1&gt;=8))=0,"",INDEX(機器台帳!$F$2:$F$400,MATCH(1,INDEX((機器台帳!$A$2:$A$400="E24-S6-1")*((機器台帳!$B$2:$B$400="背面")+(機器台帳!$B$2:$B$400="両面")&gt;0)*(機器台帳!$F$2:$F$400&lt;&gt;"")*(機器台帳!$C$2:$C$400&lt;=8)*(機器台帳!$C$2:$C$400+機器台帳!$D$2:$D$400-1&gt;=8),0),0))&amp;IF(INDEX(機器台帳!$G$2:$G$400,MATCH(1,INDEX((機器台帳!$A$2:$A$400="E24-S6-1")*((機器台帳!$B$2:$B$400="背面")+(機器台帳!$B$2:$B$400="両面")&gt;0)*(機器台帳!$F$2:$F$400&lt;&gt;"")*(機器台帳!$C$2:$C$400&lt;=8)*(機器台帳!$C$2:$C$400+機器台帳!$D$2:$D$400-1&gt;=8),0),0))=""," "," "&amp;INDEX(機器台帳!$G$2:$G$400,MATCH(1,INDEX((機器台帳!$A$2:$A$400="E24-S6-1")*((機器台帳!$B$2:$B$400="背面")+(機器台帳!$B$2:$B$400="両面")&gt;0)*(機器台帳!$F$2:$F$400&lt;&gt;"")*(機器台帳!$C$2:$C$400&lt;=8)*(機器台帳!$C$2:$C$400+機器台帳!$D$2:$D$400-1&gt;=8),0),0)))&amp;IF(SUMPRODUCT((機器台帳!$A$2:$A$400="E24-S6-1")*((機器台帳!$B$2:$B$400="背面")+(機器台帳!$B$2:$B$400="両面")&gt;0)*(機器台帳!$F$2:$F$400&lt;&gt;"")*(機器台帳!$C$2:$C$400&lt;=8)*(機器台帳!$C$2:$C$400+機器台帳!$D$2:$D$400-1&gt;=8))&gt;1," 他"&amp;(SUMPRODUCT((機器台帳!$A$2:$A$400="E24-S6-1")*((機器台帳!$B$2:$B$400="背面")+(機器台帳!$B$2:$B$400="両面")&gt;0)*(機器台帳!$F$2:$F$400&lt;&gt;"")*(機器台帳!$C$2:$C$400&lt;=8)*(機器台帳!$C$2:$C$400+機器台帳!$D$2:$D$400-1&gt;=8))-1)&amp;"台",""))</f>
        <v/>
      </c>
      <c r="Y43">
        <f>IF(SUMPRODUCT((機器台帳!$A$2:$A$400="E24-S6-1")*((機器台帳!$B$2:$B$400="背面")+(機器台帳!$B$2:$B$400="両面")&gt;0)*(機器台帳!$F$2:$F$400&lt;&gt;"")*(機器台帳!$C$2:$C$400&lt;=8)*(機器台帳!$C$2:$C$400+機器台帳!$D$2:$D$400-1&gt;=8))=0,"",INDEX(機器台帳!$I$2:$I$400,MATCH(1,INDEX((機器台帳!$A$2:$A$400="E24-S6-1")*((機器台帳!$B$2:$B$400="背面")+(機器台帳!$B$2:$B$400="両面")&gt;0)*(機器台帳!$F$2:$F$400&lt;&gt;"")*(機器台帳!$C$2:$C$400&lt;=8)*(機器台帳!$C$2:$C$400+機器台帳!$D$2:$D$400-1&gt;=8),0),0))&amp;IF(INDEX(機器台帳!$Y$2:$Y$400,MATCH(1,INDEX((機器台帳!$A$2:$A$400="E24-S6-1")*((機器台帳!$B$2:$B$400="背面")+(機器台帳!$B$2:$B$400="両面")&gt;0)*(機器台帳!$F$2:$F$400&lt;&gt;"")*(機器台帳!$C$2:$C$400&lt;=8)*(機器台帳!$C$2:$C$400+機器台帳!$D$2:$D$400-1&gt;=8),0),0))=0,"|未記入",""))</f>
        <v/>
      </c>
    </row>
    <row r="44">
      <c r="A44" s="11" t="n">
        <v>7</v>
      </c>
      <c r="B44" s="12">
        <f>IF(SUMPRODUCT((機器台帳!$A$2:$A$400="E24-S8-1")*((機器台帳!$B$2:$B$400="前面")+(機器台帳!$B$2:$B$400="両面")&gt;0)*(機器台帳!$F$2:$F$400&lt;&gt;"")*(機器台帳!$C$2:$C$400&lt;=7)*(機器台帳!$C$2:$C$400+機器台帳!$D$2:$D$400-1&gt;=7))=0,"",INDEX(機器台帳!$F$2:$F$400,MATCH(1,INDEX((機器台帳!$A$2:$A$400="E24-S8-1")*((機器台帳!$B$2:$B$400="前面")+(機器台帳!$B$2:$B$400="両面")&gt;0)*(機器台帳!$F$2:$F$400&lt;&gt;"")*(機器台帳!$C$2:$C$400&lt;=7)*(機器台帳!$C$2:$C$400+機器台帳!$D$2:$D$400-1&gt;=7),0),0))&amp;IF(INDEX(機器台帳!$G$2:$G$400,MATCH(1,INDEX((機器台帳!$A$2:$A$400="E24-S8-1")*((機器台帳!$B$2:$B$400="前面")+(機器台帳!$B$2:$B$400="両面")&gt;0)*(機器台帳!$F$2:$F$400&lt;&gt;"")*(機器台帳!$C$2:$C$400&lt;=7)*(機器台帳!$C$2:$C$400+機器台帳!$D$2:$D$400-1&gt;=7),0),0))=""," "," "&amp;INDEX(機器台帳!$G$2:$G$400,MATCH(1,INDEX((機器台帳!$A$2:$A$400="E24-S8-1")*((機器台帳!$B$2:$B$400="前面")+(機器台帳!$B$2:$B$400="両面")&gt;0)*(機器台帳!$F$2:$F$400&lt;&gt;"")*(機器台帳!$C$2:$C$400&lt;=7)*(機器台帳!$C$2:$C$400+機器台帳!$D$2:$D$400-1&gt;=7),0),0)))&amp;IF(SUMPRODUCT((機器台帳!$A$2:$A$400="E24-S8-1")*((機器台帳!$B$2:$B$400="前面")+(機器台帳!$B$2:$B$400="両面")&gt;0)*(機器台帳!$F$2:$F$400&lt;&gt;"")*(機器台帳!$C$2:$C$400&lt;=7)*(機器台帳!$C$2:$C$400+機器台帳!$D$2:$D$400-1&gt;=7))&gt;1," 他"&amp;(SUMPRODUCT((機器台帳!$A$2:$A$400="E24-S8-1")*((機器台帳!$B$2:$B$400="前面")+(機器台帳!$B$2:$B$400="両面")&gt;0)*(機器台帳!$F$2:$F$400&lt;&gt;"")*(機器台帳!$C$2:$C$400&lt;=7)*(機器台帳!$C$2:$C$400+機器台帳!$D$2:$D$400-1&gt;=7))-1)&amp;"台",""))</f>
        <v/>
      </c>
      <c r="C44">
        <f>IF(SUMPRODUCT((機器台帳!$A$2:$A$400="E24-S8-1")*((機器台帳!$B$2:$B$400="前面")+(機器台帳!$B$2:$B$400="両面")&gt;0)*(機器台帳!$F$2:$F$400&lt;&gt;"")*(機器台帳!$C$2:$C$400&lt;=7)*(機器台帳!$C$2:$C$400+機器台帳!$D$2:$D$400-1&gt;=7))=0,"",INDEX(機器台帳!$I$2:$I$400,MATCH(1,INDEX((機器台帳!$A$2:$A$400="E24-S8-1")*((機器台帳!$B$2:$B$400="前面")+(機器台帳!$B$2:$B$400="両面")&gt;0)*(機器台帳!$F$2:$F$400&lt;&gt;"")*(機器台帳!$C$2:$C$400&lt;=7)*(機器台帳!$C$2:$C$400+機器台帳!$D$2:$D$400-1&gt;=7),0),0))&amp;IF(INDEX(機器台帳!$Y$2:$Y$400,MATCH(1,INDEX((機器台帳!$A$2:$A$400="E24-S8-1")*((機器台帳!$B$2:$B$400="前面")+(機器台帳!$B$2:$B$400="両面")&gt;0)*(機器台帳!$F$2:$F$400&lt;&gt;"")*(機器台帳!$C$2:$C$400&lt;=7)*(機器台帳!$C$2:$C$400+機器台帳!$D$2:$D$400-1&gt;=7),0),0))=0,"|未記入",""))</f>
        <v/>
      </c>
      <c r="D44" s="12">
        <f>IF(SUMPRODUCT((機器台帳!$A$2:$A$400="E24-S8-1")*((機器台帳!$B$2:$B$400="背面")+(機器台帳!$B$2:$B$400="両面")&gt;0)*(機器台帳!$F$2:$F$400&lt;&gt;"")*(機器台帳!$C$2:$C$400&lt;=7)*(機器台帳!$C$2:$C$400+機器台帳!$D$2:$D$400-1&gt;=7))=0,"",INDEX(機器台帳!$F$2:$F$400,MATCH(1,INDEX((機器台帳!$A$2:$A$400="E24-S8-1")*((機器台帳!$B$2:$B$400="背面")+(機器台帳!$B$2:$B$400="両面")&gt;0)*(機器台帳!$F$2:$F$400&lt;&gt;"")*(機器台帳!$C$2:$C$400&lt;=7)*(機器台帳!$C$2:$C$400+機器台帳!$D$2:$D$400-1&gt;=7),0),0))&amp;IF(INDEX(機器台帳!$G$2:$G$400,MATCH(1,INDEX((機器台帳!$A$2:$A$400="E24-S8-1")*((機器台帳!$B$2:$B$400="背面")+(機器台帳!$B$2:$B$400="両面")&gt;0)*(機器台帳!$F$2:$F$400&lt;&gt;"")*(機器台帳!$C$2:$C$400&lt;=7)*(機器台帳!$C$2:$C$400+機器台帳!$D$2:$D$400-1&gt;=7),0),0))=""," "," "&amp;INDEX(機器台帳!$G$2:$G$400,MATCH(1,INDEX((機器台帳!$A$2:$A$400="E24-S8-1")*((機器台帳!$B$2:$B$400="背面")+(機器台帳!$B$2:$B$400="両面")&gt;0)*(機器台帳!$F$2:$F$400&lt;&gt;"")*(機器台帳!$C$2:$C$400&lt;=7)*(機器台帳!$C$2:$C$400+機器台帳!$D$2:$D$400-1&gt;=7),0),0)))&amp;IF(SUMPRODUCT((機器台帳!$A$2:$A$400="E24-S8-1")*((機器台帳!$B$2:$B$400="背面")+(機器台帳!$B$2:$B$400="両面")&gt;0)*(機器台帳!$F$2:$F$400&lt;&gt;"")*(機器台帳!$C$2:$C$400&lt;=7)*(機器台帳!$C$2:$C$400+機器台帳!$D$2:$D$400-1&gt;=7))&gt;1," 他"&amp;(SUMPRODUCT((機器台帳!$A$2:$A$400="E24-S8-1")*((機器台帳!$B$2:$B$400="背面")+(機器台帳!$B$2:$B$400="両面")&gt;0)*(機器台帳!$F$2:$F$400&lt;&gt;"")*(機器台帳!$C$2:$C$400&lt;=7)*(機器台帳!$C$2:$C$400+機器台帳!$D$2:$D$400-1&gt;=7))-1)&amp;"台",""))</f>
        <v/>
      </c>
      <c r="E44">
        <f>IF(SUMPRODUCT((機器台帳!$A$2:$A$400="E24-S8-1")*((機器台帳!$B$2:$B$400="背面")+(機器台帳!$B$2:$B$400="両面")&gt;0)*(機器台帳!$F$2:$F$400&lt;&gt;"")*(機器台帳!$C$2:$C$400&lt;=7)*(機器台帳!$C$2:$C$400+機器台帳!$D$2:$D$400-1&gt;=7))=0,"",INDEX(機器台帳!$I$2:$I$400,MATCH(1,INDEX((機器台帳!$A$2:$A$400="E24-S8-1")*((機器台帳!$B$2:$B$400="背面")+(機器台帳!$B$2:$B$400="両面")&gt;0)*(機器台帳!$F$2:$F$400&lt;&gt;"")*(機器台帳!$C$2:$C$400&lt;=7)*(機器台帳!$C$2:$C$400+機器台帳!$D$2:$D$400-1&gt;=7),0),0))&amp;IF(INDEX(機器台帳!$Y$2:$Y$400,MATCH(1,INDEX((機器台帳!$A$2:$A$400="E24-S8-1")*((機器台帳!$B$2:$B$400="背面")+(機器台帳!$B$2:$B$400="両面")&gt;0)*(機器台帳!$F$2:$F$400&lt;&gt;"")*(機器台帳!$C$2:$C$400&lt;=7)*(機器台帳!$C$2:$C$400+機器台帳!$D$2:$D$400-1&gt;=7),0),0))=0,"|未記入",""))</f>
        <v/>
      </c>
      <c r="F44" s="12">
        <f>IF(SUMPRODUCT((機器台帳!$A$2:$A$400="E24-S8-2")*((機器台帳!$B$2:$B$400="前面")+(機器台帳!$B$2:$B$400="両面")&gt;0)*(機器台帳!$F$2:$F$400&lt;&gt;"")*(機器台帳!$C$2:$C$400&lt;=7)*(機器台帳!$C$2:$C$400+機器台帳!$D$2:$D$400-1&gt;=7))=0,"",INDEX(機器台帳!$F$2:$F$400,MATCH(1,INDEX((機器台帳!$A$2:$A$400="E24-S8-2")*((機器台帳!$B$2:$B$400="前面")+(機器台帳!$B$2:$B$400="両面")&gt;0)*(機器台帳!$F$2:$F$400&lt;&gt;"")*(機器台帳!$C$2:$C$400&lt;=7)*(機器台帳!$C$2:$C$400+機器台帳!$D$2:$D$400-1&gt;=7),0),0))&amp;IF(INDEX(機器台帳!$G$2:$G$400,MATCH(1,INDEX((機器台帳!$A$2:$A$400="E24-S8-2")*((機器台帳!$B$2:$B$400="前面")+(機器台帳!$B$2:$B$400="両面")&gt;0)*(機器台帳!$F$2:$F$400&lt;&gt;"")*(機器台帳!$C$2:$C$400&lt;=7)*(機器台帳!$C$2:$C$400+機器台帳!$D$2:$D$400-1&gt;=7),0),0))=""," "," "&amp;INDEX(機器台帳!$G$2:$G$400,MATCH(1,INDEX((機器台帳!$A$2:$A$400="E24-S8-2")*((機器台帳!$B$2:$B$400="前面")+(機器台帳!$B$2:$B$400="両面")&gt;0)*(機器台帳!$F$2:$F$400&lt;&gt;"")*(機器台帳!$C$2:$C$400&lt;=7)*(機器台帳!$C$2:$C$400+機器台帳!$D$2:$D$400-1&gt;=7),0),0)))&amp;IF(SUMPRODUCT((機器台帳!$A$2:$A$400="E24-S8-2")*((機器台帳!$B$2:$B$400="前面")+(機器台帳!$B$2:$B$400="両面")&gt;0)*(機器台帳!$F$2:$F$400&lt;&gt;"")*(機器台帳!$C$2:$C$400&lt;=7)*(機器台帳!$C$2:$C$400+機器台帳!$D$2:$D$400-1&gt;=7))&gt;1," 他"&amp;(SUMPRODUCT((機器台帳!$A$2:$A$400="E24-S8-2")*((機器台帳!$B$2:$B$400="前面")+(機器台帳!$B$2:$B$400="両面")&gt;0)*(機器台帳!$F$2:$F$400&lt;&gt;"")*(機器台帳!$C$2:$C$400&lt;=7)*(機器台帳!$C$2:$C$400+機器台帳!$D$2:$D$400-1&gt;=7))-1)&amp;"台",""))</f>
        <v/>
      </c>
      <c r="G44">
        <f>IF(SUMPRODUCT((機器台帳!$A$2:$A$400="E24-S8-2")*((機器台帳!$B$2:$B$400="前面")+(機器台帳!$B$2:$B$400="両面")&gt;0)*(機器台帳!$F$2:$F$400&lt;&gt;"")*(機器台帳!$C$2:$C$400&lt;=7)*(機器台帳!$C$2:$C$400+機器台帳!$D$2:$D$400-1&gt;=7))=0,"",INDEX(機器台帳!$I$2:$I$400,MATCH(1,INDEX((機器台帳!$A$2:$A$400="E24-S8-2")*((機器台帳!$B$2:$B$400="前面")+(機器台帳!$B$2:$B$400="両面")&gt;0)*(機器台帳!$F$2:$F$400&lt;&gt;"")*(機器台帳!$C$2:$C$400&lt;=7)*(機器台帳!$C$2:$C$400+機器台帳!$D$2:$D$400-1&gt;=7),0),0))&amp;IF(INDEX(機器台帳!$Y$2:$Y$400,MATCH(1,INDEX((機器台帳!$A$2:$A$400="E24-S8-2")*((機器台帳!$B$2:$B$400="前面")+(機器台帳!$B$2:$B$400="両面")&gt;0)*(機器台帳!$F$2:$F$400&lt;&gt;"")*(機器台帳!$C$2:$C$400&lt;=7)*(機器台帳!$C$2:$C$400+機器台帳!$D$2:$D$400-1&gt;=7),0),0))=0,"|未記入",""))</f>
        <v/>
      </c>
      <c r="H44" s="12">
        <f>IF(SUMPRODUCT((機器台帳!$A$2:$A$400="E24-S8-2")*((機器台帳!$B$2:$B$400="背面")+(機器台帳!$B$2:$B$400="両面")&gt;0)*(機器台帳!$F$2:$F$400&lt;&gt;"")*(機器台帳!$C$2:$C$400&lt;=7)*(機器台帳!$C$2:$C$400+機器台帳!$D$2:$D$400-1&gt;=7))=0,"",INDEX(機器台帳!$F$2:$F$400,MATCH(1,INDEX((機器台帳!$A$2:$A$400="E24-S8-2")*((機器台帳!$B$2:$B$400="背面")+(機器台帳!$B$2:$B$400="両面")&gt;0)*(機器台帳!$F$2:$F$400&lt;&gt;"")*(機器台帳!$C$2:$C$400&lt;=7)*(機器台帳!$C$2:$C$400+機器台帳!$D$2:$D$400-1&gt;=7),0),0))&amp;IF(INDEX(機器台帳!$G$2:$G$400,MATCH(1,INDEX((機器台帳!$A$2:$A$400="E24-S8-2")*((機器台帳!$B$2:$B$400="背面")+(機器台帳!$B$2:$B$400="両面")&gt;0)*(機器台帳!$F$2:$F$400&lt;&gt;"")*(機器台帳!$C$2:$C$400&lt;=7)*(機器台帳!$C$2:$C$400+機器台帳!$D$2:$D$400-1&gt;=7),0),0))=""," "," "&amp;INDEX(機器台帳!$G$2:$G$400,MATCH(1,INDEX((機器台帳!$A$2:$A$400="E24-S8-2")*((機器台帳!$B$2:$B$400="背面")+(機器台帳!$B$2:$B$400="両面")&gt;0)*(機器台帳!$F$2:$F$400&lt;&gt;"")*(機器台帳!$C$2:$C$400&lt;=7)*(機器台帳!$C$2:$C$400+機器台帳!$D$2:$D$400-1&gt;=7),0),0)))&amp;IF(SUMPRODUCT((機器台帳!$A$2:$A$400="E24-S8-2")*((機器台帳!$B$2:$B$400="背面")+(機器台帳!$B$2:$B$400="両面")&gt;0)*(機器台帳!$F$2:$F$400&lt;&gt;"")*(機器台帳!$C$2:$C$400&lt;=7)*(機器台帳!$C$2:$C$400+機器台帳!$D$2:$D$400-1&gt;=7))&gt;1," 他"&amp;(SUMPRODUCT((機器台帳!$A$2:$A$400="E24-S8-2")*((機器台帳!$B$2:$B$400="背面")+(機器台帳!$B$2:$B$400="両面")&gt;0)*(機器台帳!$F$2:$F$400&lt;&gt;"")*(機器台帳!$C$2:$C$400&lt;=7)*(機器台帳!$C$2:$C$400+機器台帳!$D$2:$D$400-1&gt;=7))-1)&amp;"台",""))</f>
        <v/>
      </c>
      <c r="I44">
        <f>IF(SUMPRODUCT((機器台帳!$A$2:$A$400="E24-S8-2")*((機器台帳!$B$2:$B$400="背面")+(機器台帳!$B$2:$B$400="両面")&gt;0)*(機器台帳!$F$2:$F$400&lt;&gt;"")*(機器台帳!$C$2:$C$400&lt;=7)*(機器台帳!$C$2:$C$400+機器台帳!$D$2:$D$400-1&gt;=7))=0,"",INDEX(機器台帳!$I$2:$I$400,MATCH(1,INDEX((機器台帳!$A$2:$A$400="E24-S8-2")*((機器台帳!$B$2:$B$400="背面")+(機器台帳!$B$2:$B$400="両面")&gt;0)*(機器台帳!$F$2:$F$400&lt;&gt;"")*(機器台帳!$C$2:$C$400&lt;=7)*(機器台帳!$C$2:$C$400+機器台帳!$D$2:$D$400-1&gt;=7),0),0))&amp;IF(INDEX(機器台帳!$Y$2:$Y$400,MATCH(1,INDEX((機器台帳!$A$2:$A$400="E24-S8-2")*((機器台帳!$B$2:$B$400="背面")+(機器台帳!$B$2:$B$400="両面")&gt;0)*(機器台帳!$F$2:$F$400&lt;&gt;"")*(機器台帳!$C$2:$C$400&lt;=7)*(機器台帳!$C$2:$C$400+機器台帳!$D$2:$D$400-1&gt;=7),0),0))=0,"|未記入",""))</f>
        <v/>
      </c>
      <c r="J44" s="12">
        <f>IF(SUMPRODUCT((機器台帳!$A$2:$A$400="E24-S8-3")*((機器台帳!$B$2:$B$400="前面")+(機器台帳!$B$2:$B$400="両面")&gt;0)*(機器台帳!$F$2:$F$400&lt;&gt;"")*(機器台帳!$C$2:$C$400&lt;=7)*(機器台帳!$C$2:$C$400+機器台帳!$D$2:$D$400-1&gt;=7))=0,"",INDEX(機器台帳!$F$2:$F$400,MATCH(1,INDEX((機器台帳!$A$2:$A$400="E24-S8-3")*((機器台帳!$B$2:$B$400="前面")+(機器台帳!$B$2:$B$400="両面")&gt;0)*(機器台帳!$F$2:$F$400&lt;&gt;"")*(機器台帳!$C$2:$C$400&lt;=7)*(機器台帳!$C$2:$C$400+機器台帳!$D$2:$D$400-1&gt;=7),0),0))&amp;IF(INDEX(機器台帳!$G$2:$G$400,MATCH(1,INDEX((機器台帳!$A$2:$A$400="E24-S8-3")*((機器台帳!$B$2:$B$400="前面")+(機器台帳!$B$2:$B$400="両面")&gt;0)*(機器台帳!$F$2:$F$400&lt;&gt;"")*(機器台帳!$C$2:$C$400&lt;=7)*(機器台帳!$C$2:$C$400+機器台帳!$D$2:$D$400-1&gt;=7),0),0))=""," "," "&amp;INDEX(機器台帳!$G$2:$G$400,MATCH(1,INDEX((機器台帳!$A$2:$A$400="E24-S8-3")*((機器台帳!$B$2:$B$400="前面")+(機器台帳!$B$2:$B$400="両面")&gt;0)*(機器台帳!$F$2:$F$400&lt;&gt;"")*(機器台帳!$C$2:$C$400&lt;=7)*(機器台帳!$C$2:$C$400+機器台帳!$D$2:$D$400-1&gt;=7),0),0)))&amp;IF(SUMPRODUCT((機器台帳!$A$2:$A$400="E24-S8-3")*((機器台帳!$B$2:$B$400="前面")+(機器台帳!$B$2:$B$400="両面")&gt;0)*(機器台帳!$F$2:$F$400&lt;&gt;"")*(機器台帳!$C$2:$C$400&lt;=7)*(機器台帳!$C$2:$C$400+機器台帳!$D$2:$D$400-1&gt;=7))&gt;1," 他"&amp;(SUMPRODUCT((機器台帳!$A$2:$A$400="E24-S8-3")*((機器台帳!$B$2:$B$400="前面")+(機器台帳!$B$2:$B$400="両面")&gt;0)*(機器台帳!$F$2:$F$400&lt;&gt;"")*(機器台帳!$C$2:$C$400&lt;=7)*(機器台帳!$C$2:$C$400+機器台帳!$D$2:$D$400-1&gt;=7))-1)&amp;"台",""))</f>
        <v/>
      </c>
      <c r="K44">
        <f>IF(SUMPRODUCT((機器台帳!$A$2:$A$400="E24-S8-3")*((機器台帳!$B$2:$B$400="前面")+(機器台帳!$B$2:$B$400="両面")&gt;0)*(機器台帳!$F$2:$F$400&lt;&gt;"")*(機器台帳!$C$2:$C$400&lt;=7)*(機器台帳!$C$2:$C$400+機器台帳!$D$2:$D$400-1&gt;=7))=0,"",INDEX(機器台帳!$I$2:$I$400,MATCH(1,INDEX((機器台帳!$A$2:$A$400="E24-S8-3")*((機器台帳!$B$2:$B$400="前面")+(機器台帳!$B$2:$B$400="両面")&gt;0)*(機器台帳!$F$2:$F$400&lt;&gt;"")*(機器台帳!$C$2:$C$400&lt;=7)*(機器台帳!$C$2:$C$400+機器台帳!$D$2:$D$400-1&gt;=7),0),0))&amp;IF(INDEX(機器台帳!$Y$2:$Y$400,MATCH(1,INDEX((機器台帳!$A$2:$A$400="E24-S8-3")*((機器台帳!$B$2:$B$400="前面")+(機器台帳!$B$2:$B$400="両面")&gt;0)*(機器台帳!$F$2:$F$400&lt;&gt;"")*(機器台帳!$C$2:$C$400&lt;=7)*(機器台帳!$C$2:$C$400+機器台帳!$D$2:$D$400-1&gt;=7),0),0))=0,"|未記入",""))</f>
        <v/>
      </c>
      <c r="L44" s="12">
        <f>IF(SUMPRODUCT((機器台帳!$A$2:$A$400="E24-S8-3")*((機器台帳!$B$2:$B$400="背面")+(機器台帳!$B$2:$B$400="両面")&gt;0)*(機器台帳!$F$2:$F$400&lt;&gt;"")*(機器台帳!$C$2:$C$400&lt;=7)*(機器台帳!$C$2:$C$400+機器台帳!$D$2:$D$400-1&gt;=7))=0,"",INDEX(機器台帳!$F$2:$F$400,MATCH(1,INDEX((機器台帳!$A$2:$A$400="E24-S8-3")*((機器台帳!$B$2:$B$400="背面")+(機器台帳!$B$2:$B$400="両面")&gt;0)*(機器台帳!$F$2:$F$400&lt;&gt;"")*(機器台帳!$C$2:$C$400&lt;=7)*(機器台帳!$C$2:$C$400+機器台帳!$D$2:$D$400-1&gt;=7),0),0))&amp;IF(INDEX(機器台帳!$G$2:$G$400,MATCH(1,INDEX((機器台帳!$A$2:$A$400="E24-S8-3")*((機器台帳!$B$2:$B$400="背面")+(機器台帳!$B$2:$B$400="両面")&gt;0)*(機器台帳!$F$2:$F$400&lt;&gt;"")*(機器台帳!$C$2:$C$400&lt;=7)*(機器台帳!$C$2:$C$400+機器台帳!$D$2:$D$400-1&gt;=7),0),0))=""," "," "&amp;INDEX(機器台帳!$G$2:$G$400,MATCH(1,INDEX((機器台帳!$A$2:$A$400="E24-S8-3")*((機器台帳!$B$2:$B$400="背面")+(機器台帳!$B$2:$B$400="両面")&gt;0)*(機器台帳!$F$2:$F$400&lt;&gt;"")*(機器台帳!$C$2:$C$400&lt;=7)*(機器台帳!$C$2:$C$400+機器台帳!$D$2:$D$400-1&gt;=7),0),0)))&amp;IF(SUMPRODUCT((機器台帳!$A$2:$A$400="E24-S8-3")*((機器台帳!$B$2:$B$400="背面")+(機器台帳!$B$2:$B$400="両面")&gt;0)*(機器台帳!$F$2:$F$400&lt;&gt;"")*(機器台帳!$C$2:$C$400&lt;=7)*(機器台帳!$C$2:$C$400+機器台帳!$D$2:$D$400-1&gt;=7))&gt;1," 他"&amp;(SUMPRODUCT((機器台帳!$A$2:$A$400="E24-S8-3")*((機器台帳!$B$2:$B$400="背面")+(機器台帳!$B$2:$B$400="両面")&gt;0)*(機器台帳!$F$2:$F$400&lt;&gt;"")*(機器台帳!$C$2:$C$400&lt;=7)*(機器台帳!$C$2:$C$400+機器台帳!$D$2:$D$400-1&gt;=7))-1)&amp;"台",""))</f>
        <v/>
      </c>
      <c r="M44">
        <f>IF(SUMPRODUCT((機器台帳!$A$2:$A$400="E24-S8-3")*((機器台帳!$B$2:$B$400="背面")+(機器台帳!$B$2:$B$400="両面")&gt;0)*(機器台帳!$F$2:$F$400&lt;&gt;"")*(機器台帳!$C$2:$C$400&lt;=7)*(機器台帳!$C$2:$C$400+機器台帳!$D$2:$D$400-1&gt;=7))=0,"",INDEX(機器台帳!$I$2:$I$400,MATCH(1,INDEX((機器台帳!$A$2:$A$400="E24-S8-3")*((機器台帳!$B$2:$B$400="背面")+(機器台帳!$B$2:$B$400="両面")&gt;0)*(機器台帳!$F$2:$F$400&lt;&gt;"")*(機器台帳!$C$2:$C$400&lt;=7)*(機器台帳!$C$2:$C$400+機器台帳!$D$2:$D$400-1&gt;=7),0),0))&amp;IF(INDEX(機器台帳!$Y$2:$Y$400,MATCH(1,INDEX((機器台帳!$A$2:$A$400="E24-S8-3")*((機器台帳!$B$2:$B$400="背面")+(機器台帳!$B$2:$B$400="両面")&gt;0)*(機器台帳!$F$2:$F$400&lt;&gt;"")*(機器台帳!$C$2:$C$400&lt;=7)*(機器台帳!$C$2:$C$400+機器台帳!$D$2:$D$400-1&gt;=7),0),0))=0,"|未記入",""))</f>
        <v/>
      </c>
      <c r="N44" s="12">
        <f>IF(SUMPRODUCT((機器台帳!$A$2:$A$400="E24-S8-4")*((機器台帳!$B$2:$B$400="前面")+(機器台帳!$B$2:$B$400="両面")&gt;0)*(機器台帳!$F$2:$F$400&lt;&gt;"")*(機器台帳!$C$2:$C$400&lt;=7)*(機器台帳!$C$2:$C$400+機器台帳!$D$2:$D$400-1&gt;=7))=0,"",INDEX(機器台帳!$F$2:$F$400,MATCH(1,INDEX((機器台帳!$A$2:$A$400="E24-S8-4")*((機器台帳!$B$2:$B$400="前面")+(機器台帳!$B$2:$B$400="両面")&gt;0)*(機器台帳!$F$2:$F$400&lt;&gt;"")*(機器台帳!$C$2:$C$400&lt;=7)*(機器台帳!$C$2:$C$400+機器台帳!$D$2:$D$400-1&gt;=7),0),0))&amp;IF(INDEX(機器台帳!$G$2:$G$400,MATCH(1,INDEX((機器台帳!$A$2:$A$400="E24-S8-4")*((機器台帳!$B$2:$B$400="前面")+(機器台帳!$B$2:$B$400="両面")&gt;0)*(機器台帳!$F$2:$F$400&lt;&gt;"")*(機器台帳!$C$2:$C$400&lt;=7)*(機器台帳!$C$2:$C$400+機器台帳!$D$2:$D$400-1&gt;=7),0),0))=""," "," "&amp;INDEX(機器台帳!$G$2:$G$400,MATCH(1,INDEX((機器台帳!$A$2:$A$400="E24-S8-4")*((機器台帳!$B$2:$B$400="前面")+(機器台帳!$B$2:$B$400="両面")&gt;0)*(機器台帳!$F$2:$F$400&lt;&gt;"")*(機器台帳!$C$2:$C$400&lt;=7)*(機器台帳!$C$2:$C$400+機器台帳!$D$2:$D$400-1&gt;=7),0),0)))&amp;IF(SUMPRODUCT((機器台帳!$A$2:$A$400="E24-S8-4")*((機器台帳!$B$2:$B$400="前面")+(機器台帳!$B$2:$B$400="両面")&gt;0)*(機器台帳!$F$2:$F$400&lt;&gt;"")*(機器台帳!$C$2:$C$400&lt;=7)*(機器台帳!$C$2:$C$400+機器台帳!$D$2:$D$400-1&gt;=7))&gt;1," 他"&amp;(SUMPRODUCT((機器台帳!$A$2:$A$400="E24-S8-4")*((機器台帳!$B$2:$B$400="前面")+(機器台帳!$B$2:$B$400="両面")&gt;0)*(機器台帳!$F$2:$F$400&lt;&gt;"")*(機器台帳!$C$2:$C$400&lt;=7)*(機器台帳!$C$2:$C$400+機器台帳!$D$2:$D$400-1&gt;=7))-1)&amp;"台",""))</f>
        <v/>
      </c>
      <c r="O44">
        <f>IF(SUMPRODUCT((機器台帳!$A$2:$A$400="E24-S8-4")*((機器台帳!$B$2:$B$400="前面")+(機器台帳!$B$2:$B$400="両面")&gt;0)*(機器台帳!$F$2:$F$400&lt;&gt;"")*(機器台帳!$C$2:$C$400&lt;=7)*(機器台帳!$C$2:$C$400+機器台帳!$D$2:$D$400-1&gt;=7))=0,"",INDEX(機器台帳!$I$2:$I$400,MATCH(1,INDEX((機器台帳!$A$2:$A$400="E24-S8-4")*((機器台帳!$B$2:$B$400="前面")+(機器台帳!$B$2:$B$400="両面")&gt;0)*(機器台帳!$F$2:$F$400&lt;&gt;"")*(機器台帳!$C$2:$C$400&lt;=7)*(機器台帳!$C$2:$C$400+機器台帳!$D$2:$D$400-1&gt;=7),0),0))&amp;IF(INDEX(機器台帳!$Y$2:$Y$400,MATCH(1,INDEX((機器台帳!$A$2:$A$400="E24-S8-4")*((機器台帳!$B$2:$B$400="前面")+(機器台帳!$B$2:$B$400="両面")&gt;0)*(機器台帳!$F$2:$F$400&lt;&gt;"")*(機器台帳!$C$2:$C$400&lt;=7)*(機器台帳!$C$2:$C$400+機器台帳!$D$2:$D$400-1&gt;=7),0),0))=0,"|未記入",""))</f>
        <v/>
      </c>
      <c r="P44" s="12">
        <f>IF(SUMPRODUCT((機器台帳!$A$2:$A$400="E24-S8-4")*((機器台帳!$B$2:$B$400="背面")+(機器台帳!$B$2:$B$400="両面")&gt;0)*(機器台帳!$F$2:$F$400&lt;&gt;"")*(機器台帳!$C$2:$C$400&lt;=7)*(機器台帳!$C$2:$C$400+機器台帳!$D$2:$D$400-1&gt;=7))=0,"",INDEX(機器台帳!$F$2:$F$400,MATCH(1,INDEX((機器台帳!$A$2:$A$400="E24-S8-4")*((機器台帳!$B$2:$B$400="背面")+(機器台帳!$B$2:$B$400="両面")&gt;0)*(機器台帳!$F$2:$F$400&lt;&gt;"")*(機器台帳!$C$2:$C$400&lt;=7)*(機器台帳!$C$2:$C$400+機器台帳!$D$2:$D$400-1&gt;=7),0),0))&amp;IF(INDEX(機器台帳!$G$2:$G$400,MATCH(1,INDEX((機器台帳!$A$2:$A$400="E24-S8-4")*((機器台帳!$B$2:$B$400="背面")+(機器台帳!$B$2:$B$400="両面")&gt;0)*(機器台帳!$F$2:$F$400&lt;&gt;"")*(機器台帳!$C$2:$C$400&lt;=7)*(機器台帳!$C$2:$C$400+機器台帳!$D$2:$D$400-1&gt;=7),0),0))=""," "," "&amp;INDEX(機器台帳!$G$2:$G$400,MATCH(1,INDEX((機器台帳!$A$2:$A$400="E24-S8-4")*((機器台帳!$B$2:$B$400="背面")+(機器台帳!$B$2:$B$400="両面")&gt;0)*(機器台帳!$F$2:$F$400&lt;&gt;"")*(機器台帳!$C$2:$C$400&lt;=7)*(機器台帳!$C$2:$C$400+機器台帳!$D$2:$D$400-1&gt;=7),0),0)))&amp;IF(SUMPRODUCT((機器台帳!$A$2:$A$400="E24-S8-4")*((機器台帳!$B$2:$B$400="背面")+(機器台帳!$B$2:$B$400="両面")&gt;0)*(機器台帳!$F$2:$F$400&lt;&gt;"")*(機器台帳!$C$2:$C$400&lt;=7)*(機器台帳!$C$2:$C$400+機器台帳!$D$2:$D$400-1&gt;=7))&gt;1," 他"&amp;(SUMPRODUCT((機器台帳!$A$2:$A$400="E24-S8-4")*((機器台帳!$B$2:$B$400="背面")+(機器台帳!$B$2:$B$400="両面")&gt;0)*(機器台帳!$F$2:$F$400&lt;&gt;"")*(機器台帳!$C$2:$C$400&lt;=7)*(機器台帳!$C$2:$C$400+機器台帳!$D$2:$D$400-1&gt;=7))-1)&amp;"台",""))</f>
        <v/>
      </c>
      <c r="Q44">
        <f>IF(SUMPRODUCT((機器台帳!$A$2:$A$400="E24-S8-4")*((機器台帳!$B$2:$B$400="背面")+(機器台帳!$B$2:$B$400="両面")&gt;0)*(機器台帳!$F$2:$F$400&lt;&gt;"")*(機器台帳!$C$2:$C$400&lt;=7)*(機器台帳!$C$2:$C$400+機器台帳!$D$2:$D$400-1&gt;=7))=0,"",INDEX(機器台帳!$I$2:$I$400,MATCH(1,INDEX((機器台帳!$A$2:$A$400="E24-S8-4")*((機器台帳!$B$2:$B$400="背面")+(機器台帳!$B$2:$B$400="両面")&gt;0)*(機器台帳!$F$2:$F$400&lt;&gt;"")*(機器台帳!$C$2:$C$400&lt;=7)*(機器台帳!$C$2:$C$400+機器台帳!$D$2:$D$400-1&gt;=7),0),0))&amp;IF(INDEX(機器台帳!$Y$2:$Y$400,MATCH(1,INDEX((機器台帳!$A$2:$A$400="E24-S8-4")*((機器台帳!$B$2:$B$400="背面")+(機器台帳!$B$2:$B$400="両面")&gt;0)*(機器台帳!$F$2:$F$400&lt;&gt;"")*(機器台帳!$C$2:$C$400&lt;=7)*(機器台帳!$C$2:$C$400+機器台帳!$D$2:$D$400-1&gt;=7),0),0))=0,"|未記入",""))</f>
        <v/>
      </c>
      <c r="R44" s="12">
        <f>IF(SUMPRODUCT((機器台帳!$A$2:$A$400="E24-S8-5")*((機器台帳!$B$2:$B$400="前面")+(機器台帳!$B$2:$B$400="両面")&gt;0)*(機器台帳!$F$2:$F$400&lt;&gt;"")*(機器台帳!$C$2:$C$400&lt;=7)*(機器台帳!$C$2:$C$400+機器台帳!$D$2:$D$400-1&gt;=7))=0,"",INDEX(機器台帳!$F$2:$F$400,MATCH(1,INDEX((機器台帳!$A$2:$A$400="E24-S8-5")*((機器台帳!$B$2:$B$400="前面")+(機器台帳!$B$2:$B$400="両面")&gt;0)*(機器台帳!$F$2:$F$400&lt;&gt;"")*(機器台帳!$C$2:$C$400&lt;=7)*(機器台帳!$C$2:$C$400+機器台帳!$D$2:$D$400-1&gt;=7),0),0))&amp;IF(INDEX(機器台帳!$G$2:$G$400,MATCH(1,INDEX((機器台帳!$A$2:$A$400="E24-S8-5")*((機器台帳!$B$2:$B$400="前面")+(機器台帳!$B$2:$B$400="両面")&gt;0)*(機器台帳!$F$2:$F$400&lt;&gt;"")*(機器台帳!$C$2:$C$400&lt;=7)*(機器台帳!$C$2:$C$400+機器台帳!$D$2:$D$400-1&gt;=7),0),0))=""," "," "&amp;INDEX(機器台帳!$G$2:$G$400,MATCH(1,INDEX((機器台帳!$A$2:$A$400="E24-S8-5")*((機器台帳!$B$2:$B$400="前面")+(機器台帳!$B$2:$B$400="両面")&gt;0)*(機器台帳!$F$2:$F$400&lt;&gt;"")*(機器台帳!$C$2:$C$400&lt;=7)*(機器台帳!$C$2:$C$400+機器台帳!$D$2:$D$400-1&gt;=7),0),0)))&amp;IF(SUMPRODUCT((機器台帳!$A$2:$A$400="E24-S8-5")*((機器台帳!$B$2:$B$400="前面")+(機器台帳!$B$2:$B$400="両面")&gt;0)*(機器台帳!$F$2:$F$400&lt;&gt;"")*(機器台帳!$C$2:$C$400&lt;=7)*(機器台帳!$C$2:$C$400+機器台帳!$D$2:$D$400-1&gt;=7))&gt;1," 他"&amp;(SUMPRODUCT((機器台帳!$A$2:$A$400="E24-S8-5")*((機器台帳!$B$2:$B$400="前面")+(機器台帳!$B$2:$B$400="両面")&gt;0)*(機器台帳!$F$2:$F$400&lt;&gt;"")*(機器台帳!$C$2:$C$400&lt;=7)*(機器台帳!$C$2:$C$400+機器台帳!$D$2:$D$400-1&gt;=7))-1)&amp;"台",""))</f>
        <v/>
      </c>
      <c r="S44">
        <f>IF(SUMPRODUCT((機器台帳!$A$2:$A$400="E24-S8-5")*((機器台帳!$B$2:$B$400="前面")+(機器台帳!$B$2:$B$400="両面")&gt;0)*(機器台帳!$F$2:$F$400&lt;&gt;"")*(機器台帳!$C$2:$C$400&lt;=7)*(機器台帳!$C$2:$C$400+機器台帳!$D$2:$D$400-1&gt;=7))=0,"",INDEX(機器台帳!$I$2:$I$400,MATCH(1,INDEX((機器台帳!$A$2:$A$400="E24-S8-5")*((機器台帳!$B$2:$B$400="前面")+(機器台帳!$B$2:$B$400="両面")&gt;0)*(機器台帳!$F$2:$F$400&lt;&gt;"")*(機器台帳!$C$2:$C$400&lt;=7)*(機器台帳!$C$2:$C$400+機器台帳!$D$2:$D$400-1&gt;=7),0),0))&amp;IF(INDEX(機器台帳!$Y$2:$Y$400,MATCH(1,INDEX((機器台帳!$A$2:$A$400="E24-S8-5")*((機器台帳!$B$2:$B$400="前面")+(機器台帳!$B$2:$B$400="両面")&gt;0)*(機器台帳!$F$2:$F$400&lt;&gt;"")*(機器台帳!$C$2:$C$400&lt;=7)*(機器台帳!$C$2:$C$400+機器台帳!$D$2:$D$400-1&gt;=7),0),0))=0,"|未記入",""))</f>
        <v/>
      </c>
      <c r="T44" s="12">
        <f>IF(SUMPRODUCT((機器台帳!$A$2:$A$400="E24-S8-5")*((機器台帳!$B$2:$B$400="背面")+(機器台帳!$B$2:$B$400="両面")&gt;0)*(機器台帳!$F$2:$F$400&lt;&gt;"")*(機器台帳!$C$2:$C$400&lt;=7)*(機器台帳!$C$2:$C$400+機器台帳!$D$2:$D$400-1&gt;=7))=0,"",INDEX(機器台帳!$F$2:$F$400,MATCH(1,INDEX((機器台帳!$A$2:$A$400="E24-S8-5")*((機器台帳!$B$2:$B$400="背面")+(機器台帳!$B$2:$B$400="両面")&gt;0)*(機器台帳!$F$2:$F$400&lt;&gt;"")*(機器台帳!$C$2:$C$400&lt;=7)*(機器台帳!$C$2:$C$400+機器台帳!$D$2:$D$400-1&gt;=7),0),0))&amp;IF(INDEX(機器台帳!$G$2:$G$400,MATCH(1,INDEX((機器台帳!$A$2:$A$400="E24-S8-5")*((機器台帳!$B$2:$B$400="背面")+(機器台帳!$B$2:$B$400="両面")&gt;0)*(機器台帳!$F$2:$F$400&lt;&gt;"")*(機器台帳!$C$2:$C$400&lt;=7)*(機器台帳!$C$2:$C$400+機器台帳!$D$2:$D$400-1&gt;=7),0),0))=""," "," "&amp;INDEX(機器台帳!$G$2:$G$400,MATCH(1,INDEX((機器台帳!$A$2:$A$400="E24-S8-5")*((機器台帳!$B$2:$B$400="背面")+(機器台帳!$B$2:$B$400="両面")&gt;0)*(機器台帳!$F$2:$F$400&lt;&gt;"")*(機器台帳!$C$2:$C$400&lt;=7)*(機器台帳!$C$2:$C$400+機器台帳!$D$2:$D$400-1&gt;=7),0),0)))&amp;IF(SUMPRODUCT((機器台帳!$A$2:$A$400="E24-S8-5")*((機器台帳!$B$2:$B$400="背面")+(機器台帳!$B$2:$B$400="両面")&gt;0)*(機器台帳!$F$2:$F$400&lt;&gt;"")*(機器台帳!$C$2:$C$400&lt;=7)*(機器台帳!$C$2:$C$400+機器台帳!$D$2:$D$400-1&gt;=7))&gt;1," 他"&amp;(SUMPRODUCT((機器台帳!$A$2:$A$400="E24-S8-5")*((機器台帳!$B$2:$B$400="背面")+(機器台帳!$B$2:$B$400="両面")&gt;0)*(機器台帳!$F$2:$F$400&lt;&gt;"")*(機器台帳!$C$2:$C$400&lt;=7)*(機器台帳!$C$2:$C$400+機器台帳!$D$2:$D$400-1&gt;=7))-1)&amp;"台",""))</f>
        <v/>
      </c>
      <c r="U44">
        <f>IF(SUMPRODUCT((機器台帳!$A$2:$A$400="E24-S8-5")*((機器台帳!$B$2:$B$400="背面")+(機器台帳!$B$2:$B$400="両面")&gt;0)*(機器台帳!$F$2:$F$400&lt;&gt;"")*(機器台帳!$C$2:$C$400&lt;=7)*(機器台帳!$C$2:$C$400+機器台帳!$D$2:$D$400-1&gt;=7))=0,"",INDEX(機器台帳!$I$2:$I$400,MATCH(1,INDEX((機器台帳!$A$2:$A$400="E24-S8-5")*((機器台帳!$B$2:$B$400="背面")+(機器台帳!$B$2:$B$400="両面")&gt;0)*(機器台帳!$F$2:$F$400&lt;&gt;"")*(機器台帳!$C$2:$C$400&lt;=7)*(機器台帳!$C$2:$C$400+機器台帳!$D$2:$D$400-1&gt;=7),0),0))&amp;IF(INDEX(機器台帳!$Y$2:$Y$400,MATCH(1,INDEX((機器台帳!$A$2:$A$400="E24-S8-5")*((機器台帳!$B$2:$B$400="背面")+(機器台帳!$B$2:$B$400="両面")&gt;0)*(機器台帳!$F$2:$F$400&lt;&gt;"")*(機器台帳!$C$2:$C$400&lt;=7)*(機器台帳!$C$2:$C$400+機器台帳!$D$2:$D$400-1&gt;=7),0),0))=0,"|未記入",""))</f>
        <v/>
      </c>
      <c r="V44" s="12">
        <f>IF(SUMPRODUCT((機器台帳!$A$2:$A$400="E24-S6-1")*((機器台帳!$B$2:$B$400="前面")+(機器台帳!$B$2:$B$400="両面")&gt;0)*(機器台帳!$F$2:$F$400&lt;&gt;"")*(機器台帳!$C$2:$C$400&lt;=7)*(機器台帳!$C$2:$C$400+機器台帳!$D$2:$D$400-1&gt;=7))=0,"",INDEX(機器台帳!$F$2:$F$400,MATCH(1,INDEX((機器台帳!$A$2:$A$400="E24-S6-1")*((機器台帳!$B$2:$B$400="前面")+(機器台帳!$B$2:$B$400="両面")&gt;0)*(機器台帳!$F$2:$F$400&lt;&gt;"")*(機器台帳!$C$2:$C$400&lt;=7)*(機器台帳!$C$2:$C$400+機器台帳!$D$2:$D$400-1&gt;=7),0),0))&amp;IF(INDEX(機器台帳!$G$2:$G$400,MATCH(1,INDEX((機器台帳!$A$2:$A$400="E24-S6-1")*((機器台帳!$B$2:$B$400="前面")+(機器台帳!$B$2:$B$400="両面")&gt;0)*(機器台帳!$F$2:$F$400&lt;&gt;"")*(機器台帳!$C$2:$C$400&lt;=7)*(機器台帳!$C$2:$C$400+機器台帳!$D$2:$D$400-1&gt;=7),0),0))=""," "," "&amp;INDEX(機器台帳!$G$2:$G$400,MATCH(1,INDEX((機器台帳!$A$2:$A$400="E24-S6-1")*((機器台帳!$B$2:$B$400="前面")+(機器台帳!$B$2:$B$400="両面")&gt;0)*(機器台帳!$F$2:$F$400&lt;&gt;"")*(機器台帳!$C$2:$C$400&lt;=7)*(機器台帳!$C$2:$C$400+機器台帳!$D$2:$D$400-1&gt;=7),0),0)))&amp;IF(SUMPRODUCT((機器台帳!$A$2:$A$400="E24-S6-1")*((機器台帳!$B$2:$B$400="前面")+(機器台帳!$B$2:$B$400="両面")&gt;0)*(機器台帳!$F$2:$F$400&lt;&gt;"")*(機器台帳!$C$2:$C$400&lt;=7)*(機器台帳!$C$2:$C$400+機器台帳!$D$2:$D$400-1&gt;=7))&gt;1," 他"&amp;(SUMPRODUCT((機器台帳!$A$2:$A$400="E24-S6-1")*((機器台帳!$B$2:$B$400="前面")+(機器台帳!$B$2:$B$400="両面")&gt;0)*(機器台帳!$F$2:$F$400&lt;&gt;"")*(機器台帳!$C$2:$C$400&lt;=7)*(機器台帳!$C$2:$C$400+機器台帳!$D$2:$D$400-1&gt;=7))-1)&amp;"台",""))</f>
        <v/>
      </c>
      <c r="W44">
        <f>IF(SUMPRODUCT((機器台帳!$A$2:$A$400="E24-S6-1")*((機器台帳!$B$2:$B$400="前面")+(機器台帳!$B$2:$B$400="両面")&gt;0)*(機器台帳!$F$2:$F$400&lt;&gt;"")*(機器台帳!$C$2:$C$400&lt;=7)*(機器台帳!$C$2:$C$400+機器台帳!$D$2:$D$400-1&gt;=7))=0,"",INDEX(機器台帳!$I$2:$I$400,MATCH(1,INDEX((機器台帳!$A$2:$A$400="E24-S6-1")*((機器台帳!$B$2:$B$400="前面")+(機器台帳!$B$2:$B$400="両面")&gt;0)*(機器台帳!$F$2:$F$400&lt;&gt;"")*(機器台帳!$C$2:$C$400&lt;=7)*(機器台帳!$C$2:$C$400+機器台帳!$D$2:$D$400-1&gt;=7),0),0))&amp;IF(INDEX(機器台帳!$Y$2:$Y$400,MATCH(1,INDEX((機器台帳!$A$2:$A$400="E24-S6-1")*((機器台帳!$B$2:$B$400="前面")+(機器台帳!$B$2:$B$400="両面")&gt;0)*(機器台帳!$F$2:$F$400&lt;&gt;"")*(機器台帳!$C$2:$C$400&lt;=7)*(機器台帳!$C$2:$C$400+機器台帳!$D$2:$D$400-1&gt;=7),0),0))=0,"|未記入",""))</f>
        <v/>
      </c>
      <c r="X44" s="12">
        <f>IF(SUMPRODUCT((機器台帳!$A$2:$A$400="E24-S6-1")*((機器台帳!$B$2:$B$400="背面")+(機器台帳!$B$2:$B$400="両面")&gt;0)*(機器台帳!$F$2:$F$400&lt;&gt;"")*(機器台帳!$C$2:$C$400&lt;=7)*(機器台帳!$C$2:$C$400+機器台帳!$D$2:$D$400-1&gt;=7))=0,"",INDEX(機器台帳!$F$2:$F$400,MATCH(1,INDEX((機器台帳!$A$2:$A$400="E24-S6-1")*((機器台帳!$B$2:$B$400="背面")+(機器台帳!$B$2:$B$400="両面")&gt;0)*(機器台帳!$F$2:$F$400&lt;&gt;"")*(機器台帳!$C$2:$C$400&lt;=7)*(機器台帳!$C$2:$C$400+機器台帳!$D$2:$D$400-1&gt;=7),0),0))&amp;IF(INDEX(機器台帳!$G$2:$G$400,MATCH(1,INDEX((機器台帳!$A$2:$A$400="E24-S6-1")*((機器台帳!$B$2:$B$400="背面")+(機器台帳!$B$2:$B$400="両面")&gt;0)*(機器台帳!$F$2:$F$400&lt;&gt;"")*(機器台帳!$C$2:$C$400&lt;=7)*(機器台帳!$C$2:$C$400+機器台帳!$D$2:$D$400-1&gt;=7),0),0))=""," "," "&amp;INDEX(機器台帳!$G$2:$G$400,MATCH(1,INDEX((機器台帳!$A$2:$A$400="E24-S6-1")*((機器台帳!$B$2:$B$400="背面")+(機器台帳!$B$2:$B$400="両面")&gt;0)*(機器台帳!$F$2:$F$400&lt;&gt;"")*(機器台帳!$C$2:$C$400&lt;=7)*(機器台帳!$C$2:$C$400+機器台帳!$D$2:$D$400-1&gt;=7),0),0)))&amp;IF(SUMPRODUCT((機器台帳!$A$2:$A$400="E24-S6-1")*((機器台帳!$B$2:$B$400="背面")+(機器台帳!$B$2:$B$400="両面")&gt;0)*(機器台帳!$F$2:$F$400&lt;&gt;"")*(機器台帳!$C$2:$C$400&lt;=7)*(機器台帳!$C$2:$C$400+機器台帳!$D$2:$D$400-1&gt;=7))&gt;1," 他"&amp;(SUMPRODUCT((機器台帳!$A$2:$A$400="E24-S6-1")*((機器台帳!$B$2:$B$400="背面")+(機器台帳!$B$2:$B$400="両面")&gt;0)*(機器台帳!$F$2:$F$400&lt;&gt;"")*(機器台帳!$C$2:$C$400&lt;=7)*(機器台帳!$C$2:$C$400+機器台帳!$D$2:$D$400-1&gt;=7))-1)&amp;"台",""))</f>
        <v/>
      </c>
      <c r="Y44">
        <f>IF(SUMPRODUCT((機器台帳!$A$2:$A$400="E24-S6-1")*((機器台帳!$B$2:$B$400="背面")+(機器台帳!$B$2:$B$400="両面")&gt;0)*(機器台帳!$F$2:$F$400&lt;&gt;"")*(機器台帳!$C$2:$C$400&lt;=7)*(機器台帳!$C$2:$C$400+機器台帳!$D$2:$D$400-1&gt;=7))=0,"",INDEX(機器台帳!$I$2:$I$400,MATCH(1,INDEX((機器台帳!$A$2:$A$400="E24-S6-1")*((機器台帳!$B$2:$B$400="背面")+(機器台帳!$B$2:$B$400="両面")&gt;0)*(機器台帳!$F$2:$F$400&lt;&gt;"")*(機器台帳!$C$2:$C$400&lt;=7)*(機器台帳!$C$2:$C$400+機器台帳!$D$2:$D$400-1&gt;=7),0),0))&amp;IF(INDEX(機器台帳!$Y$2:$Y$400,MATCH(1,INDEX((機器台帳!$A$2:$A$400="E24-S6-1")*((機器台帳!$B$2:$B$400="背面")+(機器台帳!$B$2:$B$400="両面")&gt;0)*(機器台帳!$F$2:$F$400&lt;&gt;"")*(機器台帳!$C$2:$C$400&lt;=7)*(機器台帳!$C$2:$C$400+機器台帳!$D$2:$D$400-1&gt;=7),0),0))=0,"|未記入",""))</f>
        <v/>
      </c>
    </row>
    <row r="45">
      <c r="A45" s="11" t="n">
        <v>6</v>
      </c>
      <c r="B45" s="12">
        <f>IF(SUMPRODUCT((機器台帳!$A$2:$A$400="E24-S8-1")*((機器台帳!$B$2:$B$400="前面")+(機器台帳!$B$2:$B$400="両面")&gt;0)*(機器台帳!$F$2:$F$400&lt;&gt;"")*(機器台帳!$C$2:$C$400&lt;=6)*(機器台帳!$C$2:$C$400+機器台帳!$D$2:$D$400-1&gt;=6))=0,"",INDEX(機器台帳!$F$2:$F$400,MATCH(1,INDEX((機器台帳!$A$2:$A$400="E24-S8-1")*((機器台帳!$B$2:$B$400="前面")+(機器台帳!$B$2:$B$400="両面")&gt;0)*(機器台帳!$F$2:$F$400&lt;&gt;"")*(機器台帳!$C$2:$C$400&lt;=6)*(機器台帳!$C$2:$C$400+機器台帳!$D$2:$D$400-1&gt;=6),0),0))&amp;IF(INDEX(機器台帳!$G$2:$G$400,MATCH(1,INDEX((機器台帳!$A$2:$A$400="E24-S8-1")*((機器台帳!$B$2:$B$400="前面")+(機器台帳!$B$2:$B$400="両面")&gt;0)*(機器台帳!$F$2:$F$400&lt;&gt;"")*(機器台帳!$C$2:$C$400&lt;=6)*(機器台帳!$C$2:$C$400+機器台帳!$D$2:$D$400-1&gt;=6),0),0))=""," "," "&amp;INDEX(機器台帳!$G$2:$G$400,MATCH(1,INDEX((機器台帳!$A$2:$A$400="E24-S8-1")*((機器台帳!$B$2:$B$400="前面")+(機器台帳!$B$2:$B$400="両面")&gt;0)*(機器台帳!$F$2:$F$400&lt;&gt;"")*(機器台帳!$C$2:$C$400&lt;=6)*(機器台帳!$C$2:$C$400+機器台帳!$D$2:$D$400-1&gt;=6),0),0)))&amp;IF(SUMPRODUCT((機器台帳!$A$2:$A$400="E24-S8-1")*((機器台帳!$B$2:$B$400="前面")+(機器台帳!$B$2:$B$400="両面")&gt;0)*(機器台帳!$F$2:$F$400&lt;&gt;"")*(機器台帳!$C$2:$C$400&lt;=6)*(機器台帳!$C$2:$C$400+機器台帳!$D$2:$D$400-1&gt;=6))&gt;1," 他"&amp;(SUMPRODUCT((機器台帳!$A$2:$A$400="E24-S8-1")*((機器台帳!$B$2:$B$400="前面")+(機器台帳!$B$2:$B$400="両面")&gt;0)*(機器台帳!$F$2:$F$400&lt;&gt;"")*(機器台帳!$C$2:$C$400&lt;=6)*(機器台帳!$C$2:$C$400+機器台帳!$D$2:$D$400-1&gt;=6))-1)&amp;"台",""))</f>
        <v/>
      </c>
      <c r="C45">
        <f>IF(SUMPRODUCT((機器台帳!$A$2:$A$400="E24-S8-1")*((機器台帳!$B$2:$B$400="前面")+(機器台帳!$B$2:$B$400="両面")&gt;0)*(機器台帳!$F$2:$F$400&lt;&gt;"")*(機器台帳!$C$2:$C$400&lt;=6)*(機器台帳!$C$2:$C$400+機器台帳!$D$2:$D$400-1&gt;=6))=0,"",INDEX(機器台帳!$I$2:$I$400,MATCH(1,INDEX((機器台帳!$A$2:$A$400="E24-S8-1")*((機器台帳!$B$2:$B$400="前面")+(機器台帳!$B$2:$B$400="両面")&gt;0)*(機器台帳!$F$2:$F$400&lt;&gt;"")*(機器台帳!$C$2:$C$400&lt;=6)*(機器台帳!$C$2:$C$400+機器台帳!$D$2:$D$400-1&gt;=6),0),0))&amp;IF(INDEX(機器台帳!$Y$2:$Y$400,MATCH(1,INDEX((機器台帳!$A$2:$A$400="E24-S8-1")*((機器台帳!$B$2:$B$400="前面")+(機器台帳!$B$2:$B$400="両面")&gt;0)*(機器台帳!$F$2:$F$400&lt;&gt;"")*(機器台帳!$C$2:$C$400&lt;=6)*(機器台帳!$C$2:$C$400+機器台帳!$D$2:$D$400-1&gt;=6),0),0))=0,"|未記入",""))</f>
        <v/>
      </c>
      <c r="D45" s="12">
        <f>IF(SUMPRODUCT((機器台帳!$A$2:$A$400="E24-S8-1")*((機器台帳!$B$2:$B$400="背面")+(機器台帳!$B$2:$B$400="両面")&gt;0)*(機器台帳!$F$2:$F$400&lt;&gt;"")*(機器台帳!$C$2:$C$400&lt;=6)*(機器台帳!$C$2:$C$400+機器台帳!$D$2:$D$400-1&gt;=6))=0,"",INDEX(機器台帳!$F$2:$F$400,MATCH(1,INDEX((機器台帳!$A$2:$A$400="E24-S8-1")*((機器台帳!$B$2:$B$400="背面")+(機器台帳!$B$2:$B$400="両面")&gt;0)*(機器台帳!$F$2:$F$400&lt;&gt;"")*(機器台帳!$C$2:$C$400&lt;=6)*(機器台帳!$C$2:$C$400+機器台帳!$D$2:$D$400-1&gt;=6),0),0))&amp;IF(INDEX(機器台帳!$G$2:$G$400,MATCH(1,INDEX((機器台帳!$A$2:$A$400="E24-S8-1")*((機器台帳!$B$2:$B$400="背面")+(機器台帳!$B$2:$B$400="両面")&gt;0)*(機器台帳!$F$2:$F$400&lt;&gt;"")*(機器台帳!$C$2:$C$400&lt;=6)*(機器台帳!$C$2:$C$400+機器台帳!$D$2:$D$400-1&gt;=6),0),0))=""," "," "&amp;INDEX(機器台帳!$G$2:$G$400,MATCH(1,INDEX((機器台帳!$A$2:$A$400="E24-S8-1")*((機器台帳!$B$2:$B$400="背面")+(機器台帳!$B$2:$B$400="両面")&gt;0)*(機器台帳!$F$2:$F$400&lt;&gt;"")*(機器台帳!$C$2:$C$400&lt;=6)*(機器台帳!$C$2:$C$400+機器台帳!$D$2:$D$400-1&gt;=6),0),0)))&amp;IF(SUMPRODUCT((機器台帳!$A$2:$A$400="E24-S8-1")*((機器台帳!$B$2:$B$400="背面")+(機器台帳!$B$2:$B$400="両面")&gt;0)*(機器台帳!$F$2:$F$400&lt;&gt;"")*(機器台帳!$C$2:$C$400&lt;=6)*(機器台帳!$C$2:$C$400+機器台帳!$D$2:$D$400-1&gt;=6))&gt;1," 他"&amp;(SUMPRODUCT((機器台帳!$A$2:$A$400="E24-S8-1")*((機器台帳!$B$2:$B$400="背面")+(機器台帳!$B$2:$B$400="両面")&gt;0)*(機器台帳!$F$2:$F$400&lt;&gt;"")*(機器台帳!$C$2:$C$400&lt;=6)*(機器台帳!$C$2:$C$400+機器台帳!$D$2:$D$400-1&gt;=6))-1)&amp;"台",""))</f>
        <v/>
      </c>
      <c r="E45">
        <f>IF(SUMPRODUCT((機器台帳!$A$2:$A$400="E24-S8-1")*((機器台帳!$B$2:$B$400="背面")+(機器台帳!$B$2:$B$400="両面")&gt;0)*(機器台帳!$F$2:$F$400&lt;&gt;"")*(機器台帳!$C$2:$C$400&lt;=6)*(機器台帳!$C$2:$C$400+機器台帳!$D$2:$D$400-1&gt;=6))=0,"",INDEX(機器台帳!$I$2:$I$400,MATCH(1,INDEX((機器台帳!$A$2:$A$400="E24-S8-1")*((機器台帳!$B$2:$B$400="背面")+(機器台帳!$B$2:$B$400="両面")&gt;0)*(機器台帳!$F$2:$F$400&lt;&gt;"")*(機器台帳!$C$2:$C$400&lt;=6)*(機器台帳!$C$2:$C$400+機器台帳!$D$2:$D$400-1&gt;=6),0),0))&amp;IF(INDEX(機器台帳!$Y$2:$Y$400,MATCH(1,INDEX((機器台帳!$A$2:$A$400="E24-S8-1")*((機器台帳!$B$2:$B$400="背面")+(機器台帳!$B$2:$B$400="両面")&gt;0)*(機器台帳!$F$2:$F$400&lt;&gt;"")*(機器台帳!$C$2:$C$400&lt;=6)*(機器台帳!$C$2:$C$400+機器台帳!$D$2:$D$400-1&gt;=6),0),0))=0,"|未記入",""))</f>
        <v/>
      </c>
      <c r="F45" s="12">
        <f>IF(SUMPRODUCT((機器台帳!$A$2:$A$400="E24-S8-2")*((機器台帳!$B$2:$B$400="前面")+(機器台帳!$B$2:$B$400="両面")&gt;0)*(機器台帳!$F$2:$F$400&lt;&gt;"")*(機器台帳!$C$2:$C$400&lt;=6)*(機器台帳!$C$2:$C$400+機器台帳!$D$2:$D$400-1&gt;=6))=0,"",INDEX(機器台帳!$F$2:$F$400,MATCH(1,INDEX((機器台帳!$A$2:$A$400="E24-S8-2")*((機器台帳!$B$2:$B$400="前面")+(機器台帳!$B$2:$B$400="両面")&gt;0)*(機器台帳!$F$2:$F$400&lt;&gt;"")*(機器台帳!$C$2:$C$400&lt;=6)*(機器台帳!$C$2:$C$400+機器台帳!$D$2:$D$400-1&gt;=6),0),0))&amp;IF(INDEX(機器台帳!$G$2:$G$400,MATCH(1,INDEX((機器台帳!$A$2:$A$400="E24-S8-2")*((機器台帳!$B$2:$B$400="前面")+(機器台帳!$B$2:$B$400="両面")&gt;0)*(機器台帳!$F$2:$F$400&lt;&gt;"")*(機器台帳!$C$2:$C$400&lt;=6)*(機器台帳!$C$2:$C$400+機器台帳!$D$2:$D$400-1&gt;=6),0),0))=""," "," "&amp;INDEX(機器台帳!$G$2:$G$400,MATCH(1,INDEX((機器台帳!$A$2:$A$400="E24-S8-2")*((機器台帳!$B$2:$B$400="前面")+(機器台帳!$B$2:$B$400="両面")&gt;0)*(機器台帳!$F$2:$F$400&lt;&gt;"")*(機器台帳!$C$2:$C$400&lt;=6)*(機器台帳!$C$2:$C$400+機器台帳!$D$2:$D$400-1&gt;=6),0),0)))&amp;IF(SUMPRODUCT((機器台帳!$A$2:$A$400="E24-S8-2")*((機器台帳!$B$2:$B$400="前面")+(機器台帳!$B$2:$B$400="両面")&gt;0)*(機器台帳!$F$2:$F$400&lt;&gt;"")*(機器台帳!$C$2:$C$400&lt;=6)*(機器台帳!$C$2:$C$400+機器台帳!$D$2:$D$400-1&gt;=6))&gt;1," 他"&amp;(SUMPRODUCT((機器台帳!$A$2:$A$400="E24-S8-2")*((機器台帳!$B$2:$B$400="前面")+(機器台帳!$B$2:$B$400="両面")&gt;0)*(機器台帳!$F$2:$F$400&lt;&gt;"")*(機器台帳!$C$2:$C$400&lt;=6)*(機器台帳!$C$2:$C$400+機器台帳!$D$2:$D$400-1&gt;=6))-1)&amp;"台",""))</f>
        <v/>
      </c>
      <c r="G45">
        <f>IF(SUMPRODUCT((機器台帳!$A$2:$A$400="E24-S8-2")*((機器台帳!$B$2:$B$400="前面")+(機器台帳!$B$2:$B$400="両面")&gt;0)*(機器台帳!$F$2:$F$400&lt;&gt;"")*(機器台帳!$C$2:$C$400&lt;=6)*(機器台帳!$C$2:$C$400+機器台帳!$D$2:$D$400-1&gt;=6))=0,"",INDEX(機器台帳!$I$2:$I$400,MATCH(1,INDEX((機器台帳!$A$2:$A$400="E24-S8-2")*((機器台帳!$B$2:$B$400="前面")+(機器台帳!$B$2:$B$400="両面")&gt;0)*(機器台帳!$F$2:$F$400&lt;&gt;"")*(機器台帳!$C$2:$C$400&lt;=6)*(機器台帳!$C$2:$C$400+機器台帳!$D$2:$D$400-1&gt;=6),0),0))&amp;IF(INDEX(機器台帳!$Y$2:$Y$400,MATCH(1,INDEX((機器台帳!$A$2:$A$400="E24-S8-2")*((機器台帳!$B$2:$B$400="前面")+(機器台帳!$B$2:$B$400="両面")&gt;0)*(機器台帳!$F$2:$F$400&lt;&gt;"")*(機器台帳!$C$2:$C$400&lt;=6)*(機器台帳!$C$2:$C$400+機器台帳!$D$2:$D$400-1&gt;=6),0),0))=0,"|未記入",""))</f>
        <v/>
      </c>
      <c r="H45" s="12">
        <f>IF(SUMPRODUCT((機器台帳!$A$2:$A$400="E24-S8-2")*((機器台帳!$B$2:$B$400="背面")+(機器台帳!$B$2:$B$400="両面")&gt;0)*(機器台帳!$F$2:$F$400&lt;&gt;"")*(機器台帳!$C$2:$C$400&lt;=6)*(機器台帳!$C$2:$C$400+機器台帳!$D$2:$D$400-1&gt;=6))=0,"",INDEX(機器台帳!$F$2:$F$400,MATCH(1,INDEX((機器台帳!$A$2:$A$400="E24-S8-2")*((機器台帳!$B$2:$B$400="背面")+(機器台帳!$B$2:$B$400="両面")&gt;0)*(機器台帳!$F$2:$F$400&lt;&gt;"")*(機器台帳!$C$2:$C$400&lt;=6)*(機器台帳!$C$2:$C$400+機器台帳!$D$2:$D$400-1&gt;=6),0),0))&amp;IF(INDEX(機器台帳!$G$2:$G$400,MATCH(1,INDEX((機器台帳!$A$2:$A$400="E24-S8-2")*((機器台帳!$B$2:$B$400="背面")+(機器台帳!$B$2:$B$400="両面")&gt;0)*(機器台帳!$F$2:$F$400&lt;&gt;"")*(機器台帳!$C$2:$C$400&lt;=6)*(機器台帳!$C$2:$C$400+機器台帳!$D$2:$D$400-1&gt;=6),0),0))=""," "," "&amp;INDEX(機器台帳!$G$2:$G$400,MATCH(1,INDEX((機器台帳!$A$2:$A$400="E24-S8-2")*((機器台帳!$B$2:$B$400="背面")+(機器台帳!$B$2:$B$400="両面")&gt;0)*(機器台帳!$F$2:$F$400&lt;&gt;"")*(機器台帳!$C$2:$C$400&lt;=6)*(機器台帳!$C$2:$C$400+機器台帳!$D$2:$D$400-1&gt;=6),0),0)))&amp;IF(SUMPRODUCT((機器台帳!$A$2:$A$400="E24-S8-2")*((機器台帳!$B$2:$B$400="背面")+(機器台帳!$B$2:$B$400="両面")&gt;0)*(機器台帳!$F$2:$F$400&lt;&gt;"")*(機器台帳!$C$2:$C$400&lt;=6)*(機器台帳!$C$2:$C$400+機器台帳!$D$2:$D$400-1&gt;=6))&gt;1," 他"&amp;(SUMPRODUCT((機器台帳!$A$2:$A$400="E24-S8-2")*((機器台帳!$B$2:$B$400="背面")+(機器台帳!$B$2:$B$400="両面")&gt;0)*(機器台帳!$F$2:$F$400&lt;&gt;"")*(機器台帳!$C$2:$C$400&lt;=6)*(機器台帳!$C$2:$C$400+機器台帳!$D$2:$D$400-1&gt;=6))-1)&amp;"台",""))</f>
        <v/>
      </c>
      <c r="I45">
        <f>IF(SUMPRODUCT((機器台帳!$A$2:$A$400="E24-S8-2")*((機器台帳!$B$2:$B$400="背面")+(機器台帳!$B$2:$B$400="両面")&gt;0)*(機器台帳!$F$2:$F$400&lt;&gt;"")*(機器台帳!$C$2:$C$400&lt;=6)*(機器台帳!$C$2:$C$400+機器台帳!$D$2:$D$400-1&gt;=6))=0,"",INDEX(機器台帳!$I$2:$I$400,MATCH(1,INDEX((機器台帳!$A$2:$A$400="E24-S8-2")*((機器台帳!$B$2:$B$400="背面")+(機器台帳!$B$2:$B$400="両面")&gt;0)*(機器台帳!$F$2:$F$400&lt;&gt;"")*(機器台帳!$C$2:$C$400&lt;=6)*(機器台帳!$C$2:$C$400+機器台帳!$D$2:$D$400-1&gt;=6),0),0))&amp;IF(INDEX(機器台帳!$Y$2:$Y$400,MATCH(1,INDEX((機器台帳!$A$2:$A$400="E24-S8-2")*((機器台帳!$B$2:$B$400="背面")+(機器台帳!$B$2:$B$400="両面")&gt;0)*(機器台帳!$F$2:$F$400&lt;&gt;"")*(機器台帳!$C$2:$C$400&lt;=6)*(機器台帳!$C$2:$C$400+機器台帳!$D$2:$D$400-1&gt;=6),0),0))=0,"|未記入",""))</f>
        <v/>
      </c>
      <c r="J45" s="12">
        <f>IF(SUMPRODUCT((機器台帳!$A$2:$A$400="E24-S8-3")*((機器台帳!$B$2:$B$400="前面")+(機器台帳!$B$2:$B$400="両面")&gt;0)*(機器台帳!$F$2:$F$400&lt;&gt;"")*(機器台帳!$C$2:$C$400&lt;=6)*(機器台帳!$C$2:$C$400+機器台帳!$D$2:$D$400-1&gt;=6))=0,"",INDEX(機器台帳!$F$2:$F$400,MATCH(1,INDEX((機器台帳!$A$2:$A$400="E24-S8-3")*((機器台帳!$B$2:$B$400="前面")+(機器台帳!$B$2:$B$400="両面")&gt;0)*(機器台帳!$F$2:$F$400&lt;&gt;"")*(機器台帳!$C$2:$C$400&lt;=6)*(機器台帳!$C$2:$C$400+機器台帳!$D$2:$D$400-1&gt;=6),0),0))&amp;IF(INDEX(機器台帳!$G$2:$G$400,MATCH(1,INDEX((機器台帳!$A$2:$A$400="E24-S8-3")*((機器台帳!$B$2:$B$400="前面")+(機器台帳!$B$2:$B$400="両面")&gt;0)*(機器台帳!$F$2:$F$400&lt;&gt;"")*(機器台帳!$C$2:$C$400&lt;=6)*(機器台帳!$C$2:$C$400+機器台帳!$D$2:$D$400-1&gt;=6),0),0))=""," "," "&amp;INDEX(機器台帳!$G$2:$G$400,MATCH(1,INDEX((機器台帳!$A$2:$A$400="E24-S8-3")*((機器台帳!$B$2:$B$400="前面")+(機器台帳!$B$2:$B$400="両面")&gt;0)*(機器台帳!$F$2:$F$400&lt;&gt;"")*(機器台帳!$C$2:$C$400&lt;=6)*(機器台帳!$C$2:$C$400+機器台帳!$D$2:$D$400-1&gt;=6),0),0)))&amp;IF(SUMPRODUCT((機器台帳!$A$2:$A$400="E24-S8-3")*((機器台帳!$B$2:$B$400="前面")+(機器台帳!$B$2:$B$400="両面")&gt;0)*(機器台帳!$F$2:$F$400&lt;&gt;"")*(機器台帳!$C$2:$C$400&lt;=6)*(機器台帳!$C$2:$C$400+機器台帳!$D$2:$D$400-1&gt;=6))&gt;1," 他"&amp;(SUMPRODUCT((機器台帳!$A$2:$A$400="E24-S8-3")*((機器台帳!$B$2:$B$400="前面")+(機器台帳!$B$2:$B$400="両面")&gt;0)*(機器台帳!$F$2:$F$400&lt;&gt;"")*(機器台帳!$C$2:$C$400&lt;=6)*(機器台帳!$C$2:$C$400+機器台帳!$D$2:$D$400-1&gt;=6))-1)&amp;"台",""))</f>
        <v/>
      </c>
      <c r="K45">
        <f>IF(SUMPRODUCT((機器台帳!$A$2:$A$400="E24-S8-3")*((機器台帳!$B$2:$B$400="前面")+(機器台帳!$B$2:$B$400="両面")&gt;0)*(機器台帳!$F$2:$F$400&lt;&gt;"")*(機器台帳!$C$2:$C$400&lt;=6)*(機器台帳!$C$2:$C$400+機器台帳!$D$2:$D$400-1&gt;=6))=0,"",INDEX(機器台帳!$I$2:$I$400,MATCH(1,INDEX((機器台帳!$A$2:$A$400="E24-S8-3")*((機器台帳!$B$2:$B$400="前面")+(機器台帳!$B$2:$B$400="両面")&gt;0)*(機器台帳!$F$2:$F$400&lt;&gt;"")*(機器台帳!$C$2:$C$400&lt;=6)*(機器台帳!$C$2:$C$400+機器台帳!$D$2:$D$400-1&gt;=6),0),0))&amp;IF(INDEX(機器台帳!$Y$2:$Y$400,MATCH(1,INDEX((機器台帳!$A$2:$A$400="E24-S8-3")*((機器台帳!$B$2:$B$400="前面")+(機器台帳!$B$2:$B$400="両面")&gt;0)*(機器台帳!$F$2:$F$400&lt;&gt;"")*(機器台帳!$C$2:$C$400&lt;=6)*(機器台帳!$C$2:$C$400+機器台帳!$D$2:$D$400-1&gt;=6),0),0))=0,"|未記入",""))</f>
        <v/>
      </c>
      <c r="L45" s="12">
        <f>IF(SUMPRODUCT((機器台帳!$A$2:$A$400="E24-S8-3")*((機器台帳!$B$2:$B$400="背面")+(機器台帳!$B$2:$B$400="両面")&gt;0)*(機器台帳!$F$2:$F$400&lt;&gt;"")*(機器台帳!$C$2:$C$400&lt;=6)*(機器台帳!$C$2:$C$400+機器台帳!$D$2:$D$400-1&gt;=6))=0,"",INDEX(機器台帳!$F$2:$F$400,MATCH(1,INDEX((機器台帳!$A$2:$A$400="E24-S8-3")*((機器台帳!$B$2:$B$400="背面")+(機器台帳!$B$2:$B$400="両面")&gt;0)*(機器台帳!$F$2:$F$400&lt;&gt;"")*(機器台帳!$C$2:$C$400&lt;=6)*(機器台帳!$C$2:$C$400+機器台帳!$D$2:$D$400-1&gt;=6),0),0))&amp;IF(INDEX(機器台帳!$G$2:$G$400,MATCH(1,INDEX((機器台帳!$A$2:$A$400="E24-S8-3")*((機器台帳!$B$2:$B$400="背面")+(機器台帳!$B$2:$B$400="両面")&gt;0)*(機器台帳!$F$2:$F$400&lt;&gt;"")*(機器台帳!$C$2:$C$400&lt;=6)*(機器台帳!$C$2:$C$400+機器台帳!$D$2:$D$400-1&gt;=6),0),0))=""," "," "&amp;INDEX(機器台帳!$G$2:$G$400,MATCH(1,INDEX((機器台帳!$A$2:$A$400="E24-S8-3")*((機器台帳!$B$2:$B$400="背面")+(機器台帳!$B$2:$B$400="両面")&gt;0)*(機器台帳!$F$2:$F$400&lt;&gt;"")*(機器台帳!$C$2:$C$400&lt;=6)*(機器台帳!$C$2:$C$400+機器台帳!$D$2:$D$400-1&gt;=6),0),0)))&amp;IF(SUMPRODUCT((機器台帳!$A$2:$A$400="E24-S8-3")*((機器台帳!$B$2:$B$400="背面")+(機器台帳!$B$2:$B$400="両面")&gt;0)*(機器台帳!$F$2:$F$400&lt;&gt;"")*(機器台帳!$C$2:$C$400&lt;=6)*(機器台帳!$C$2:$C$400+機器台帳!$D$2:$D$400-1&gt;=6))&gt;1," 他"&amp;(SUMPRODUCT((機器台帳!$A$2:$A$400="E24-S8-3")*((機器台帳!$B$2:$B$400="背面")+(機器台帳!$B$2:$B$400="両面")&gt;0)*(機器台帳!$F$2:$F$400&lt;&gt;"")*(機器台帳!$C$2:$C$400&lt;=6)*(機器台帳!$C$2:$C$400+機器台帳!$D$2:$D$400-1&gt;=6))-1)&amp;"台",""))</f>
        <v/>
      </c>
      <c r="M45">
        <f>IF(SUMPRODUCT((機器台帳!$A$2:$A$400="E24-S8-3")*((機器台帳!$B$2:$B$400="背面")+(機器台帳!$B$2:$B$400="両面")&gt;0)*(機器台帳!$F$2:$F$400&lt;&gt;"")*(機器台帳!$C$2:$C$400&lt;=6)*(機器台帳!$C$2:$C$400+機器台帳!$D$2:$D$400-1&gt;=6))=0,"",INDEX(機器台帳!$I$2:$I$400,MATCH(1,INDEX((機器台帳!$A$2:$A$400="E24-S8-3")*((機器台帳!$B$2:$B$400="背面")+(機器台帳!$B$2:$B$400="両面")&gt;0)*(機器台帳!$F$2:$F$400&lt;&gt;"")*(機器台帳!$C$2:$C$400&lt;=6)*(機器台帳!$C$2:$C$400+機器台帳!$D$2:$D$400-1&gt;=6),0),0))&amp;IF(INDEX(機器台帳!$Y$2:$Y$400,MATCH(1,INDEX((機器台帳!$A$2:$A$400="E24-S8-3")*((機器台帳!$B$2:$B$400="背面")+(機器台帳!$B$2:$B$400="両面")&gt;0)*(機器台帳!$F$2:$F$400&lt;&gt;"")*(機器台帳!$C$2:$C$400&lt;=6)*(機器台帳!$C$2:$C$400+機器台帳!$D$2:$D$400-1&gt;=6),0),0))=0,"|未記入",""))</f>
        <v/>
      </c>
      <c r="N45" s="12">
        <f>IF(SUMPRODUCT((機器台帳!$A$2:$A$400="E24-S8-4")*((機器台帳!$B$2:$B$400="前面")+(機器台帳!$B$2:$B$400="両面")&gt;0)*(機器台帳!$F$2:$F$400&lt;&gt;"")*(機器台帳!$C$2:$C$400&lt;=6)*(機器台帳!$C$2:$C$400+機器台帳!$D$2:$D$400-1&gt;=6))=0,"",INDEX(機器台帳!$F$2:$F$400,MATCH(1,INDEX((機器台帳!$A$2:$A$400="E24-S8-4")*((機器台帳!$B$2:$B$400="前面")+(機器台帳!$B$2:$B$400="両面")&gt;0)*(機器台帳!$F$2:$F$400&lt;&gt;"")*(機器台帳!$C$2:$C$400&lt;=6)*(機器台帳!$C$2:$C$400+機器台帳!$D$2:$D$400-1&gt;=6),0),0))&amp;IF(INDEX(機器台帳!$G$2:$G$400,MATCH(1,INDEX((機器台帳!$A$2:$A$400="E24-S8-4")*((機器台帳!$B$2:$B$400="前面")+(機器台帳!$B$2:$B$400="両面")&gt;0)*(機器台帳!$F$2:$F$400&lt;&gt;"")*(機器台帳!$C$2:$C$400&lt;=6)*(機器台帳!$C$2:$C$400+機器台帳!$D$2:$D$400-1&gt;=6),0),0))=""," "," "&amp;INDEX(機器台帳!$G$2:$G$400,MATCH(1,INDEX((機器台帳!$A$2:$A$400="E24-S8-4")*((機器台帳!$B$2:$B$400="前面")+(機器台帳!$B$2:$B$400="両面")&gt;0)*(機器台帳!$F$2:$F$400&lt;&gt;"")*(機器台帳!$C$2:$C$400&lt;=6)*(機器台帳!$C$2:$C$400+機器台帳!$D$2:$D$400-1&gt;=6),0),0)))&amp;IF(SUMPRODUCT((機器台帳!$A$2:$A$400="E24-S8-4")*((機器台帳!$B$2:$B$400="前面")+(機器台帳!$B$2:$B$400="両面")&gt;0)*(機器台帳!$F$2:$F$400&lt;&gt;"")*(機器台帳!$C$2:$C$400&lt;=6)*(機器台帳!$C$2:$C$400+機器台帳!$D$2:$D$400-1&gt;=6))&gt;1," 他"&amp;(SUMPRODUCT((機器台帳!$A$2:$A$400="E24-S8-4")*((機器台帳!$B$2:$B$400="前面")+(機器台帳!$B$2:$B$400="両面")&gt;0)*(機器台帳!$F$2:$F$400&lt;&gt;"")*(機器台帳!$C$2:$C$400&lt;=6)*(機器台帳!$C$2:$C$400+機器台帳!$D$2:$D$400-1&gt;=6))-1)&amp;"台",""))</f>
        <v/>
      </c>
      <c r="O45">
        <f>IF(SUMPRODUCT((機器台帳!$A$2:$A$400="E24-S8-4")*((機器台帳!$B$2:$B$400="前面")+(機器台帳!$B$2:$B$400="両面")&gt;0)*(機器台帳!$F$2:$F$400&lt;&gt;"")*(機器台帳!$C$2:$C$400&lt;=6)*(機器台帳!$C$2:$C$400+機器台帳!$D$2:$D$400-1&gt;=6))=0,"",INDEX(機器台帳!$I$2:$I$400,MATCH(1,INDEX((機器台帳!$A$2:$A$400="E24-S8-4")*((機器台帳!$B$2:$B$400="前面")+(機器台帳!$B$2:$B$400="両面")&gt;0)*(機器台帳!$F$2:$F$400&lt;&gt;"")*(機器台帳!$C$2:$C$400&lt;=6)*(機器台帳!$C$2:$C$400+機器台帳!$D$2:$D$400-1&gt;=6),0),0))&amp;IF(INDEX(機器台帳!$Y$2:$Y$400,MATCH(1,INDEX((機器台帳!$A$2:$A$400="E24-S8-4")*((機器台帳!$B$2:$B$400="前面")+(機器台帳!$B$2:$B$400="両面")&gt;0)*(機器台帳!$F$2:$F$400&lt;&gt;"")*(機器台帳!$C$2:$C$400&lt;=6)*(機器台帳!$C$2:$C$400+機器台帳!$D$2:$D$400-1&gt;=6),0),0))=0,"|未記入",""))</f>
        <v/>
      </c>
      <c r="P45" s="12">
        <f>IF(SUMPRODUCT((機器台帳!$A$2:$A$400="E24-S8-4")*((機器台帳!$B$2:$B$400="背面")+(機器台帳!$B$2:$B$400="両面")&gt;0)*(機器台帳!$F$2:$F$400&lt;&gt;"")*(機器台帳!$C$2:$C$400&lt;=6)*(機器台帳!$C$2:$C$400+機器台帳!$D$2:$D$400-1&gt;=6))=0,"",INDEX(機器台帳!$F$2:$F$400,MATCH(1,INDEX((機器台帳!$A$2:$A$400="E24-S8-4")*((機器台帳!$B$2:$B$400="背面")+(機器台帳!$B$2:$B$400="両面")&gt;0)*(機器台帳!$F$2:$F$400&lt;&gt;"")*(機器台帳!$C$2:$C$400&lt;=6)*(機器台帳!$C$2:$C$400+機器台帳!$D$2:$D$400-1&gt;=6),0),0))&amp;IF(INDEX(機器台帳!$G$2:$G$400,MATCH(1,INDEX((機器台帳!$A$2:$A$400="E24-S8-4")*((機器台帳!$B$2:$B$400="背面")+(機器台帳!$B$2:$B$400="両面")&gt;0)*(機器台帳!$F$2:$F$400&lt;&gt;"")*(機器台帳!$C$2:$C$400&lt;=6)*(機器台帳!$C$2:$C$400+機器台帳!$D$2:$D$400-1&gt;=6),0),0))=""," "," "&amp;INDEX(機器台帳!$G$2:$G$400,MATCH(1,INDEX((機器台帳!$A$2:$A$400="E24-S8-4")*((機器台帳!$B$2:$B$400="背面")+(機器台帳!$B$2:$B$400="両面")&gt;0)*(機器台帳!$F$2:$F$400&lt;&gt;"")*(機器台帳!$C$2:$C$400&lt;=6)*(機器台帳!$C$2:$C$400+機器台帳!$D$2:$D$400-1&gt;=6),0),0)))&amp;IF(SUMPRODUCT((機器台帳!$A$2:$A$400="E24-S8-4")*((機器台帳!$B$2:$B$400="背面")+(機器台帳!$B$2:$B$400="両面")&gt;0)*(機器台帳!$F$2:$F$400&lt;&gt;"")*(機器台帳!$C$2:$C$400&lt;=6)*(機器台帳!$C$2:$C$400+機器台帳!$D$2:$D$400-1&gt;=6))&gt;1," 他"&amp;(SUMPRODUCT((機器台帳!$A$2:$A$400="E24-S8-4")*((機器台帳!$B$2:$B$400="背面")+(機器台帳!$B$2:$B$400="両面")&gt;0)*(機器台帳!$F$2:$F$400&lt;&gt;"")*(機器台帳!$C$2:$C$400&lt;=6)*(機器台帳!$C$2:$C$400+機器台帳!$D$2:$D$400-1&gt;=6))-1)&amp;"台",""))</f>
        <v/>
      </c>
      <c r="Q45">
        <f>IF(SUMPRODUCT((機器台帳!$A$2:$A$400="E24-S8-4")*((機器台帳!$B$2:$B$400="背面")+(機器台帳!$B$2:$B$400="両面")&gt;0)*(機器台帳!$F$2:$F$400&lt;&gt;"")*(機器台帳!$C$2:$C$400&lt;=6)*(機器台帳!$C$2:$C$400+機器台帳!$D$2:$D$400-1&gt;=6))=0,"",INDEX(機器台帳!$I$2:$I$400,MATCH(1,INDEX((機器台帳!$A$2:$A$400="E24-S8-4")*((機器台帳!$B$2:$B$400="背面")+(機器台帳!$B$2:$B$400="両面")&gt;0)*(機器台帳!$F$2:$F$400&lt;&gt;"")*(機器台帳!$C$2:$C$400&lt;=6)*(機器台帳!$C$2:$C$400+機器台帳!$D$2:$D$400-1&gt;=6),0),0))&amp;IF(INDEX(機器台帳!$Y$2:$Y$400,MATCH(1,INDEX((機器台帳!$A$2:$A$400="E24-S8-4")*((機器台帳!$B$2:$B$400="背面")+(機器台帳!$B$2:$B$400="両面")&gt;0)*(機器台帳!$F$2:$F$400&lt;&gt;"")*(機器台帳!$C$2:$C$400&lt;=6)*(機器台帳!$C$2:$C$400+機器台帳!$D$2:$D$400-1&gt;=6),0),0))=0,"|未記入",""))</f>
        <v/>
      </c>
      <c r="R45" s="12">
        <f>IF(SUMPRODUCT((機器台帳!$A$2:$A$400="E24-S8-5")*((機器台帳!$B$2:$B$400="前面")+(機器台帳!$B$2:$B$400="両面")&gt;0)*(機器台帳!$F$2:$F$400&lt;&gt;"")*(機器台帳!$C$2:$C$400&lt;=6)*(機器台帳!$C$2:$C$400+機器台帳!$D$2:$D$400-1&gt;=6))=0,"",INDEX(機器台帳!$F$2:$F$400,MATCH(1,INDEX((機器台帳!$A$2:$A$400="E24-S8-5")*((機器台帳!$B$2:$B$400="前面")+(機器台帳!$B$2:$B$400="両面")&gt;0)*(機器台帳!$F$2:$F$400&lt;&gt;"")*(機器台帳!$C$2:$C$400&lt;=6)*(機器台帳!$C$2:$C$400+機器台帳!$D$2:$D$400-1&gt;=6),0),0))&amp;IF(INDEX(機器台帳!$G$2:$G$400,MATCH(1,INDEX((機器台帳!$A$2:$A$400="E24-S8-5")*((機器台帳!$B$2:$B$400="前面")+(機器台帳!$B$2:$B$400="両面")&gt;0)*(機器台帳!$F$2:$F$400&lt;&gt;"")*(機器台帳!$C$2:$C$400&lt;=6)*(機器台帳!$C$2:$C$400+機器台帳!$D$2:$D$400-1&gt;=6),0),0))=""," "," "&amp;INDEX(機器台帳!$G$2:$G$400,MATCH(1,INDEX((機器台帳!$A$2:$A$400="E24-S8-5")*((機器台帳!$B$2:$B$400="前面")+(機器台帳!$B$2:$B$400="両面")&gt;0)*(機器台帳!$F$2:$F$400&lt;&gt;"")*(機器台帳!$C$2:$C$400&lt;=6)*(機器台帳!$C$2:$C$400+機器台帳!$D$2:$D$400-1&gt;=6),0),0)))&amp;IF(SUMPRODUCT((機器台帳!$A$2:$A$400="E24-S8-5")*((機器台帳!$B$2:$B$400="前面")+(機器台帳!$B$2:$B$400="両面")&gt;0)*(機器台帳!$F$2:$F$400&lt;&gt;"")*(機器台帳!$C$2:$C$400&lt;=6)*(機器台帳!$C$2:$C$400+機器台帳!$D$2:$D$400-1&gt;=6))&gt;1," 他"&amp;(SUMPRODUCT((機器台帳!$A$2:$A$400="E24-S8-5")*((機器台帳!$B$2:$B$400="前面")+(機器台帳!$B$2:$B$400="両面")&gt;0)*(機器台帳!$F$2:$F$400&lt;&gt;"")*(機器台帳!$C$2:$C$400&lt;=6)*(機器台帳!$C$2:$C$400+機器台帳!$D$2:$D$400-1&gt;=6))-1)&amp;"台",""))</f>
        <v/>
      </c>
      <c r="S45">
        <f>IF(SUMPRODUCT((機器台帳!$A$2:$A$400="E24-S8-5")*((機器台帳!$B$2:$B$400="前面")+(機器台帳!$B$2:$B$400="両面")&gt;0)*(機器台帳!$F$2:$F$400&lt;&gt;"")*(機器台帳!$C$2:$C$400&lt;=6)*(機器台帳!$C$2:$C$400+機器台帳!$D$2:$D$400-1&gt;=6))=0,"",INDEX(機器台帳!$I$2:$I$400,MATCH(1,INDEX((機器台帳!$A$2:$A$400="E24-S8-5")*((機器台帳!$B$2:$B$400="前面")+(機器台帳!$B$2:$B$400="両面")&gt;0)*(機器台帳!$F$2:$F$400&lt;&gt;"")*(機器台帳!$C$2:$C$400&lt;=6)*(機器台帳!$C$2:$C$400+機器台帳!$D$2:$D$400-1&gt;=6),0),0))&amp;IF(INDEX(機器台帳!$Y$2:$Y$400,MATCH(1,INDEX((機器台帳!$A$2:$A$400="E24-S8-5")*((機器台帳!$B$2:$B$400="前面")+(機器台帳!$B$2:$B$400="両面")&gt;0)*(機器台帳!$F$2:$F$400&lt;&gt;"")*(機器台帳!$C$2:$C$400&lt;=6)*(機器台帳!$C$2:$C$400+機器台帳!$D$2:$D$400-1&gt;=6),0),0))=0,"|未記入",""))</f>
        <v/>
      </c>
      <c r="T45" s="12">
        <f>IF(SUMPRODUCT((機器台帳!$A$2:$A$400="E24-S8-5")*((機器台帳!$B$2:$B$400="背面")+(機器台帳!$B$2:$B$400="両面")&gt;0)*(機器台帳!$F$2:$F$400&lt;&gt;"")*(機器台帳!$C$2:$C$400&lt;=6)*(機器台帳!$C$2:$C$400+機器台帳!$D$2:$D$400-1&gt;=6))=0,"",INDEX(機器台帳!$F$2:$F$400,MATCH(1,INDEX((機器台帳!$A$2:$A$400="E24-S8-5")*((機器台帳!$B$2:$B$400="背面")+(機器台帳!$B$2:$B$400="両面")&gt;0)*(機器台帳!$F$2:$F$400&lt;&gt;"")*(機器台帳!$C$2:$C$400&lt;=6)*(機器台帳!$C$2:$C$400+機器台帳!$D$2:$D$400-1&gt;=6),0),0))&amp;IF(INDEX(機器台帳!$G$2:$G$400,MATCH(1,INDEX((機器台帳!$A$2:$A$400="E24-S8-5")*((機器台帳!$B$2:$B$400="背面")+(機器台帳!$B$2:$B$400="両面")&gt;0)*(機器台帳!$F$2:$F$400&lt;&gt;"")*(機器台帳!$C$2:$C$400&lt;=6)*(機器台帳!$C$2:$C$400+機器台帳!$D$2:$D$400-1&gt;=6),0),0))=""," "," "&amp;INDEX(機器台帳!$G$2:$G$400,MATCH(1,INDEX((機器台帳!$A$2:$A$400="E24-S8-5")*((機器台帳!$B$2:$B$400="背面")+(機器台帳!$B$2:$B$400="両面")&gt;0)*(機器台帳!$F$2:$F$400&lt;&gt;"")*(機器台帳!$C$2:$C$400&lt;=6)*(機器台帳!$C$2:$C$400+機器台帳!$D$2:$D$400-1&gt;=6),0),0)))&amp;IF(SUMPRODUCT((機器台帳!$A$2:$A$400="E24-S8-5")*((機器台帳!$B$2:$B$400="背面")+(機器台帳!$B$2:$B$400="両面")&gt;0)*(機器台帳!$F$2:$F$400&lt;&gt;"")*(機器台帳!$C$2:$C$400&lt;=6)*(機器台帳!$C$2:$C$400+機器台帳!$D$2:$D$400-1&gt;=6))&gt;1," 他"&amp;(SUMPRODUCT((機器台帳!$A$2:$A$400="E24-S8-5")*((機器台帳!$B$2:$B$400="背面")+(機器台帳!$B$2:$B$400="両面")&gt;0)*(機器台帳!$F$2:$F$400&lt;&gt;"")*(機器台帳!$C$2:$C$400&lt;=6)*(機器台帳!$C$2:$C$400+機器台帳!$D$2:$D$400-1&gt;=6))-1)&amp;"台",""))</f>
        <v/>
      </c>
      <c r="U45">
        <f>IF(SUMPRODUCT((機器台帳!$A$2:$A$400="E24-S8-5")*((機器台帳!$B$2:$B$400="背面")+(機器台帳!$B$2:$B$400="両面")&gt;0)*(機器台帳!$F$2:$F$400&lt;&gt;"")*(機器台帳!$C$2:$C$400&lt;=6)*(機器台帳!$C$2:$C$400+機器台帳!$D$2:$D$400-1&gt;=6))=0,"",INDEX(機器台帳!$I$2:$I$400,MATCH(1,INDEX((機器台帳!$A$2:$A$400="E24-S8-5")*((機器台帳!$B$2:$B$400="背面")+(機器台帳!$B$2:$B$400="両面")&gt;0)*(機器台帳!$F$2:$F$400&lt;&gt;"")*(機器台帳!$C$2:$C$400&lt;=6)*(機器台帳!$C$2:$C$400+機器台帳!$D$2:$D$400-1&gt;=6),0),0))&amp;IF(INDEX(機器台帳!$Y$2:$Y$400,MATCH(1,INDEX((機器台帳!$A$2:$A$400="E24-S8-5")*((機器台帳!$B$2:$B$400="背面")+(機器台帳!$B$2:$B$400="両面")&gt;0)*(機器台帳!$F$2:$F$400&lt;&gt;"")*(機器台帳!$C$2:$C$400&lt;=6)*(機器台帳!$C$2:$C$400+機器台帳!$D$2:$D$400-1&gt;=6),0),0))=0,"|未記入",""))</f>
        <v/>
      </c>
      <c r="V45" s="12">
        <f>IF(SUMPRODUCT((機器台帳!$A$2:$A$400="E24-S6-1")*((機器台帳!$B$2:$B$400="前面")+(機器台帳!$B$2:$B$400="両面")&gt;0)*(機器台帳!$F$2:$F$400&lt;&gt;"")*(機器台帳!$C$2:$C$400&lt;=6)*(機器台帳!$C$2:$C$400+機器台帳!$D$2:$D$400-1&gt;=6))=0,"",INDEX(機器台帳!$F$2:$F$400,MATCH(1,INDEX((機器台帳!$A$2:$A$400="E24-S6-1")*((機器台帳!$B$2:$B$400="前面")+(機器台帳!$B$2:$B$400="両面")&gt;0)*(機器台帳!$F$2:$F$400&lt;&gt;"")*(機器台帳!$C$2:$C$400&lt;=6)*(機器台帳!$C$2:$C$400+機器台帳!$D$2:$D$400-1&gt;=6),0),0))&amp;IF(INDEX(機器台帳!$G$2:$G$400,MATCH(1,INDEX((機器台帳!$A$2:$A$400="E24-S6-1")*((機器台帳!$B$2:$B$400="前面")+(機器台帳!$B$2:$B$400="両面")&gt;0)*(機器台帳!$F$2:$F$400&lt;&gt;"")*(機器台帳!$C$2:$C$400&lt;=6)*(機器台帳!$C$2:$C$400+機器台帳!$D$2:$D$400-1&gt;=6),0),0))=""," "," "&amp;INDEX(機器台帳!$G$2:$G$400,MATCH(1,INDEX((機器台帳!$A$2:$A$400="E24-S6-1")*((機器台帳!$B$2:$B$400="前面")+(機器台帳!$B$2:$B$400="両面")&gt;0)*(機器台帳!$F$2:$F$400&lt;&gt;"")*(機器台帳!$C$2:$C$400&lt;=6)*(機器台帳!$C$2:$C$400+機器台帳!$D$2:$D$400-1&gt;=6),0),0)))&amp;IF(SUMPRODUCT((機器台帳!$A$2:$A$400="E24-S6-1")*((機器台帳!$B$2:$B$400="前面")+(機器台帳!$B$2:$B$400="両面")&gt;0)*(機器台帳!$F$2:$F$400&lt;&gt;"")*(機器台帳!$C$2:$C$400&lt;=6)*(機器台帳!$C$2:$C$400+機器台帳!$D$2:$D$400-1&gt;=6))&gt;1," 他"&amp;(SUMPRODUCT((機器台帳!$A$2:$A$400="E24-S6-1")*((機器台帳!$B$2:$B$400="前面")+(機器台帳!$B$2:$B$400="両面")&gt;0)*(機器台帳!$F$2:$F$400&lt;&gt;"")*(機器台帳!$C$2:$C$400&lt;=6)*(機器台帳!$C$2:$C$400+機器台帳!$D$2:$D$400-1&gt;=6))-1)&amp;"台",""))</f>
        <v/>
      </c>
      <c r="W45">
        <f>IF(SUMPRODUCT((機器台帳!$A$2:$A$400="E24-S6-1")*((機器台帳!$B$2:$B$400="前面")+(機器台帳!$B$2:$B$400="両面")&gt;0)*(機器台帳!$F$2:$F$400&lt;&gt;"")*(機器台帳!$C$2:$C$400&lt;=6)*(機器台帳!$C$2:$C$400+機器台帳!$D$2:$D$400-1&gt;=6))=0,"",INDEX(機器台帳!$I$2:$I$400,MATCH(1,INDEX((機器台帳!$A$2:$A$400="E24-S6-1")*((機器台帳!$B$2:$B$400="前面")+(機器台帳!$B$2:$B$400="両面")&gt;0)*(機器台帳!$F$2:$F$400&lt;&gt;"")*(機器台帳!$C$2:$C$400&lt;=6)*(機器台帳!$C$2:$C$400+機器台帳!$D$2:$D$400-1&gt;=6),0),0))&amp;IF(INDEX(機器台帳!$Y$2:$Y$400,MATCH(1,INDEX((機器台帳!$A$2:$A$400="E24-S6-1")*((機器台帳!$B$2:$B$400="前面")+(機器台帳!$B$2:$B$400="両面")&gt;0)*(機器台帳!$F$2:$F$400&lt;&gt;"")*(機器台帳!$C$2:$C$400&lt;=6)*(機器台帳!$C$2:$C$400+機器台帳!$D$2:$D$400-1&gt;=6),0),0))=0,"|未記入",""))</f>
        <v/>
      </c>
      <c r="X45" s="12">
        <f>IF(SUMPRODUCT((機器台帳!$A$2:$A$400="E24-S6-1")*((機器台帳!$B$2:$B$400="背面")+(機器台帳!$B$2:$B$400="両面")&gt;0)*(機器台帳!$F$2:$F$400&lt;&gt;"")*(機器台帳!$C$2:$C$400&lt;=6)*(機器台帳!$C$2:$C$400+機器台帳!$D$2:$D$400-1&gt;=6))=0,"",INDEX(機器台帳!$F$2:$F$400,MATCH(1,INDEX((機器台帳!$A$2:$A$400="E24-S6-1")*((機器台帳!$B$2:$B$400="背面")+(機器台帳!$B$2:$B$400="両面")&gt;0)*(機器台帳!$F$2:$F$400&lt;&gt;"")*(機器台帳!$C$2:$C$400&lt;=6)*(機器台帳!$C$2:$C$400+機器台帳!$D$2:$D$400-1&gt;=6),0),0))&amp;IF(INDEX(機器台帳!$G$2:$G$400,MATCH(1,INDEX((機器台帳!$A$2:$A$400="E24-S6-1")*((機器台帳!$B$2:$B$400="背面")+(機器台帳!$B$2:$B$400="両面")&gt;0)*(機器台帳!$F$2:$F$400&lt;&gt;"")*(機器台帳!$C$2:$C$400&lt;=6)*(機器台帳!$C$2:$C$400+機器台帳!$D$2:$D$400-1&gt;=6),0),0))=""," "," "&amp;INDEX(機器台帳!$G$2:$G$400,MATCH(1,INDEX((機器台帳!$A$2:$A$400="E24-S6-1")*((機器台帳!$B$2:$B$400="背面")+(機器台帳!$B$2:$B$400="両面")&gt;0)*(機器台帳!$F$2:$F$400&lt;&gt;"")*(機器台帳!$C$2:$C$400&lt;=6)*(機器台帳!$C$2:$C$400+機器台帳!$D$2:$D$400-1&gt;=6),0),0)))&amp;IF(SUMPRODUCT((機器台帳!$A$2:$A$400="E24-S6-1")*((機器台帳!$B$2:$B$400="背面")+(機器台帳!$B$2:$B$400="両面")&gt;0)*(機器台帳!$F$2:$F$400&lt;&gt;"")*(機器台帳!$C$2:$C$400&lt;=6)*(機器台帳!$C$2:$C$400+機器台帳!$D$2:$D$400-1&gt;=6))&gt;1," 他"&amp;(SUMPRODUCT((機器台帳!$A$2:$A$400="E24-S6-1")*((機器台帳!$B$2:$B$400="背面")+(機器台帳!$B$2:$B$400="両面")&gt;0)*(機器台帳!$F$2:$F$400&lt;&gt;"")*(機器台帳!$C$2:$C$400&lt;=6)*(機器台帳!$C$2:$C$400+機器台帳!$D$2:$D$400-1&gt;=6))-1)&amp;"台",""))</f>
        <v/>
      </c>
      <c r="Y45">
        <f>IF(SUMPRODUCT((機器台帳!$A$2:$A$400="E24-S6-1")*((機器台帳!$B$2:$B$400="背面")+(機器台帳!$B$2:$B$400="両面")&gt;0)*(機器台帳!$F$2:$F$400&lt;&gt;"")*(機器台帳!$C$2:$C$400&lt;=6)*(機器台帳!$C$2:$C$400+機器台帳!$D$2:$D$400-1&gt;=6))=0,"",INDEX(機器台帳!$I$2:$I$400,MATCH(1,INDEX((機器台帳!$A$2:$A$400="E24-S6-1")*((機器台帳!$B$2:$B$400="背面")+(機器台帳!$B$2:$B$400="両面")&gt;0)*(機器台帳!$F$2:$F$400&lt;&gt;"")*(機器台帳!$C$2:$C$400&lt;=6)*(機器台帳!$C$2:$C$400+機器台帳!$D$2:$D$400-1&gt;=6),0),0))&amp;IF(INDEX(機器台帳!$Y$2:$Y$400,MATCH(1,INDEX((機器台帳!$A$2:$A$400="E24-S6-1")*((機器台帳!$B$2:$B$400="背面")+(機器台帳!$B$2:$B$400="両面")&gt;0)*(機器台帳!$F$2:$F$400&lt;&gt;"")*(機器台帳!$C$2:$C$400&lt;=6)*(機器台帳!$C$2:$C$400+機器台帳!$D$2:$D$400-1&gt;=6),0),0))=0,"|未記入",""))</f>
        <v/>
      </c>
    </row>
    <row r="46">
      <c r="A46" s="11" t="n">
        <v>5</v>
      </c>
      <c r="B46" s="12">
        <f>IF(SUMPRODUCT((機器台帳!$A$2:$A$400="E24-S8-1")*((機器台帳!$B$2:$B$400="前面")+(機器台帳!$B$2:$B$400="両面")&gt;0)*(機器台帳!$F$2:$F$400&lt;&gt;"")*(機器台帳!$C$2:$C$400&lt;=5)*(機器台帳!$C$2:$C$400+機器台帳!$D$2:$D$400-1&gt;=5))=0,"",INDEX(機器台帳!$F$2:$F$400,MATCH(1,INDEX((機器台帳!$A$2:$A$400="E24-S8-1")*((機器台帳!$B$2:$B$400="前面")+(機器台帳!$B$2:$B$400="両面")&gt;0)*(機器台帳!$F$2:$F$400&lt;&gt;"")*(機器台帳!$C$2:$C$400&lt;=5)*(機器台帳!$C$2:$C$400+機器台帳!$D$2:$D$400-1&gt;=5),0),0))&amp;IF(INDEX(機器台帳!$G$2:$G$400,MATCH(1,INDEX((機器台帳!$A$2:$A$400="E24-S8-1")*((機器台帳!$B$2:$B$400="前面")+(機器台帳!$B$2:$B$400="両面")&gt;0)*(機器台帳!$F$2:$F$400&lt;&gt;"")*(機器台帳!$C$2:$C$400&lt;=5)*(機器台帳!$C$2:$C$400+機器台帳!$D$2:$D$400-1&gt;=5),0),0))=""," "," "&amp;INDEX(機器台帳!$G$2:$G$400,MATCH(1,INDEX((機器台帳!$A$2:$A$400="E24-S8-1")*((機器台帳!$B$2:$B$400="前面")+(機器台帳!$B$2:$B$400="両面")&gt;0)*(機器台帳!$F$2:$F$400&lt;&gt;"")*(機器台帳!$C$2:$C$400&lt;=5)*(機器台帳!$C$2:$C$400+機器台帳!$D$2:$D$400-1&gt;=5),0),0)))&amp;IF(SUMPRODUCT((機器台帳!$A$2:$A$400="E24-S8-1")*((機器台帳!$B$2:$B$400="前面")+(機器台帳!$B$2:$B$400="両面")&gt;0)*(機器台帳!$F$2:$F$400&lt;&gt;"")*(機器台帳!$C$2:$C$400&lt;=5)*(機器台帳!$C$2:$C$400+機器台帳!$D$2:$D$400-1&gt;=5))&gt;1," 他"&amp;(SUMPRODUCT((機器台帳!$A$2:$A$400="E24-S8-1")*((機器台帳!$B$2:$B$400="前面")+(機器台帳!$B$2:$B$400="両面")&gt;0)*(機器台帳!$F$2:$F$400&lt;&gt;"")*(機器台帳!$C$2:$C$400&lt;=5)*(機器台帳!$C$2:$C$400+機器台帳!$D$2:$D$400-1&gt;=5))-1)&amp;"台",""))</f>
        <v/>
      </c>
      <c r="C46">
        <f>IF(SUMPRODUCT((機器台帳!$A$2:$A$400="E24-S8-1")*((機器台帳!$B$2:$B$400="前面")+(機器台帳!$B$2:$B$400="両面")&gt;0)*(機器台帳!$F$2:$F$400&lt;&gt;"")*(機器台帳!$C$2:$C$400&lt;=5)*(機器台帳!$C$2:$C$400+機器台帳!$D$2:$D$400-1&gt;=5))=0,"",INDEX(機器台帳!$I$2:$I$400,MATCH(1,INDEX((機器台帳!$A$2:$A$400="E24-S8-1")*((機器台帳!$B$2:$B$400="前面")+(機器台帳!$B$2:$B$400="両面")&gt;0)*(機器台帳!$F$2:$F$400&lt;&gt;"")*(機器台帳!$C$2:$C$400&lt;=5)*(機器台帳!$C$2:$C$400+機器台帳!$D$2:$D$400-1&gt;=5),0),0))&amp;IF(INDEX(機器台帳!$Y$2:$Y$400,MATCH(1,INDEX((機器台帳!$A$2:$A$400="E24-S8-1")*((機器台帳!$B$2:$B$400="前面")+(機器台帳!$B$2:$B$400="両面")&gt;0)*(機器台帳!$F$2:$F$400&lt;&gt;"")*(機器台帳!$C$2:$C$400&lt;=5)*(機器台帳!$C$2:$C$400+機器台帳!$D$2:$D$400-1&gt;=5),0),0))=0,"|未記入",""))</f>
        <v/>
      </c>
      <c r="D46" s="12">
        <f>IF(SUMPRODUCT((機器台帳!$A$2:$A$400="E24-S8-1")*((機器台帳!$B$2:$B$400="背面")+(機器台帳!$B$2:$B$400="両面")&gt;0)*(機器台帳!$F$2:$F$400&lt;&gt;"")*(機器台帳!$C$2:$C$400&lt;=5)*(機器台帳!$C$2:$C$400+機器台帳!$D$2:$D$400-1&gt;=5))=0,"",INDEX(機器台帳!$F$2:$F$400,MATCH(1,INDEX((機器台帳!$A$2:$A$400="E24-S8-1")*((機器台帳!$B$2:$B$400="背面")+(機器台帳!$B$2:$B$400="両面")&gt;0)*(機器台帳!$F$2:$F$400&lt;&gt;"")*(機器台帳!$C$2:$C$400&lt;=5)*(機器台帳!$C$2:$C$400+機器台帳!$D$2:$D$400-1&gt;=5),0),0))&amp;IF(INDEX(機器台帳!$G$2:$G$400,MATCH(1,INDEX((機器台帳!$A$2:$A$400="E24-S8-1")*((機器台帳!$B$2:$B$400="背面")+(機器台帳!$B$2:$B$400="両面")&gt;0)*(機器台帳!$F$2:$F$400&lt;&gt;"")*(機器台帳!$C$2:$C$400&lt;=5)*(機器台帳!$C$2:$C$400+機器台帳!$D$2:$D$400-1&gt;=5),0),0))=""," "," "&amp;INDEX(機器台帳!$G$2:$G$400,MATCH(1,INDEX((機器台帳!$A$2:$A$400="E24-S8-1")*((機器台帳!$B$2:$B$400="背面")+(機器台帳!$B$2:$B$400="両面")&gt;0)*(機器台帳!$F$2:$F$400&lt;&gt;"")*(機器台帳!$C$2:$C$400&lt;=5)*(機器台帳!$C$2:$C$400+機器台帳!$D$2:$D$400-1&gt;=5),0),0)))&amp;IF(SUMPRODUCT((機器台帳!$A$2:$A$400="E24-S8-1")*((機器台帳!$B$2:$B$400="背面")+(機器台帳!$B$2:$B$400="両面")&gt;0)*(機器台帳!$F$2:$F$400&lt;&gt;"")*(機器台帳!$C$2:$C$400&lt;=5)*(機器台帳!$C$2:$C$400+機器台帳!$D$2:$D$400-1&gt;=5))&gt;1," 他"&amp;(SUMPRODUCT((機器台帳!$A$2:$A$400="E24-S8-1")*((機器台帳!$B$2:$B$400="背面")+(機器台帳!$B$2:$B$400="両面")&gt;0)*(機器台帳!$F$2:$F$400&lt;&gt;"")*(機器台帳!$C$2:$C$400&lt;=5)*(機器台帳!$C$2:$C$400+機器台帳!$D$2:$D$400-1&gt;=5))-1)&amp;"台",""))</f>
        <v/>
      </c>
      <c r="E46">
        <f>IF(SUMPRODUCT((機器台帳!$A$2:$A$400="E24-S8-1")*((機器台帳!$B$2:$B$400="背面")+(機器台帳!$B$2:$B$400="両面")&gt;0)*(機器台帳!$F$2:$F$400&lt;&gt;"")*(機器台帳!$C$2:$C$400&lt;=5)*(機器台帳!$C$2:$C$400+機器台帳!$D$2:$D$400-1&gt;=5))=0,"",INDEX(機器台帳!$I$2:$I$400,MATCH(1,INDEX((機器台帳!$A$2:$A$400="E24-S8-1")*((機器台帳!$B$2:$B$400="背面")+(機器台帳!$B$2:$B$400="両面")&gt;0)*(機器台帳!$F$2:$F$400&lt;&gt;"")*(機器台帳!$C$2:$C$400&lt;=5)*(機器台帳!$C$2:$C$400+機器台帳!$D$2:$D$400-1&gt;=5),0),0))&amp;IF(INDEX(機器台帳!$Y$2:$Y$400,MATCH(1,INDEX((機器台帳!$A$2:$A$400="E24-S8-1")*((機器台帳!$B$2:$B$400="背面")+(機器台帳!$B$2:$B$400="両面")&gt;0)*(機器台帳!$F$2:$F$400&lt;&gt;"")*(機器台帳!$C$2:$C$400&lt;=5)*(機器台帳!$C$2:$C$400+機器台帳!$D$2:$D$400-1&gt;=5),0),0))=0,"|未記入",""))</f>
        <v/>
      </c>
      <c r="F46" s="12">
        <f>IF(SUMPRODUCT((機器台帳!$A$2:$A$400="E24-S8-2")*((機器台帳!$B$2:$B$400="前面")+(機器台帳!$B$2:$B$400="両面")&gt;0)*(機器台帳!$F$2:$F$400&lt;&gt;"")*(機器台帳!$C$2:$C$400&lt;=5)*(機器台帳!$C$2:$C$400+機器台帳!$D$2:$D$400-1&gt;=5))=0,"",INDEX(機器台帳!$F$2:$F$400,MATCH(1,INDEX((機器台帳!$A$2:$A$400="E24-S8-2")*((機器台帳!$B$2:$B$400="前面")+(機器台帳!$B$2:$B$400="両面")&gt;0)*(機器台帳!$F$2:$F$400&lt;&gt;"")*(機器台帳!$C$2:$C$400&lt;=5)*(機器台帳!$C$2:$C$400+機器台帳!$D$2:$D$400-1&gt;=5),0),0))&amp;IF(INDEX(機器台帳!$G$2:$G$400,MATCH(1,INDEX((機器台帳!$A$2:$A$400="E24-S8-2")*((機器台帳!$B$2:$B$400="前面")+(機器台帳!$B$2:$B$400="両面")&gt;0)*(機器台帳!$F$2:$F$400&lt;&gt;"")*(機器台帳!$C$2:$C$400&lt;=5)*(機器台帳!$C$2:$C$400+機器台帳!$D$2:$D$400-1&gt;=5),0),0))=""," "," "&amp;INDEX(機器台帳!$G$2:$G$400,MATCH(1,INDEX((機器台帳!$A$2:$A$400="E24-S8-2")*((機器台帳!$B$2:$B$400="前面")+(機器台帳!$B$2:$B$400="両面")&gt;0)*(機器台帳!$F$2:$F$400&lt;&gt;"")*(機器台帳!$C$2:$C$400&lt;=5)*(機器台帳!$C$2:$C$400+機器台帳!$D$2:$D$400-1&gt;=5),0),0)))&amp;IF(SUMPRODUCT((機器台帳!$A$2:$A$400="E24-S8-2")*((機器台帳!$B$2:$B$400="前面")+(機器台帳!$B$2:$B$400="両面")&gt;0)*(機器台帳!$F$2:$F$400&lt;&gt;"")*(機器台帳!$C$2:$C$400&lt;=5)*(機器台帳!$C$2:$C$400+機器台帳!$D$2:$D$400-1&gt;=5))&gt;1," 他"&amp;(SUMPRODUCT((機器台帳!$A$2:$A$400="E24-S8-2")*((機器台帳!$B$2:$B$400="前面")+(機器台帳!$B$2:$B$400="両面")&gt;0)*(機器台帳!$F$2:$F$400&lt;&gt;"")*(機器台帳!$C$2:$C$400&lt;=5)*(機器台帳!$C$2:$C$400+機器台帳!$D$2:$D$400-1&gt;=5))-1)&amp;"台",""))</f>
        <v/>
      </c>
      <c r="G46">
        <f>IF(SUMPRODUCT((機器台帳!$A$2:$A$400="E24-S8-2")*((機器台帳!$B$2:$B$400="前面")+(機器台帳!$B$2:$B$400="両面")&gt;0)*(機器台帳!$F$2:$F$400&lt;&gt;"")*(機器台帳!$C$2:$C$400&lt;=5)*(機器台帳!$C$2:$C$400+機器台帳!$D$2:$D$400-1&gt;=5))=0,"",INDEX(機器台帳!$I$2:$I$400,MATCH(1,INDEX((機器台帳!$A$2:$A$400="E24-S8-2")*((機器台帳!$B$2:$B$400="前面")+(機器台帳!$B$2:$B$400="両面")&gt;0)*(機器台帳!$F$2:$F$400&lt;&gt;"")*(機器台帳!$C$2:$C$400&lt;=5)*(機器台帳!$C$2:$C$400+機器台帳!$D$2:$D$400-1&gt;=5),0),0))&amp;IF(INDEX(機器台帳!$Y$2:$Y$400,MATCH(1,INDEX((機器台帳!$A$2:$A$400="E24-S8-2")*((機器台帳!$B$2:$B$400="前面")+(機器台帳!$B$2:$B$400="両面")&gt;0)*(機器台帳!$F$2:$F$400&lt;&gt;"")*(機器台帳!$C$2:$C$400&lt;=5)*(機器台帳!$C$2:$C$400+機器台帳!$D$2:$D$400-1&gt;=5),0),0))=0,"|未記入",""))</f>
        <v/>
      </c>
      <c r="H46" s="12">
        <f>IF(SUMPRODUCT((機器台帳!$A$2:$A$400="E24-S8-2")*((機器台帳!$B$2:$B$400="背面")+(機器台帳!$B$2:$B$400="両面")&gt;0)*(機器台帳!$F$2:$F$400&lt;&gt;"")*(機器台帳!$C$2:$C$400&lt;=5)*(機器台帳!$C$2:$C$400+機器台帳!$D$2:$D$400-1&gt;=5))=0,"",INDEX(機器台帳!$F$2:$F$400,MATCH(1,INDEX((機器台帳!$A$2:$A$400="E24-S8-2")*((機器台帳!$B$2:$B$400="背面")+(機器台帳!$B$2:$B$400="両面")&gt;0)*(機器台帳!$F$2:$F$400&lt;&gt;"")*(機器台帳!$C$2:$C$400&lt;=5)*(機器台帳!$C$2:$C$400+機器台帳!$D$2:$D$400-1&gt;=5),0),0))&amp;IF(INDEX(機器台帳!$G$2:$G$400,MATCH(1,INDEX((機器台帳!$A$2:$A$400="E24-S8-2")*((機器台帳!$B$2:$B$400="背面")+(機器台帳!$B$2:$B$400="両面")&gt;0)*(機器台帳!$F$2:$F$400&lt;&gt;"")*(機器台帳!$C$2:$C$400&lt;=5)*(機器台帳!$C$2:$C$400+機器台帳!$D$2:$D$400-1&gt;=5),0),0))=""," "," "&amp;INDEX(機器台帳!$G$2:$G$400,MATCH(1,INDEX((機器台帳!$A$2:$A$400="E24-S8-2")*((機器台帳!$B$2:$B$400="背面")+(機器台帳!$B$2:$B$400="両面")&gt;0)*(機器台帳!$F$2:$F$400&lt;&gt;"")*(機器台帳!$C$2:$C$400&lt;=5)*(機器台帳!$C$2:$C$400+機器台帳!$D$2:$D$400-1&gt;=5),0),0)))&amp;IF(SUMPRODUCT((機器台帳!$A$2:$A$400="E24-S8-2")*((機器台帳!$B$2:$B$400="背面")+(機器台帳!$B$2:$B$400="両面")&gt;0)*(機器台帳!$F$2:$F$400&lt;&gt;"")*(機器台帳!$C$2:$C$400&lt;=5)*(機器台帳!$C$2:$C$400+機器台帳!$D$2:$D$400-1&gt;=5))&gt;1," 他"&amp;(SUMPRODUCT((機器台帳!$A$2:$A$400="E24-S8-2")*((機器台帳!$B$2:$B$400="背面")+(機器台帳!$B$2:$B$400="両面")&gt;0)*(機器台帳!$F$2:$F$400&lt;&gt;"")*(機器台帳!$C$2:$C$400&lt;=5)*(機器台帳!$C$2:$C$400+機器台帳!$D$2:$D$400-1&gt;=5))-1)&amp;"台",""))</f>
        <v/>
      </c>
      <c r="I46">
        <f>IF(SUMPRODUCT((機器台帳!$A$2:$A$400="E24-S8-2")*((機器台帳!$B$2:$B$400="背面")+(機器台帳!$B$2:$B$400="両面")&gt;0)*(機器台帳!$F$2:$F$400&lt;&gt;"")*(機器台帳!$C$2:$C$400&lt;=5)*(機器台帳!$C$2:$C$400+機器台帳!$D$2:$D$400-1&gt;=5))=0,"",INDEX(機器台帳!$I$2:$I$400,MATCH(1,INDEX((機器台帳!$A$2:$A$400="E24-S8-2")*((機器台帳!$B$2:$B$400="背面")+(機器台帳!$B$2:$B$400="両面")&gt;0)*(機器台帳!$F$2:$F$400&lt;&gt;"")*(機器台帳!$C$2:$C$400&lt;=5)*(機器台帳!$C$2:$C$400+機器台帳!$D$2:$D$400-1&gt;=5),0),0))&amp;IF(INDEX(機器台帳!$Y$2:$Y$400,MATCH(1,INDEX((機器台帳!$A$2:$A$400="E24-S8-2")*((機器台帳!$B$2:$B$400="背面")+(機器台帳!$B$2:$B$400="両面")&gt;0)*(機器台帳!$F$2:$F$400&lt;&gt;"")*(機器台帳!$C$2:$C$400&lt;=5)*(機器台帳!$C$2:$C$400+機器台帳!$D$2:$D$400-1&gt;=5),0),0))=0,"|未記入",""))</f>
        <v/>
      </c>
      <c r="J46" s="12">
        <f>IF(SUMPRODUCT((機器台帳!$A$2:$A$400="E24-S8-3")*((機器台帳!$B$2:$B$400="前面")+(機器台帳!$B$2:$B$400="両面")&gt;0)*(機器台帳!$F$2:$F$400&lt;&gt;"")*(機器台帳!$C$2:$C$400&lt;=5)*(機器台帳!$C$2:$C$400+機器台帳!$D$2:$D$400-1&gt;=5))=0,"",INDEX(機器台帳!$F$2:$F$400,MATCH(1,INDEX((機器台帳!$A$2:$A$400="E24-S8-3")*((機器台帳!$B$2:$B$400="前面")+(機器台帳!$B$2:$B$400="両面")&gt;0)*(機器台帳!$F$2:$F$400&lt;&gt;"")*(機器台帳!$C$2:$C$400&lt;=5)*(機器台帳!$C$2:$C$400+機器台帳!$D$2:$D$400-1&gt;=5),0),0))&amp;IF(INDEX(機器台帳!$G$2:$G$400,MATCH(1,INDEX((機器台帳!$A$2:$A$400="E24-S8-3")*((機器台帳!$B$2:$B$400="前面")+(機器台帳!$B$2:$B$400="両面")&gt;0)*(機器台帳!$F$2:$F$400&lt;&gt;"")*(機器台帳!$C$2:$C$400&lt;=5)*(機器台帳!$C$2:$C$400+機器台帳!$D$2:$D$400-1&gt;=5),0),0))=""," "," "&amp;INDEX(機器台帳!$G$2:$G$400,MATCH(1,INDEX((機器台帳!$A$2:$A$400="E24-S8-3")*((機器台帳!$B$2:$B$400="前面")+(機器台帳!$B$2:$B$400="両面")&gt;0)*(機器台帳!$F$2:$F$400&lt;&gt;"")*(機器台帳!$C$2:$C$400&lt;=5)*(機器台帳!$C$2:$C$400+機器台帳!$D$2:$D$400-1&gt;=5),0),0)))&amp;IF(SUMPRODUCT((機器台帳!$A$2:$A$400="E24-S8-3")*((機器台帳!$B$2:$B$400="前面")+(機器台帳!$B$2:$B$400="両面")&gt;0)*(機器台帳!$F$2:$F$400&lt;&gt;"")*(機器台帳!$C$2:$C$400&lt;=5)*(機器台帳!$C$2:$C$400+機器台帳!$D$2:$D$400-1&gt;=5))&gt;1," 他"&amp;(SUMPRODUCT((機器台帳!$A$2:$A$400="E24-S8-3")*((機器台帳!$B$2:$B$400="前面")+(機器台帳!$B$2:$B$400="両面")&gt;0)*(機器台帳!$F$2:$F$400&lt;&gt;"")*(機器台帳!$C$2:$C$400&lt;=5)*(機器台帳!$C$2:$C$400+機器台帳!$D$2:$D$400-1&gt;=5))-1)&amp;"台",""))</f>
        <v/>
      </c>
      <c r="K46">
        <f>IF(SUMPRODUCT((機器台帳!$A$2:$A$400="E24-S8-3")*((機器台帳!$B$2:$B$400="前面")+(機器台帳!$B$2:$B$400="両面")&gt;0)*(機器台帳!$F$2:$F$400&lt;&gt;"")*(機器台帳!$C$2:$C$400&lt;=5)*(機器台帳!$C$2:$C$400+機器台帳!$D$2:$D$400-1&gt;=5))=0,"",INDEX(機器台帳!$I$2:$I$400,MATCH(1,INDEX((機器台帳!$A$2:$A$400="E24-S8-3")*((機器台帳!$B$2:$B$400="前面")+(機器台帳!$B$2:$B$400="両面")&gt;0)*(機器台帳!$F$2:$F$400&lt;&gt;"")*(機器台帳!$C$2:$C$400&lt;=5)*(機器台帳!$C$2:$C$400+機器台帳!$D$2:$D$400-1&gt;=5),0),0))&amp;IF(INDEX(機器台帳!$Y$2:$Y$400,MATCH(1,INDEX((機器台帳!$A$2:$A$400="E24-S8-3")*((機器台帳!$B$2:$B$400="前面")+(機器台帳!$B$2:$B$400="両面")&gt;0)*(機器台帳!$F$2:$F$400&lt;&gt;"")*(機器台帳!$C$2:$C$400&lt;=5)*(機器台帳!$C$2:$C$400+機器台帳!$D$2:$D$400-1&gt;=5),0),0))=0,"|未記入",""))</f>
        <v/>
      </c>
      <c r="L46" s="12">
        <f>IF(SUMPRODUCT((機器台帳!$A$2:$A$400="E24-S8-3")*((機器台帳!$B$2:$B$400="背面")+(機器台帳!$B$2:$B$400="両面")&gt;0)*(機器台帳!$F$2:$F$400&lt;&gt;"")*(機器台帳!$C$2:$C$400&lt;=5)*(機器台帳!$C$2:$C$400+機器台帳!$D$2:$D$400-1&gt;=5))=0,"",INDEX(機器台帳!$F$2:$F$400,MATCH(1,INDEX((機器台帳!$A$2:$A$400="E24-S8-3")*((機器台帳!$B$2:$B$400="背面")+(機器台帳!$B$2:$B$400="両面")&gt;0)*(機器台帳!$F$2:$F$400&lt;&gt;"")*(機器台帳!$C$2:$C$400&lt;=5)*(機器台帳!$C$2:$C$400+機器台帳!$D$2:$D$400-1&gt;=5),0),0))&amp;IF(INDEX(機器台帳!$G$2:$G$400,MATCH(1,INDEX((機器台帳!$A$2:$A$400="E24-S8-3")*((機器台帳!$B$2:$B$400="背面")+(機器台帳!$B$2:$B$400="両面")&gt;0)*(機器台帳!$F$2:$F$400&lt;&gt;"")*(機器台帳!$C$2:$C$400&lt;=5)*(機器台帳!$C$2:$C$400+機器台帳!$D$2:$D$400-1&gt;=5),0),0))=""," "," "&amp;INDEX(機器台帳!$G$2:$G$400,MATCH(1,INDEX((機器台帳!$A$2:$A$400="E24-S8-3")*((機器台帳!$B$2:$B$400="背面")+(機器台帳!$B$2:$B$400="両面")&gt;0)*(機器台帳!$F$2:$F$400&lt;&gt;"")*(機器台帳!$C$2:$C$400&lt;=5)*(機器台帳!$C$2:$C$400+機器台帳!$D$2:$D$400-1&gt;=5),0),0)))&amp;IF(SUMPRODUCT((機器台帳!$A$2:$A$400="E24-S8-3")*((機器台帳!$B$2:$B$400="背面")+(機器台帳!$B$2:$B$400="両面")&gt;0)*(機器台帳!$F$2:$F$400&lt;&gt;"")*(機器台帳!$C$2:$C$400&lt;=5)*(機器台帳!$C$2:$C$400+機器台帳!$D$2:$D$400-1&gt;=5))&gt;1," 他"&amp;(SUMPRODUCT((機器台帳!$A$2:$A$400="E24-S8-3")*((機器台帳!$B$2:$B$400="背面")+(機器台帳!$B$2:$B$400="両面")&gt;0)*(機器台帳!$F$2:$F$400&lt;&gt;"")*(機器台帳!$C$2:$C$400&lt;=5)*(機器台帳!$C$2:$C$400+機器台帳!$D$2:$D$400-1&gt;=5))-1)&amp;"台",""))</f>
        <v/>
      </c>
      <c r="M46">
        <f>IF(SUMPRODUCT((機器台帳!$A$2:$A$400="E24-S8-3")*((機器台帳!$B$2:$B$400="背面")+(機器台帳!$B$2:$B$400="両面")&gt;0)*(機器台帳!$F$2:$F$400&lt;&gt;"")*(機器台帳!$C$2:$C$400&lt;=5)*(機器台帳!$C$2:$C$400+機器台帳!$D$2:$D$400-1&gt;=5))=0,"",INDEX(機器台帳!$I$2:$I$400,MATCH(1,INDEX((機器台帳!$A$2:$A$400="E24-S8-3")*((機器台帳!$B$2:$B$400="背面")+(機器台帳!$B$2:$B$400="両面")&gt;0)*(機器台帳!$F$2:$F$400&lt;&gt;"")*(機器台帳!$C$2:$C$400&lt;=5)*(機器台帳!$C$2:$C$400+機器台帳!$D$2:$D$400-1&gt;=5),0),0))&amp;IF(INDEX(機器台帳!$Y$2:$Y$400,MATCH(1,INDEX((機器台帳!$A$2:$A$400="E24-S8-3")*((機器台帳!$B$2:$B$400="背面")+(機器台帳!$B$2:$B$400="両面")&gt;0)*(機器台帳!$F$2:$F$400&lt;&gt;"")*(機器台帳!$C$2:$C$400&lt;=5)*(機器台帳!$C$2:$C$400+機器台帳!$D$2:$D$400-1&gt;=5),0),0))=0,"|未記入",""))</f>
        <v/>
      </c>
      <c r="N46" s="12">
        <f>IF(SUMPRODUCT((機器台帳!$A$2:$A$400="E24-S8-4")*((機器台帳!$B$2:$B$400="前面")+(機器台帳!$B$2:$B$400="両面")&gt;0)*(機器台帳!$F$2:$F$400&lt;&gt;"")*(機器台帳!$C$2:$C$400&lt;=5)*(機器台帳!$C$2:$C$400+機器台帳!$D$2:$D$400-1&gt;=5))=0,"",INDEX(機器台帳!$F$2:$F$400,MATCH(1,INDEX((機器台帳!$A$2:$A$400="E24-S8-4")*((機器台帳!$B$2:$B$400="前面")+(機器台帳!$B$2:$B$400="両面")&gt;0)*(機器台帳!$F$2:$F$400&lt;&gt;"")*(機器台帳!$C$2:$C$400&lt;=5)*(機器台帳!$C$2:$C$400+機器台帳!$D$2:$D$400-1&gt;=5),0),0))&amp;IF(INDEX(機器台帳!$G$2:$G$400,MATCH(1,INDEX((機器台帳!$A$2:$A$400="E24-S8-4")*((機器台帳!$B$2:$B$400="前面")+(機器台帳!$B$2:$B$400="両面")&gt;0)*(機器台帳!$F$2:$F$400&lt;&gt;"")*(機器台帳!$C$2:$C$400&lt;=5)*(機器台帳!$C$2:$C$400+機器台帳!$D$2:$D$400-1&gt;=5),0),0))=""," "," "&amp;INDEX(機器台帳!$G$2:$G$400,MATCH(1,INDEX((機器台帳!$A$2:$A$400="E24-S8-4")*((機器台帳!$B$2:$B$400="前面")+(機器台帳!$B$2:$B$400="両面")&gt;0)*(機器台帳!$F$2:$F$400&lt;&gt;"")*(機器台帳!$C$2:$C$400&lt;=5)*(機器台帳!$C$2:$C$400+機器台帳!$D$2:$D$400-1&gt;=5),0),0)))&amp;IF(SUMPRODUCT((機器台帳!$A$2:$A$400="E24-S8-4")*((機器台帳!$B$2:$B$400="前面")+(機器台帳!$B$2:$B$400="両面")&gt;0)*(機器台帳!$F$2:$F$400&lt;&gt;"")*(機器台帳!$C$2:$C$400&lt;=5)*(機器台帳!$C$2:$C$400+機器台帳!$D$2:$D$400-1&gt;=5))&gt;1," 他"&amp;(SUMPRODUCT((機器台帳!$A$2:$A$400="E24-S8-4")*((機器台帳!$B$2:$B$400="前面")+(機器台帳!$B$2:$B$400="両面")&gt;0)*(機器台帳!$F$2:$F$400&lt;&gt;"")*(機器台帳!$C$2:$C$400&lt;=5)*(機器台帳!$C$2:$C$400+機器台帳!$D$2:$D$400-1&gt;=5))-1)&amp;"台",""))</f>
        <v/>
      </c>
      <c r="O46">
        <f>IF(SUMPRODUCT((機器台帳!$A$2:$A$400="E24-S8-4")*((機器台帳!$B$2:$B$400="前面")+(機器台帳!$B$2:$B$400="両面")&gt;0)*(機器台帳!$F$2:$F$400&lt;&gt;"")*(機器台帳!$C$2:$C$400&lt;=5)*(機器台帳!$C$2:$C$400+機器台帳!$D$2:$D$400-1&gt;=5))=0,"",INDEX(機器台帳!$I$2:$I$400,MATCH(1,INDEX((機器台帳!$A$2:$A$400="E24-S8-4")*((機器台帳!$B$2:$B$400="前面")+(機器台帳!$B$2:$B$400="両面")&gt;0)*(機器台帳!$F$2:$F$400&lt;&gt;"")*(機器台帳!$C$2:$C$400&lt;=5)*(機器台帳!$C$2:$C$400+機器台帳!$D$2:$D$400-1&gt;=5),0),0))&amp;IF(INDEX(機器台帳!$Y$2:$Y$400,MATCH(1,INDEX((機器台帳!$A$2:$A$400="E24-S8-4")*((機器台帳!$B$2:$B$400="前面")+(機器台帳!$B$2:$B$400="両面")&gt;0)*(機器台帳!$F$2:$F$400&lt;&gt;"")*(機器台帳!$C$2:$C$400&lt;=5)*(機器台帳!$C$2:$C$400+機器台帳!$D$2:$D$400-1&gt;=5),0),0))=0,"|未記入",""))</f>
        <v/>
      </c>
      <c r="P46" s="12">
        <f>IF(SUMPRODUCT((機器台帳!$A$2:$A$400="E24-S8-4")*((機器台帳!$B$2:$B$400="背面")+(機器台帳!$B$2:$B$400="両面")&gt;0)*(機器台帳!$F$2:$F$400&lt;&gt;"")*(機器台帳!$C$2:$C$400&lt;=5)*(機器台帳!$C$2:$C$400+機器台帳!$D$2:$D$400-1&gt;=5))=0,"",INDEX(機器台帳!$F$2:$F$400,MATCH(1,INDEX((機器台帳!$A$2:$A$400="E24-S8-4")*((機器台帳!$B$2:$B$400="背面")+(機器台帳!$B$2:$B$400="両面")&gt;0)*(機器台帳!$F$2:$F$400&lt;&gt;"")*(機器台帳!$C$2:$C$400&lt;=5)*(機器台帳!$C$2:$C$400+機器台帳!$D$2:$D$400-1&gt;=5),0),0))&amp;IF(INDEX(機器台帳!$G$2:$G$400,MATCH(1,INDEX((機器台帳!$A$2:$A$400="E24-S8-4")*((機器台帳!$B$2:$B$400="背面")+(機器台帳!$B$2:$B$400="両面")&gt;0)*(機器台帳!$F$2:$F$400&lt;&gt;"")*(機器台帳!$C$2:$C$400&lt;=5)*(機器台帳!$C$2:$C$400+機器台帳!$D$2:$D$400-1&gt;=5),0),0))=""," "," "&amp;INDEX(機器台帳!$G$2:$G$400,MATCH(1,INDEX((機器台帳!$A$2:$A$400="E24-S8-4")*((機器台帳!$B$2:$B$400="背面")+(機器台帳!$B$2:$B$400="両面")&gt;0)*(機器台帳!$F$2:$F$400&lt;&gt;"")*(機器台帳!$C$2:$C$400&lt;=5)*(機器台帳!$C$2:$C$400+機器台帳!$D$2:$D$400-1&gt;=5),0),0)))&amp;IF(SUMPRODUCT((機器台帳!$A$2:$A$400="E24-S8-4")*((機器台帳!$B$2:$B$400="背面")+(機器台帳!$B$2:$B$400="両面")&gt;0)*(機器台帳!$F$2:$F$400&lt;&gt;"")*(機器台帳!$C$2:$C$400&lt;=5)*(機器台帳!$C$2:$C$400+機器台帳!$D$2:$D$400-1&gt;=5))&gt;1," 他"&amp;(SUMPRODUCT((機器台帳!$A$2:$A$400="E24-S8-4")*((機器台帳!$B$2:$B$400="背面")+(機器台帳!$B$2:$B$400="両面")&gt;0)*(機器台帳!$F$2:$F$400&lt;&gt;"")*(機器台帳!$C$2:$C$400&lt;=5)*(機器台帳!$C$2:$C$400+機器台帳!$D$2:$D$400-1&gt;=5))-1)&amp;"台",""))</f>
        <v/>
      </c>
      <c r="Q46">
        <f>IF(SUMPRODUCT((機器台帳!$A$2:$A$400="E24-S8-4")*((機器台帳!$B$2:$B$400="背面")+(機器台帳!$B$2:$B$400="両面")&gt;0)*(機器台帳!$F$2:$F$400&lt;&gt;"")*(機器台帳!$C$2:$C$400&lt;=5)*(機器台帳!$C$2:$C$400+機器台帳!$D$2:$D$400-1&gt;=5))=0,"",INDEX(機器台帳!$I$2:$I$400,MATCH(1,INDEX((機器台帳!$A$2:$A$400="E24-S8-4")*((機器台帳!$B$2:$B$400="背面")+(機器台帳!$B$2:$B$400="両面")&gt;0)*(機器台帳!$F$2:$F$400&lt;&gt;"")*(機器台帳!$C$2:$C$400&lt;=5)*(機器台帳!$C$2:$C$400+機器台帳!$D$2:$D$400-1&gt;=5),0),0))&amp;IF(INDEX(機器台帳!$Y$2:$Y$400,MATCH(1,INDEX((機器台帳!$A$2:$A$400="E24-S8-4")*((機器台帳!$B$2:$B$400="背面")+(機器台帳!$B$2:$B$400="両面")&gt;0)*(機器台帳!$F$2:$F$400&lt;&gt;"")*(機器台帳!$C$2:$C$400&lt;=5)*(機器台帳!$C$2:$C$400+機器台帳!$D$2:$D$400-1&gt;=5),0),0))=0,"|未記入",""))</f>
        <v/>
      </c>
      <c r="R46" s="12">
        <f>IF(SUMPRODUCT((機器台帳!$A$2:$A$400="E24-S8-5")*((機器台帳!$B$2:$B$400="前面")+(機器台帳!$B$2:$B$400="両面")&gt;0)*(機器台帳!$F$2:$F$400&lt;&gt;"")*(機器台帳!$C$2:$C$400&lt;=5)*(機器台帳!$C$2:$C$400+機器台帳!$D$2:$D$400-1&gt;=5))=0,"",INDEX(機器台帳!$F$2:$F$400,MATCH(1,INDEX((機器台帳!$A$2:$A$400="E24-S8-5")*((機器台帳!$B$2:$B$400="前面")+(機器台帳!$B$2:$B$400="両面")&gt;0)*(機器台帳!$F$2:$F$400&lt;&gt;"")*(機器台帳!$C$2:$C$400&lt;=5)*(機器台帳!$C$2:$C$400+機器台帳!$D$2:$D$400-1&gt;=5),0),0))&amp;IF(INDEX(機器台帳!$G$2:$G$400,MATCH(1,INDEX((機器台帳!$A$2:$A$400="E24-S8-5")*((機器台帳!$B$2:$B$400="前面")+(機器台帳!$B$2:$B$400="両面")&gt;0)*(機器台帳!$F$2:$F$400&lt;&gt;"")*(機器台帳!$C$2:$C$400&lt;=5)*(機器台帳!$C$2:$C$400+機器台帳!$D$2:$D$400-1&gt;=5),0),0))=""," "," "&amp;INDEX(機器台帳!$G$2:$G$400,MATCH(1,INDEX((機器台帳!$A$2:$A$400="E24-S8-5")*((機器台帳!$B$2:$B$400="前面")+(機器台帳!$B$2:$B$400="両面")&gt;0)*(機器台帳!$F$2:$F$400&lt;&gt;"")*(機器台帳!$C$2:$C$400&lt;=5)*(機器台帳!$C$2:$C$400+機器台帳!$D$2:$D$400-1&gt;=5),0),0)))&amp;IF(SUMPRODUCT((機器台帳!$A$2:$A$400="E24-S8-5")*((機器台帳!$B$2:$B$400="前面")+(機器台帳!$B$2:$B$400="両面")&gt;0)*(機器台帳!$F$2:$F$400&lt;&gt;"")*(機器台帳!$C$2:$C$400&lt;=5)*(機器台帳!$C$2:$C$400+機器台帳!$D$2:$D$400-1&gt;=5))&gt;1," 他"&amp;(SUMPRODUCT((機器台帳!$A$2:$A$400="E24-S8-5")*((機器台帳!$B$2:$B$400="前面")+(機器台帳!$B$2:$B$400="両面")&gt;0)*(機器台帳!$F$2:$F$400&lt;&gt;"")*(機器台帳!$C$2:$C$400&lt;=5)*(機器台帳!$C$2:$C$400+機器台帳!$D$2:$D$400-1&gt;=5))-1)&amp;"台",""))</f>
        <v/>
      </c>
      <c r="S46">
        <f>IF(SUMPRODUCT((機器台帳!$A$2:$A$400="E24-S8-5")*((機器台帳!$B$2:$B$400="前面")+(機器台帳!$B$2:$B$400="両面")&gt;0)*(機器台帳!$F$2:$F$400&lt;&gt;"")*(機器台帳!$C$2:$C$400&lt;=5)*(機器台帳!$C$2:$C$400+機器台帳!$D$2:$D$400-1&gt;=5))=0,"",INDEX(機器台帳!$I$2:$I$400,MATCH(1,INDEX((機器台帳!$A$2:$A$400="E24-S8-5")*((機器台帳!$B$2:$B$400="前面")+(機器台帳!$B$2:$B$400="両面")&gt;0)*(機器台帳!$F$2:$F$400&lt;&gt;"")*(機器台帳!$C$2:$C$400&lt;=5)*(機器台帳!$C$2:$C$400+機器台帳!$D$2:$D$400-1&gt;=5),0),0))&amp;IF(INDEX(機器台帳!$Y$2:$Y$400,MATCH(1,INDEX((機器台帳!$A$2:$A$400="E24-S8-5")*((機器台帳!$B$2:$B$400="前面")+(機器台帳!$B$2:$B$400="両面")&gt;0)*(機器台帳!$F$2:$F$400&lt;&gt;"")*(機器台帳!$C$2:$C$400&lt;=5)*(機器台帳!$C$2:$C$400+機器台帳!$D$2:$D$400-1&gt;=5),0),0))=0,"|未記入",""))</f>
        <v/>
      </c>
      <c r="T46" s="12">
        <f>IF(SUMPRODUCT((機器台帳!$A$2:$A$400="E24-S8-5")*((機器台帳!$B$2:$B$400="背面")+(機器台帳!$B$2:$B$400="両面")&gt;0)*(機器台帳!$F$2:$F$400&lt;&gt;"")*(機器台帳!$C$2:$C$400&lt;=5)*(機器台帳!$C$2:$C$400+機器台帳!$D$2:$D$400-1&gt;=5))=0,"",INDEX(機器台帳!$F$2:$F$400,MATCH(1,INDEX((機器台帳!$A$2:$A$400="E24-S8-5")*((機器台帳!$B$2:$B$400="背面")+(機器台帳!$B$2:$B$400="両面")&gt;0)*(機器台帳!$F$2:$F$400&lt;&gt;"")*(機器台帳!$C$2:$C$400&lt;=5)*(機器台帳!$C$2:$C$400+機器台帳!$D$2:$D$400-1&gt;=5),0),0))&amp;IF(INDEX(機器台帳!$G$2:$G$400,MATCH(1,INDEX((機器台帳!$A$2:$A$400="E24-S8-5")*((機器台帳!$B$2:$B$400="背面")+(機器台帳!$B$2:$B$400="両面")&gt;0)*(機器台帳!$F$2:$F$400&lt;&gt;"")*(機器台帳!$C$2:$C$400&lt;=5)*(機器台帳!$C$2:$C$400+機器台帳!$D$2:$D$400-1&gt;=5),0),0))=""," "," "&amp;INDEX(機器台帳!$G$2:$G$400,MATCH(1,INDEX((機器台帳!$A$2:$A$400="E24-S8-5")*((機器台帳!$B$2:$B$400="背面")+(機器台帳!$B$2:$B$400="両面")&gt;0)*(機器台帳!$F$2:$F$400&lt;&gt;"")*(機器台帳!$C$2:$C$400&lt;=5)*(機器台帳!$C$2:$C$400+機器台帳!$D$2:$D$400-1&gt;=5),0),0)))&amp;IF(SUMPRODUCT((機器台帳!$A$2:$A$400="E24-S8-5")*((機器台帳!$B$2:$B$400="背面")+(機器台帳!$B$2:$B$400="両面")&gt;0)*(機器台帳!$F$2:$F$400&lt;&gt;"")*(機器台帳!$C$2:$C$400&lt;=5)*(機器台帳!$C$2:$C$400+機器台帳!$D$2:$D$400-1&gt;=5))&gt;1," 他"&amp;(SUMPRODUCT((機器台帳!$A$2:$A$400="E24-S8-5")*((機器台帳!$B$2:$B$400="背面")+(機器台帳!$B$2:$B$400="両面")&gt;0)*(機器台帳!$F$2:$F$400&lt;&gt;"")*(機器台帳!$C$2:$C$400&lt;=5)*(機器台帳!$C$2:$C$400+機器台帳!$D$2:$D$400-1&gt;=5))-1)&amp;"台",""))</f>
        <v/>
      </c>
      <c r="U46">
        <f>IF(SUMPRODUCT((機器台帳!$A$2:$A$400="E24-S8-5")*((機器台帳!$B$2:$B$400="背面")+(機器台帳!$B$2:$B$400="両面")&gt;0)*(機器台帳!$F$2:$F$400&lt;&gt;"")*(機器台帳!$C$2:$C$400&lt;=5)*(機器台帳!$C$2:$C$400+機器台帳!$D$2:$D$400-1&gt;=5))=0,"",INDEX(機器台帳!$I$2:$I$400,MATCH(1,INDEX((機器台帳!$A$2:$A$400="E24-S8-5")*((機器台帳!$B$2:$B$400="背面")+(機器台帳!$B$2:$B$400="両面")&gt;0)*(機器台帳!$F$2:$F$400&lt;&gt;"")*(機器台帳!$C$2:$C$400&lt;=5)*(機器台帳!$C$2:$C$400+機器台帳!$D$2:$D$400-1&gt;=5),0),0))&amp;IF(INDEX(機器台帳!$Y$2:$Y$400,MATCH(1,INDEX((機器台帳!$A$2:$A$400="E24-S8-5")*((機器台帳!$B$2:$B$400="背面")+(機器台帳!$B$2:$B$400="両面")&gt;0)*(機器台帳!$F$2:$F$400&lt;&gt;"")*(機器台帳!$C$2:$C$400&lt;=5)*(機器台帳!$C$2:$C$400+機器台帳!$D$2:$D$400-1&gt;=5),0),0))=0,"|未記入",""))</f>
        <v/>
      </c>
      <c r="V46" s="12">
        <f>IF(SUMPRODUCT((機器台帳!$A$2:$A$400="E24-S6-1")*((機器台帳!$B$2:$B$400="前面")+(機器台帳!$B$2:$B$400="両面")&gt;0)*(機器台帳!$F$2:$F$400&lt;&gt;"")*(機器台帳!$C$2:$C$400&lt;=5)*(機器台帳!$C$2:$C$400+機器台帳!$D$2:$D$400-1&gt;=5))=0,"",INDEX(機器台帳!$F$2:$F$400,MATCH(1,INDEX((機器台帳!$A$2:$A$400="E24-S6-1")*((機器台帳!$B$2:$B$400="前面")+(機器台帳!$B$2:$B$400="両面")&gt;0)*(機器台帳!$F$2:$F$400&lt;&gt;"")*(機器台帳!$C$2:$C$400&lt;=5)*(機器台帳!$C$2:$C$400+機器台帳!$D$2:$D$400-1&gt;=5),0),0))&amp;IF(INDEX(機器台帳!$G$2:$G$400,MATCH(1,INDEX((機器台帳!$A$2:$A$400="E24-S6-1")*((機器台帳!$B$2:$B$400="前面")+(機器台帳!$B$2:$B$400="両面")&gt;0)*(機器台帳!$F$2:$F$400&lt;&gt;"")*(機器台帳!$C$2:$C$400&lt;=5)*(機器台帳!$C$2:$C$400+機器台帳!$D$2:$D$400-1&gt;=5),0),0))=""," "," "&amp;INDEX(機器台帳!$G$2:$G$400,MATCH(1,INDEX((機器台帳!$A$2:$A$400="E24-S6-1")*((機器台帳!$B$2:$B$400="前面")+(機器台帳!$B$2:$B$400="両面")&gt;0)*(機器台帳!$F$2:$F$400&lt;&gt;"")*(機器台帳!$C$2:$C$400&lt;=5)*(機器台帳!$C$2:$C$400+機器台帳!$D$2:$D$400-1&gt;=5),0),0)))&amp;IF(SUMPRODUCT((機器台帳!$A$2:$A$400="E24-S6-1")*((機器台帳!$B$2:$B$400="前面")+(機器台帳!$B$2:$B$400="両面")&gt;0)*(機器台帳!$F$2:$F$400&lt;&gt;"")*(機器台帳!$C$2:$C$400&lt;=5)*(機器台帳!$C$2:$C$400+機器台帳!$D$2:$D$400-1&gt;=5))&gt;1," 他"&amp;(SUMPRODUCT((機器台帳!$A$2:$A$400="E24-S6-1")*((機器台帳!$B$2:$B$400="前面")+(機器台帳!$B$2:$B$400="両面")&gt;0)*(機器台帳!$F$2:$F$400&lt;&gt;"")*(機器台帳!$C$2:$C$400&lt;=5)*(機器台帳!$C$2:$C$400+機器台帳!$D$2:$D$400-1&gt;=5))-1)&amp;"台",""))</f>
        <v/>
      </c>
      <c r="W46">
        <f>IF(SUMPRODUCT((機器台帳!$A$2:$A$400="E24-S6-1")*((機器台帳!$B$2:$B$400="前面")+(機器台帳!$B$2:$B$400="両面")&gt;0)*(機器台帳!$F$2:$F$400&lt;&gt;"")*(機器台帳!$C$2:$C$400&lt;=5)*(機器台帳!$C$2:$C$400+機器台帳!$D$2:$D$400-1&gt;=5))=0,"",INDEX(機器台帳!$I$2:$I$400,MATCH(1,INDEX((機器台帳!$A$2:$A$400="E24-S6-1")*((機器台帳!$B$2:$B$400="前面")+(機器台帳!$B$2:$B$400="両面")&gt;0)*(機器台帳!$F$2:$F$400&lt;&gt;"")*(機器台帳!$C$2:$C$400&lt;=5)*(機器台帳!$C$2:$C$400+機器台帳!$D$2:$D$400-1&gt;=5),0),0))&amp;IF(INDEX(機器台帳!$Y$2:$Y$400,MATCH(1,INDEX((機器台帳!$A$2:$A$400="E24-S6-1")*((機器台帳!$B$2:$B$400="前面")+(機器台帳!$B$2:$B$400="両面")&gt;0)*(機器台帳!$F$2:$F$400&lt;&gt;"")*(機器台帳!$C$2:$C$400&lt;=5)*(機器台帳!$C$2:$C$400+機器台帳!$D$2:$D$400-1&gt;=5),0),0))=0,"|未記入",""))</f>
        <v/>
      </c>
      <c r="X46" s="12">
        <f>IF(SUMPRODUCT((機器台帳!$A$2:$A$400="E24-S6-1")*((機器台帳!$B$2:$B$400="背面")+(機器台帳!$B$2:$B$400="両面")&gt;0)*(機器台帳!$F$2:$F$400&lt;&gt;"")*(機器台帳!$C$2:$C$400&lt;=5)*(機器台帳!$C$2:$C$400+機器台帳!$D$2:$D$400-1&gt;=5))=0,"",INDEX(機器台帳!$F$2:$F$400,MATCH(1,INDEX((機器台帳!$A$2:$A$400="E24-S6-1")*((機器台帳!$B$2:$B$400="背面")+(機器台帳!$B$2:$B$400="両面")&gt;0)*(機器台帳!$F$2:$F$400&lt;&gt;"")*(機器台帳!$C$2:$C$400&lt;=5)*(機器台帳!$C$2:$C$400+機器台帳!$D$2:$D$400-1&gt;=5),0),0))&amp;IF(INDEX(機器台帳!$G$2:$G$400,MATCH(1,INDEX((機器台帳!$A$2:$A$400="E24-S6-1")*((機器台帳!$B$2:$B$400="背面")+(機器台帳!$B$2:$B$400="両面")&gt;0)*(機器台帳!$F$2:$F$400&lt;&gt;"")*(機器台帳!$C$2:$C$400&lt;=5)*(機器台帳!$C$2:$C$400+機器台帳!$D$2:$D$400-1&gt;=5),0),0))=""," "," "&amp;INDEX(機器台帳!$G$2:$G$400,MATCH(1,INDEX((機器台帳!$A$2:$A$400="E24-S6-1")*((機器台帳!$B$2:$B$400="背面")+(機器台帳!$B$2:$B$400="両面")&gt;0)*(機器台帳!$F$2:$F$400&lt;&gt;"")*(機器台帳!$C$2:$C$400&lt;=5)*(機器台帳!$C$2:$C$400+機器台帳!$D$2:$D$400-1&gt;=5),0),0)))&amp;IF(SUMPRODUCT((機器台帳!$A$2:$A$400="E24-S6-1")*((機器台帳!$B$2:$B$400="背面")+(機器台帳!$B$2:$B$400="両面")&gt;0)*(機器台帳!$F$2:$F$400&lt;&gt;"")*(機器台帳!$C$2:$C$400&lt;=5)*(機器台帳!$C$2:$C$400+機器台帳!$D$2:$D$400-1&gt;=5))&gt;1," 他"&amp;(SUMPRODUCT((機器台帳!$A$2:$A$400="E24-S6-1")*((機器台帳!$B$2:$B$400="背面")+(機器台帳!$B$2:$B$400="両面")&gt;0)*(機器台帳!$F$2:$F$400&lt;&gt;"")*(機器台帳!$C$2:$C$400&lt;=5)*(機器台帳!$C$2:$C$400+機器台帳!$D$2:$D$400-1&gt;=5))-1)&amp;"台",""))</f>
        <v/>
      </c>
      <c r="Y46">
        <f>IF(SUMPRODUCT((機器台帳!$A$2:$A$400="E24-S6-1")*((機器台帳!$B$2:$B$400="背面")+(機器台帳!$B$2:$B$400="両面")&gt;0)*(機器台帳!$F$2:$F$400&lt;&gt;"")*(機器台帳!$C$2:$C$400&lt;=5)*(機器台帳!$C$2:$C$400+機器台帳!$D$2:$D$400-1&gt;=5))=0,"",INDEX(機器台帳!$I$2:$I$400,MATCH(1,INDEX((機器台帳!$A$2:$A$400="E24-S6-1")*((機器台帳!$B$2:$B$400="背面")+(機器台帳!$B$2:$B$400="両面")&gt;0)*(機器台帳!$F$2:$F$400&lt;&gt;"")*(機器台帳!$C$2:$C$400&lt;=5)*(機器台帳!$C$2:$C$400+機器台帳!$D$2:$D$400-1&gt;=5),0),0))&amp;IF(INDEX(機器台帳!$Y$2:$Y$400,MATCH(1,INDEX((機器台帳!$A$2:$A$400="E24-S6-1")*((機器台帳!$B$2:$B$400="背面")+(機器台帳!$B$2:$B$400="両面")&gt;0)*(機器台帳!$F$2:$F$400&lt;&gt;"")*(機器台帳!$C$2:$C$400&lt;=5)*(機器台帳!$C$2:$C$400+機器台帳!$D$2:$D$400-1&gt;=5),0),0))=0,"|未記入",""))</f>
        <v/>
      </c>
    </row>
    <row r="47">
      <c r="A47" s="11" t="n">
        <v>4</v>
      </c>
      <c r="B47" s="12">
        <f>IF(SUMPRODUCT((機器台帳!$A$2:$A$400="E24-S8-1")*((機器台帳!$B$2:$B$400="前面")+(機器台帳!$B$2:$B$400="両面")&gt;0)*(機器台帳!$F$2:$F$400&lt;&gt;"")*(機器台帳!$C$2:$C$400&lt;=4)*(機器台帳!$C$2:$C$400+機器台帳!$D$2:$D$400-1&gt;=4))=0,"",INDEX(機器台帳!$F$2:$F$400,MATCH(1,INDEX((機器台帳!$A$2:$A$400="E24-S8-1")*((機器台帳!$B$2:$B$400="前面")+(機器台帳!$B$2:$B$400="両面")&gt;0)*(機器台帳!$F$2:$F$400&lt;&gt;"")*(機器台帳!$C$2:$C$400&lt;=4)*(機器台帳!$C$2:$C$400+機器台帳!$D$2:$D$400-1&gt;=4),0),0))&amp;IF(INDEX(機器台帳!$G$2:$G$400,MATCH(1,INDEX((機器台帳!$A$2:$A$400="E24-S8-1")*((機器台帳!$B$2:$B$400="前面")+(機器台帳!$B$2:$B$400="両面")&gt;0)*(機器台帳!$F$2:$F$400&lt;&gt;"")*(機器台帳!$C$2:$C$400&lt;=4)*(機器台帳!$C$2:$C$400+機器台帳!$D$2:$D$400-1&gt;=4),0),0))=""," "," "&amp;INDEX(機器台帳!$G$2:$G$400,MATCH(1,INDEX((機器台帳!$A$2:$A$400="E24-S8-1")*((機器台帳!$B$2:$B$400="前面")+(機器台帳!$B$2:$B$400="両面")&gt;0)*(機器台帳!$F$2:$F$400&lt;&gt;"")*(機器台帳!$C$2:$C$400&lt;=4)*(機器台帳!$C$2:$C$400+機器台帳!$D$2:$D$400-1&gt;=4),0),0)))&amp;IF(SUMPRODUCT((機器台帳!$A$2:$A$400="E24-S8-1")*((機器台帳!$B$2:$B$400="前面")+(機器台帳!$B$2:$B$400="両面")&gt;0)*(機器台帳!$F$2:$F$400&lt;&gt;"")*(機器台帳!$C$2:$C$400&lt;=4)*(機器台帳!$C$2:$C$400+機器台帳!$D$2:$D$400-1&gt;=4))&gt;1," 他"&amp;(SUMPRODUCT((機器台帳!$A$2:$A$400="E24-S8-1")*((機器台帳!$B$2:$B$400="前面")+(機器台帳!$B$2:$B$400="両面")&gt;0)*(機器台帳!$F$2:$F$400&lt;&gt;"")*(機器台帳!$C$2:$C$400&lt;=4)*(機器台帳!$C$2:$C$400+機器台帳!$D$2:$D$400-1&gt;=4))-1)&amp;"台",""))</f>
        <v/>
      </c>
      <c r="C47">
        <f>IF(SUMPRODUCT((機器台帳!$A$2:$A$400="E24-S8-1")*((機器台帳!$B$2:$B$400="前面")+(機器台帳!$B$2:$B$400="両面")&gt;0)*(機器台帳!$F$2:$F$400&lt;&gt;"")*(機器台帳!$C$2:$C$400&lt;=4)*(機器台帳!$C$2:$C$400+機器台帳!$D$2:$D$400-1&gt;=4))=0,"",INDEX(機器台帳!$I$2:$I$400,MATCH(1,INDEX((機器台帳!$A$2:$A$400="E24-S8-1")*((機器台帳!$B$2:$B$400="前面")+(機器台帳!$B$2:$B$400="両面")&gt;0)*(機器台帳!$F$2:$F$400&lt;&gt;"")*(機器台帳!$C$2:$C$400&lt;=4)*(機器台帳!$C$2:$C$400+機器台帳!$D$2:$D$400-1&gt;=4),0),0))&amp;IF(INDEX(機器台帳!$Y$2:$Y$400,MATCH(1,INDEX((機器台帳!$A$2:$A$400="E24-S8-1")*((機器台帳!$B$2:$B$400="前面")+(機器台帳!$B$2:$B$400="両面")&gt;0)*(機器台帳!$F$2:$F$400&lt;&gt;"")*(機器台帳!$C$2:$C$400&lt;=4)*(機器台帳!$C$2:$C$400+機器台帳!$D$2:$D$400-1&gt;=4),0),0))=0,"|未記入",""))</f>
        <v/>
      </c>
      <c r="D47" s="12">
        <f>IF(SUMPRODUCT((機器台帳!$A$2:$A$400="E24-S8-1")*((機器台帳!$B$2:$B$400="背面")+(機器台帳!$B$2:$B$400="両面")&gt;0)*(機器台帳!$F$2:$F$400&lt;&gt;"")*(機器台帳!$C$2:$C$400&lt;=4)*(機器台帳!$C$2:$C$400+機器台帳!$D$2:$D$400-1&gt;=4))=0,"",INDEX(機器台帳!$F$2:$F$400,MATCH(1,INDEX((機器台帳!$A$2:$A$400="E24-S8-1")*((機器台帳!$B$2:$B$400="背面")+(機器台帳!$B$2:$B$400="両面")&gt;0)*(機器台帳!$F$2:$F$400&lt;&gt;"")*(機器台帳!$C$2:$C$400&lt;=4)*(機器台帳!$C$2:$C$400+機器台帳!$D$2:$D$400-1&gt;=4),0),0))&amp;IF(INDEX(機器台帳!$G$2:$G$400,MATCH(1,INDEX((機器台帳!$A$2:$A$400="E24-S8-1")*((機器台帳!$B$2:$B$400="背面")+(機器台帳!$B$2:$B$400="両面")&gt;0)*(機器台帳!$F$2:$F$400&lt;&gt;"")*(機器台帳!$C$2:$C$400&lt;=4)*(機器台帳!$C$2:$C$400+機器台帳!$D$2:$D$400-1&gt;=4),0),0))=""," "," "&amp;INDEX(機器台帳!$G$2:$G$400,MATCH(1,INDEX((機器台帳!$A$2:$A$400="E24-S8-1")*((機器台帳!$B$2:$B$400="背面")+(機器台帳!$B$2:$B$400="両面")&gt;0)*(機器台帳!$F$2:$F$400&lt;&gt;"")*(機器台帳!$C$2:$C$400&lt;=4)*(機器台帳!$C$2:$C$400+機器台帳!$D$2:$D$400-1&gt;=4),0),0)))&amp;IF(SUMPRODUCT((機器台帳!$A$2:$A$400="E24-S8-1")*((機器台帳!$B$2:$B$400="背面")+(機器台帳!$B$2:$B$400="両面")&gt;0)*(機器台帳!$F$2:$F$400&lt;&gt;"")*(機器台帳!$C$2:$C$400&lt;=4)*(機器台帳!$C$2:$C$400+機器台帳!$D$2:$D$400-1&gt;=4))&gt;1," 他"&amp;(SUMPRODUCT((機器台帳!$A$2:$A$400="E24-S8-1")*((機器台帳!$B$2:$B$400="背面")+(機器台帳!$B$2:$B$400="両面")&gt;0)*(機器台帳!$F$2:$F$400&lt;&gt;"")*(機器台帳!$C$2:$C$400&lt;=4)*(機器台帳!$C$2:$C$400+機器台帳!$D$2:$D$400-1&gt;=4))-1)&amp;"台",""))</f>
        <v/>
      </c>
      <c r="E47">
        <f>IF(SUMPRODUCT((機器台帳!$A$2:$A$400="E24-S8-1")*((機器台帳!$B$2:$B$400="背面")+(機器台帳!$B$2:$B$400="両面")&gt;0)*(機器台帳!$F$2:$F$400&lt;&gt;"")*(機器台帳!$C$2:$C$400&lt;=4)*(機器台帳!$C$2:$C$400+機器台帳!$D$2:$D$400-1&gt;=4))=0,"",INDEX(機器台帳!$I$2:$I$400,MATCH(1,INDEX((機器台帳!$A$2:$A$400="E24-S8-1")*((機器台帳!$B$2:$B$400="背面")+(機器台帳!$B$2:$B$400="両面")&gt;0)*(機器台帳!$F$2:$F$400&lt;&gt;"")*(機器台帳!$C$2:$C$400&lt;=4)*(機器台帳!$C$2:$C$400+機器台帳!$D$2:$D$400-1&gt;=4),0),0))&amp;IF(INDEX(機器台帳!$Y$2:$Y$400,MATCH(1,INDEX((機器台帳!$A$2:$A$400="E24-S8-1")*((機器台帳!$B$2:$B$400="背面")+(機器台帳!$B$2:$B$400="両面")&gt;0)*(機器台帳!$F$2:$F$400&lt;&gt;"")*(機器台帳!$C$2:$C$400&lt;=4)*(機器台帳!$C$2:$C$400+機器台帳!$D$2:$D$400-1&gt;=4),0),0))=0,"|未記入",""))</f>
        <v/>
      </c>
      <c r="F47" s="12">
        <f>IF(SUMPRODUCT((機器台帳!$A$2:$A$400="E24-S8-2")*((機器台帳!$B$2:$B$400="前面")+(機器台帳!$B$2:$B$400="両面")&gt;0)*(機器台帳!$F$2:$F$400&lt;&gt;"")*(機器台帳!$C$2:$C$400&lt;=4)*(機器台帳!$C$2:$C$400+機器台帳!$D$2:$D$400-1&gt;=4))=0,"",INDEX(機器台帳!$F$2:$F$400,MATCH(1,INDEX((機器台帳!$A$2:$A$400="E24-S8-2")*((機器台帳!$B$2:$B$400="前面")+(機器台帳!$B$2:$B$400="両面")&gt;0)*(機器台帳!$F$2:$F$400&lt;&gt;"")*(機器台帳!$C$2:$C$400&lt;=4)*(機器台帳!$C$2:$C$400+機器台帳!$D$2:$D$400-1&gt;=4),0),0))&amp;IF(INDEX(機器台帳!$G$2:$G$400,MATCH(1,INDEX((機器台帳!$A$2:$A$400="E24-S8-2")*((機器台帳!$B$2:$B$400="前面")+(機器台帳!$B$2:$B$400="両面")&gt;0)*(機器台帳!$F$2:$F$400&lt;&gt;"")*(機器台帳!$C$2:$C$400&lt;=4)*(機器台帳!$C$2:$C$400+機器台帳!$D$2:$D$400-1&gt;=4),0),0))=""," "," "&amp;INDEX(機器台帳!$G$2:$G$400,MATCH(1,INDEX((機器台帳!$A$2:$A$400="E24-S8-2")*((機器台帳!$B$2:$B$400="前面")+(機器台帳!$B$2:$B$400="両面")&gt;0)*(機器台帳!$F$2:$F$400&lt;&gt;"")*(機器台帳!$C$2:$C$400&lt;=4)*(機器台帳!$C$2:$C$400+機器台帳!$D$2:$D$400-1&gt;=4),0),0)))&amp;IF(SUMPRODUCT((機器台帳!$A$2:$A$400="E24-S8-2")*((機器台帳!$B$2:$B$400="前面")+(機器台帳!$B$2:$B$400="両面")&gt;0)*(機器台帳!$F$2:$F$400&lt;&gt;"")*(機器台帳!$C$2:$C$400&lt;=4)*(機器台帳!$C$2:$C$400+機器台帳!$D$2:$D$400-1&gt;=4))&gt;1," 他"&amp;(SUMPRODUCT((機器台帳!$A$2:$A$400="E24-S8-2")*((機器台帳!$B$2:$B$400="前面")+(機器台帳!$B$2:$B$400="両面")&gt;0)*(機器台帳!$F$2:$F$400&lt;&gt;"")*(機器台帳!$C$2:$C$400&lt;=4)*(機器台帳!$C$2:$C$400+機器台帳!$D$2:$D$400-1&gt;=4))-1)&amp;"台",""))</f>
        <v/>
      </c>
      <c r="G47">
        <f>IF(SUMPRODUCT((機器台帳!$A$2:$A$400="E24-S8-2")*((機器台帳!$B$2:$B$400="前面")+(機器台帳!$B$2:$B$400="両面")&gt;0)*(機器台帳!$F$2:$F$400&lt;&gt;"")*(機器台帳!$C$2:$C$400&lt;=4)*(機器台帳!$C$2:$C$400+機器台帳!$D$2:$D$400-1&gt;=4))=0,"",INDEX(機器台帳!$I$2:$I$400,MATCH(1,INDEX((機器台帳!$A$2:$A$400="E24-S8-2")*((機器台帳!$B$2:$B$400="前面")+(機器台帳!$B$2:$B$400="両面")&gt;0)*(機器台帳!$F$2:$F$400&lt;&gt;"")*(機器台帳!$C$2:$C$400&lt;=4)*(機器台帳!$C$2:$C$400+機器台帳!$D$2:$D$400-1&gt;=4),0),0))&amp;IF(INDEX(機器台帳!$Y$2:$Y$400,MATCH(1,INDEX((機器台帳!$A$2:$A$400="E24-S8-2")*((機器台帳!$B$2:$B$400="前面")+(機器台帳!$B$2:$B$400="両面")&gt;0)*(機器台帳!$F$2:$F$400&lt;&gt;"")*(機器台帳!$C$2:$C$400&lt;=4)*(機器台帳!$C$2:$C$400+機器台帳!$D$2:$D$400-1&gt;=4),0),0))=0,"|未記入",""))</f>
        <v/>
      </c>
      <c r="H47" s="12">
        <f>IF(SUMPRODUCT((機器台帳!$A$2:$A$400="E24-S8-2")*((機器台帳!$B$2:$B$400="背面")+(機器台帳!$B$2:$B$400="両面")&gt;0)*(機器台帳!$F$2:$F$400&lt;&gt;"")*(機器台帳!$C$2:$C$400&lt;=4)*(機器台帳!$C$2:$C$400+機器台帳!$D$2:$D$400-1&gt;=4))=0,"",INDEX(機器台帳!$F$2:$F$400,MATCH(1,INDEX((機器台帳!$A$2:$A$400="E24-S8-2")*((機器台帳!$B$2:$B$400="背面")+(機器台帳!$B$2:$B$400="両面")&gt;0)*(機器台帳!$F$2:$F$400&lt;&gt;"")*(機器台帳!$C$2:$C$400&lt;=4)*(機器台帳!$C$2:$C$400+機器台帳!$D$2:$D$400-1&gt;=4),0),0))&amp;IF(INDEX(機器台帳!$G$2:$G$400,MATCH(1,INDEX((機器台帳!$A$2:$A$400="E24-S8-2")*((機器台帳!$B$2:$B$400="背面")+(機器台帳!$B$2:$B$400="両面")&gt;0)*(機器台帳!$F$2:$F$400&lt;&gt;"")*(機器台帳!$C$2:$C$400&lt;=4)*(機器台帳!$C$2:$C$400+機器台帳!$D$2:$D$400-1&gt;=4),0),0))=""," "," "&amp;INDEX(機器台帳!$G$2:$G$400,MATCH(1,INDEX((機器台帳!$A$2:$A$400="E24-S8-2")*((機器台帳!$B$2:$B$400="背面")+(機器台帳!$B$2:$B$400="両面")&gt;0)*(機器台帳!$F$2:$F$400&lt;&gt;"")*(機器台帳!$C$2:$C$400&lt;=4)*(機器台帳!$C$2:$C$400+機器台帳!$D$2:$D$400-1&gt;=4),0),0)))&amp;IF(SUMPRODUCT((機器台帳!$A$2:$A$400="E24-S8-2")*((機器台帳!$B$2:$B$400="背面")+(機器台帳!$B$2:$B$400="両面")&gt;0)*(機器台帳!$F$2:$F$400&lt;&gt;"")*(機器台帳!$C$2:$C$400&lt;=4)*(機器台帳!$C$2:$C$400+機器台帳!$D$2:$D$400-1&gt;=4))&gt;1," 他"&amp;(SUMPRODUCT((機器台帳!$A$2:$A$400="E24-S8-2")*((機器台帳!$B$2:$B$400="背面")+(機器台帳!$B$2:$B$400="両面")&gt;0)*(機器台帳!$F$2:$F$400&lt;&gt;"")*(機器台帳!$C$2:$C$400&lt;=4)*(機器台帳!$C$2:$C$400+機器台帳!$D$2:$D$400-1&gt;=4))-1)&amp;"台",""))</f>
        <v/>
      </c>
      <c r="I47">
        <f>IF(SUMPRODUCT((機器台帳!$A$2:$A$400="E24-S8-2")*((機器台帳!$B$2:$B$400="背面")+(機器台帳!$B$2:$B$400="両面")&gt;0)*(機器台帳!$F$2:$F$400&lt;&gt;"")*(機器台帳!$C$2:$C$400&lt;=4)*(機器台帳!$C$2:$C$400+機器台帳!$D$2:$D$400-1&gt;=4))=0,"",INDEX(機器台帳!$I$2:$I$400,MATCH(1,INDEX((機器台帳!$A$2:$A$400="E24-S8-2")*((機器台帳!$B$2:$B$400="背面")+(機器台帳!$B$2:$B$400="両面")&gt;0)*(機器台帳!$F$2:$F$400&lt;&gt;"")*(機器台帳!$C$2:$C$400&lt;=4)*(機器台帳!$C$2:$C$400+機器台帳!$D$2:$D$400-1&gt;=4),0),0))&amp;IF(INDEX(機器台帳!$Y$2:$Y$400,MATCH(1,INDEX((機器台帳!$A$2:$A$400="E24-S8-2")*((機器台帳!$B$2:$B$400="背面")+(機器台帳!$B$2:$B$400="両面")&gt;0)*(機器台帳!$F$2:$F$400&lt;&gt;"")*(機器台帳!$C$2:$C$400&lt;=4)*(機器台帳!$C$2:$C$400+機器台帳!$D$2:$D$400-1&gt;=4),0),0))=0,"|未記入",""))</f>
        <v/>
      </c>
      <c r="J47" s="12">
        <f>IF(SUMPRODUCT((機器台帳!$A$2:$A$400="E24-S8-3")*((機器台帳!$B$2:$B$400="前面")+(機器台帳!$B$2:$B$400="両面")&gt;0)*(機器台帳!$F$2:$F$400&lt;&gt;"")*(機器台帳!$C$2:$C$400&lt;=4)*(機器台帳!$C$2:$C$400+機器台帳!$D$2:$D$400-1&gt;=4))=0,"",INDEX(機器台帳!$F$2:$F$400,MATCH(1,INDEX((機器台帳!$A$2:$A$400="E24-S8-3")*((機器台帳!$B$2:$B$400="前面")+(機器台帳!$B$2:$B$400="両面")&gt;0)*(機器台帳!$F$2:$F$400&lt;&gt;"")*(機器台帳!$C$2:$C$400&lt;=4)*(機器台帳!$C$2:$C$400+機器台帳!$D$2:$D$400-1&gt;=4),0),0))&amp;IF(INDEX(機器台帳!$G$2:$G$400,MATCH(1,INDEX((機器台帳!$A$2:$A$400="E24-S8-3")*((機器台帳!$B$2:$B$400="前面")+(機器台帳!$B$2:$B$400="両面")&gt;0)*(機器台帳!$F$2:$F$400&lt;&gt;"")*(機器台帳!$C$2:$C$400&lt;=4)*(機器台帳!$C$2:$C$400+機器台帳!$D$2:$D$400-1&gt;=4),0),0))=""," "," "&amp;INDEX(機器台帳!$G$2:$G$400,MATCH(1,INDEX((機器台帳!$A$2:$A$400="E24-S8-3")*((機器台帳!$B$2:$B$400="前面")+(機器台帳!$B$2:$B$400="両面")&gt;0)*(機器台帳!$F$2:$F$400&lt;&gt;"")*(機器台帳!$C$2:$C$400&lt;=4)*(機器台帳!$C$2:$C$400+機器台帳!$D$2:$D$400-1&gt;=4),0),0)))&amp;IF(SUMPRODUCT((機器台帳!$A$2:$A$400="E24-S8-3")*((機器台帳!$B$2:$B$400="前面")+(機器台帳!$B$2:$B$400="両面")&gt;0)*(機器台帳!$F$2:$F$400&lt;&gt;"")*(機器台帳!$C$2:$C$400&lt;=4)*(機器台帳!$C$2:$C$400+機器台帳!$D$2:$D$400-1&gt;=4))&gt;1," 他"&amp;(SUMPRODUCT((機器台帳!$A$2:$A$400="E24-S8-3")*((機器台帳!$B$2:$B$400="前面")+(機器台帳!$B$2:$B$400="両面")&gt;0)*(機器台帳!$F$2:$F$400&lt;&gt;"")*(機器台帳!$C$2:$C$400&lt;=4)*(機器台帳!$C$2:$C$400+機器台帳!$D$2:$D$400-1&gt;=4))-1)&amp;"台",""))</f>
        <v/>
      </c>
      <c r="K47">
        <f>IF(SUMPRODUCT((機器台帳!$A$2:$A$400="E24-S8-3")*((機器台帳!$B$2:$B$400="前面")+(機器台帳!$B$2:$B$400="両面")&gt;0)*(機器台帳!$F$2:$F$400&lt;&gt;"")*(機器台帳!$C$2:$C$400&lt;=4)*(機器台帳!$C$2:$C$400+機器台帳!$D$2:$D$400-1&gt;=4))=0,"",INDEX(機器台帳!$I$2:$I$400,MATCH(1,INDEX((機器台帳!$A$2:$A$400="E24-S8-3")*((機器台帳!$B$2:$B$400="前面")+(機器台帳!$B$2:$B$400="両面")&gt;0)*(機器台帳!$F$2:$F$400&lt;&gt;"")*(機器台帳!$C$2:$C$400&lt;=4)*(機器台帳!$C$2:$C$400+機器台帳!$D$2:$D$400-1&gt;=4),0),0))&amp;IF(INDEX(機器台帳!$Y$2:$Y$400,MATCH(1,INDEX((機器台帳!$A$2:$A$400="E24-S8-3")*((機器台帳!$B$2:$B$400="前面")+(機器台帳!$B$2:$B$400="両面")&gt;0)*(機器台帳!$F$2:$F$400&lt;&gt;"")*(機器台帳!$C$2:$C$400&lt;=4)*(機器台帳!$C$2:$C$400+機器台帳!$D$2:$D$400-1&gt;=4),0),0))=0,"|未記入",""))</f>
        <v/>
      </c>
      <c r="L47" s="12">
        <f>IF(SUMPRODUCT((機器台帳!$A$2:$A$400="E24-S8-3")*((機器台帳!$B$2:$B$400="背面")+(機器台帳!$B$2:$B$400="両面")&gt;0)*(機器台帳!$F$2:$F$400&lt;&gt;"")*(機器台帳!$C$2:$C$400&lt;=4)*(機器台帳!$C$2:$C$400+機器台帳!$D$2:$D$400-1&gt;=4))=0,"",INDEX(機器台帳!$F$2:$F$400,MATCH(1,INDEX((機器台帳!$A$2:$A$400="E24-S8-3")*((機器台帳!$B$2:$B$400="背面")+(機器台帳!$B$2:$B$400="両面")&gt;0)*(機器台帳!$F$2:$F$400&lt;&gt;"")*(機器台帳!$C$2:$C$400&lt;=4)*(機器台帳!$C$2:$C$400+機器台帳!$D$2:$D$400-1&gt;=4),0),0))&amp;IF(INDEX(機器台帳!$G$2:$G$400,MATCH(1,INDEX((機器台帳!$A$2:$A$400="E24-S8-3")*((機器台帳!$B$2:$B$400="背面")+(機器台帳!$B$2:$B$400="両面")&gt;0)*(機器台帳!$F$2:$F$400&lt;&gt;"")*(機器台帳!$C$2:$C$400&lt;=4)*(機器台帳!$C$2:$C$400+機器台帳!$D$2:$D$400-1&gt;=4),0),0))=""," "," "&amp;INDEX(機器台帳!$G$2:$G$400,MATCH(1,INDEX((機器台帳!$A$2:$A$400="E24-S8-3")*((機器台帳!$B$2:$B$400="背面")+(機器台帳!$B$2:$B$400="両面")&gt;0)*(機器台帳!$F$2:$F$400&lt;&gt;"")*(機器台帳!$C$2:$C$400&lt;=4)*(機器台帳!$C$2:$C$400+機器台帳!$D$2:$D$400-1&gt;=4),0),0)))&amp;IF(SUMPRODUCT((機器台帳!$A$2:$A$400="E24-S8-3")*((機器台帳!$B$2:$B$400="背面")+(機器台帳!$B$2:$B$400="両面")&gt;0)*(機器台帳!$F$2:$F$400&lt;&gt;"")*(機器台帳!$C$2:$C$400&lt;=4)*(機器台帳!$C$2:$C$400+機器台帳!$D$2:$D$400-1&gt;=4))&gt;1," 他"&amp;(SUMPRODUCT((機器台帳!$A$2:$A$400="E24-S8-3")*((機器台帳!$B$2:$B$400="背面")+(機器台帳!$B$2:$B$400="両面")&gt;0)*(機器台帳!$F$2:$F$400&lt;&gt;"")*(機器台帳!$C$2:$C$400&lt;=4)*(機器台帳!$C$2:$C$400+機器台帳!$D$2:$D$400-1&gt;=4))-1)&amp;"台",""))</f>
        <v/>
      </c>
      <c r="M47">
        <f>IF(SUMPRODUCT((機器台帳!$A$2:$A$400="E24-S8-3")*((機器台帳!$B$2:$B$400="背面")+(機器台帳!$B$2:$B$400="両面")&gt;0)*(機器台帳!$F$2:$F$400&lt;&gt;"")*(機器台帳!$C$2:$C$400&lt;=4)*(機器台帳!$C$2:$C$400+機器台帳!$D$2:$D$400-1&gt;=4))=0,"",INDEX(機器台帳!$I$2:$I$400,MATCH(1,INDEX((機器台帳!$A$2:$A$400="E24-S8-3")*((機器台帳!$B$2:$B$400="背面")+(機器台帳!$B$2:$B$400="両面")&gt;0)*(機器台帳!$F$2:$F$400&lt;&gt;"")*(機器台帳!$C$2:$C$400&lt;=4)*(機器台帳!$C$2:$C$400+機器台帳!$D$2:$D$400-1&gt;=4),0),0))&amp;IF(INDEX(機器台帳!$Y$2:$Y$400,MATCH(1,INDEX((機器台帳!$A$2:$A$400="E24-S8-3")*((機器台帳!$B$2:$B$400="背面")+(機器台帳!$B$2:$B$400="両面")&gt;0)*(機器台帳!$F$2:$F$400&lt;&gt;"")*(機器台帳!$C$2:$C$400&lt;=4)*(機器台帳!$C$2:$C$400+機器台帳!$D$2:$D$400-1&gt;=4),0),0))=0,"|未記入",""))</f>
        <v/>
      </c>
      <c r="N47" s="12">
        <f>IF(SUMPRODUCT((機器台帳!$A$2:$A$400="E24-S8-4")*((機器台帳!$B$2:$B$400="前面")+(機器台帳!$B$2:$B$400="両面")&gt;0)*(機器台帳!$F$2:$F$400&lt;&gt;"")*(機器台帳!$C$2:$C$400&lt;=4)*(機器台帳!$C$2:$C$400+機器台帳!$D$2:$D$400-1&gt;=4))=0,"",INDEX(機器台帳!$F$2:$F$400,MATCH(1,INDEX((機器台帳!$A$2:$A$400="E24-S8-4")*((機器台帳!$B$2:$B$400="前面")+(機器台帳!$B$2:$B$400="両面")&gt;0)*(機器台帳!$F$2:$F$400&lt;&gt;"")*(機器台帳!$C$2:$C$400&lt;=4)*(機器台帳!$C$2:$C$400+機器台帳!$D$2:$D$400-1&gt;=4),0),0))&amp;IF(INDEX(機器台帳!$G$2:$G$400,MATCH(1,INDEX((機器台帳!$A$2:$A$400="E24-S8-4")*((機器台帳!$B$2:$B$400="前面")+(機器台帳!$B$2:$B$400="両面")&gt;0)*(機器台帳!$F$2:$F$400&lt;&gt;"")*(機器台帳!$C$2:$C$400&lt;=4)*(機器台帳!$C$2:$C$400+機器台帳!$D$2:$D$400-1&gt;=4),0),0))=""," "," "&amp;INDEX(機器台帳!$G$2:$G$400,MATCH(1,INDEX((機器台帳!$A$2:$A$400="E24-S8-4")*((機器台帳!$B$2:$B$400="前面")+(機器台帳!$B$2:$B$400="両面")&gt;0)*(機器台帳!$F$2:$F$400&lt;&gt;"")*(機器台帳!$C$2:$C$400&lt;=4)*(機器台帳!$C$2:$C$400+機器台帳!$D$2:$D$400-1&gt;=4),0),0)))&amp;IF(SUMPRODUCT((機器台帳!$A$2:$A$400="E24-S8-4")*((機器台帳!$B$2:$B$400="前面")+(機器台帳!$B$2:$B$400="両面")&gt;0)*(機器台帳!$F$2:$F$400&lt;&gt;"")*(機器台帳!$C$2:$C$400&lt;=4)*(機器台帳!$C$2:$C$400+機器台帳!$D$2:$D$400-1&gt;=4))&gt;1," 他"&amp;(SUMPRODUCT((機器台帳!$A$2:$A$400="E24-S8-4")*((機器台帳!$B$2:$B$400="前面")+(機器台帳!$B$2:$B$400="両面")&gt;0)*(機器台帳!$F$2:$F$400&lt;&gt;"")*(機器台帳!$C$2:$C$400&lt;=4)*(機器台帳!$C$2:$C$400+機器台帳!$D$2:$D$400-1&gt;=4))-1)&amp;"台",""))</f>
        <v/>
      </c>
      <c r="O47">
        <f>IF(SUMPRODUCT((機器台帳!$A$2:$A$400="E24-S8-4")*((機器台帳!$B$2:$B$400="前面")+(機器台帳!$B$2:$B$400="両面")&gt;0)*(機器台帳!$F$2:$F$400&lt;&gt;"")*(機器台帳!$C$2:$C$400&lt;=4)*(機器台帳!$C$2:$C$400+機器台帳!$D$2:$D$400-1&gt;=4))=0,"",INDEX(機器台帳!$I$2:$I$400,MATCH(1,INDEX((機器台帳!$A$2:$A$400="E24-S8-4")*((機器台帳!$B$2:$B$400="前面")+(機器台帳!$B$2:$B$400="両面")&gt;0)*(機器台帳!$F$2:$F$400&lt;&gt;"")*(機器台帳!$C$2:$C$400&lt;=4)*(機器台帳!$C$2:$C$400+機器台帳!$D$2:$D$400-1&gt;=4),0),0))&amp;IF(INDEX(機器台帳!$Y$2:$Y$400,MATCH(1,INDEX((機器台帳!$A$2:$A$400="E24-S8-4")*((機器台帳!$B$2:$B$400="前面")+(機器台帳!$B$2:$B$400="両面")&gt;0)*(機器台帳!$F$2:$F$400&lt;&gt;"")*(機器台帳!$C$2:$C$400&lt;=4)*(機器台帳!$C$2:$C$400+機器台帳!$D$2:$D$400-1&gt;=4),0),0))=0,"|未記入",""))</f>
        <v/>
      </c>
      <c r="P47" s="12">
        <f>IF(SUMPRODUCT((機器台帳!$A$2:$A$400="E24-S8-4")*((機器台帳!$B$2:$B$400="背面")+(機器台帳!$B$2:$B$400="両面")&gt;0)*(機器台帳!$F$2:$F$400&lt;&gt;"")*(機器台帳!$C$2:$C$400&lt;=4)*(機器台帳!$C$2:$C$400+機器台帳!$D$2:$D$400-1&gt;=4))=0,"",INDEX(機器台帳!$F$2:$F$400,MATCH(1,INDEX((機器台帳!$A$2:$A$400="E24-S8-4")*((機器台帳!$B$2:$B$400="背面")+(機器台帳!$B$2:$B$400="両面")&gt;0)*(機器台帳!$F$2:$F$400&lt;&gt;"")*(機器台帳!$C$2:$C$400&lt;=4)*(機器台帳!$C$2:$C$400+機器台帳!$D$2:$D$400-1&gt;=4),0),0))&amp;IF(INDEX(機器台帳!$G$2:$G$400,MATCH(1,INDEX((機器台帳!$A$2:$A$400="E24-S8-4")*((機器台帳!$B$2:$B$400="背面")+(機器台帳!$B$2:$B$400="両面")&gt;0)*(機器台帳!$F$2:$F$400&lt;&gt;"")*(機器台帳!$C$2:$C$400&lt;=4)*(機器台帳!$C$2:$C$400+機器台帳!$D$2:$D$400-1&gt;=4),0),0))=""," "," "&amp;INDEX(機器台帳!$G$2:$G$400,MATCH(1,INDEX((機器台帳!$A$2:$A$400="E24-S8-4")*((機器台帳!$B$2:$B$400="背面")+(機器台帳!$B$2:$B$400="両面")&gt;0)*(機器台帳!$F$2:$F$400&lt;&gt;"")*(機器台帳!$C$2:$C$400&lt;=4)*(機器台帳!$C$2:$C$400+機器台帳!$D$2:$D$400-1&gt;=4),0),0)))&amp;IF(SUMPRODUCT((機器台帳!$A$2:$A$400="E24-S8-4")*((機器台帳!$B$2:$B$400="背面")+(機器台帳!$B$2:$B$400="両面")&gt;0)*(機器台帳!$F$2:$F$400&lt;&gt;"")*(機器台帳!$C$2:$C$400&lt;=4)*(機器台帳!$C$2:$C$400+機器台帳!$D$2:$D$400-1&gt;=4))&gt;1," 他"&amp;(SUMPRODUCT((機器台帳!$A$2:$A$400="E24-S8-4")*((機器台帳!$B$2:$B$400="背面")+(機器台帳!$B$2:$B$400="両面")&gt;0)*(機器台帳!$F$2:$F$400&lt;&gt;"")*(機器台帳!$C$2:$C$400&lt;=4)*(機器台帳!$C$2:$C$400+機器台帳!$D$2:$D$400-1&gt;=4))-1)&amp;"台",""))</f>
        <v/>
      </c>
      <c r="Q47">
        <f>IF(SUMPRODUCT((機器台帳!$A$2:$A$400="E24-S8-4")*((機器台帳!$B$2:$B$400="背面")+(機器台帳!$B$2:$B$400="両面")&gt;0)*(機器台帳!$F$2:$F$400&lt;&gt;"")*(機器台帳!$C$2:$C$400&lt;=4)*(機器台帳!$C$2:$C$400+機器台帳!$D$2:$D$400-1&gt;=4))=0,"",INDEX(機器台帳!$I$2:$I$400,MATCH(1,INDEX((機器台帳!$A$2:$A$400="E24-S8-4")*((機器台帳!$B$2:$B$400="背面")+(機器台帳!$B$2:$B$400="両面")&gt;0)*(機器台帳!$F$2:$F$400&lt;&gt;"")*(機器台帳!$C$2:$C$400&lt;=4)*(機器台帳!$C$2:$C$400+機器台帳!$D$2:$D$400-1&gt;=4),0),0))&amp;IF(INDEX(機器台帳!$Y$2:$Y$400,MATCH(1,INDEX((機器台帳!$A$2:$A$400="E24-S8-4")*((機器台帳!$B$2:$B$400="背面")+(機器台帳!$B$2:$B$400="両面")&gt;0)*(機器台帳!$F$2:$F$400&lt;&gt;"")*(機器台帳!$C$2:$C$400&lt;=4)*(機器台帳!$C$2:$C$400+機器台帳!$D$2:$D$400-1&gt;=4),0),0))=0,"|未記入",""))</f>
        <v/>
      </c>
      <c r="R47" s="12">
        <f>IF(SUMPRODUCT((機器台帳!$A$2:$A$400="E24-S8-5")*((機器台帳!$B$2:$B$400="前面")+(機器台帳!$B$2:$B$400="両面")&gt;0)*(機器台帳!$F$2:$F$400&lt;&gt;"")*(機器台帳!$C$2:$C$400&lt;=4)*(機器台帳!$C$2:$C$400+機器台帳!$D$2:$D$400-1&gt;=4))=0,"",INDEX(機器台帳!$F$2:$F$400,MATCH(1,INDEX((機器台帳!$A$2:$A$400="E24-S8-5")*((機器台帳!$B$2:$B$400="前面")+(機器台帳!$B$2:$B$400="両面")&gt;0)*(機器台帳!$F$2:$F$400&lt;&gt;"")*(機器台帳!$C$2:$C$400&lt;=4)*(機器台帳!$C$2:$C$400+機器台帳!$D$2:$D$400-1&gt;=4),0),0))&amp;IF(INDEX(機器台帳!$G$2:$G$400,MATCH(1,INDEX((機器台帳!$A$2:$A$400="E24-S8-5")*((機器台帳!$B$2:$B$400="前面")+(機器台帳!$B$2:$B$400="両面")&gt;0)*(機器台帳!$F$2:$F$400&lt;&gt;"")*(機器台帳!$C$2:$C$400&lt;=4)*(機器台帳!$C$2:$C$400+機器台帳!$D$2:$D$400-1&gt;=4),0),0))=""," "," "&amp;INDEX(機器台帳!$G$2:$G$400,MATCH(1,INDEX((機器台帳!$A$2:$A$400="E24-S8-5")*((機器台帳!$B$2:$B$400="前面")+(機器台帳!$B$2:$B$400="両面")&gt;0)*(機器台帳!$F$2:$F$400&lt;&gt;"")*(機器台帳!$C$2:$C$400&lt;=4)*(機器台帳!$C$2:$C$400+機器台帳!$D$2:$D$400-1&gt;=4),0),0)))&amp;IF(SUMPRODUCT((機器台帳!$A$2:$A$400="E24-S8-5")*((機器台帳!$B$2:$B$400="前面")+(機器台帳!$B$2:$B$400="両面")&gt;0)*(機器台帳!$F$2:$F$400&lt;&gt;"")*(機器台帳!$C$2:$C$400&lt;=4)*(機器台帳!$C$2:$C$400+機器台帳!$D$2:$D$400-1&gt;=4))&gt;1," 他"&amp;(SUMPRODUCT((機器台帳!$A$2:$A$400="E24-S8-5")*((機器台帳!$B$2:$B$400="前面")+(機器台帳!$B$2:$B$400="両面")&gt;0)*(機器台帳!$F$2:$F$400&lt;&gt;"")*(機器台帳!$C$2:$C$400&lt;=4)*(機器台帳!$C$2:$C$400+機器台帳!$D$2:$D$400-1&gt;=4))-1)&amp;"台",""))</f>
        <v/>
      </c>
      <c r="S47">
        <f>IF(SUMPRODUCT((機器台帳!$A$2:$A$400="E24-S8-5")*((機器台帳!$B$2:$B$400="前面")+(機器台帳!$B$2:$B$400="両面")&gt;0)*(機器台帳!$F$2:$F$400&lt;&gt;"")*(機器台帳!$C$2:$C$400&lt;=4)*(機器台帳!$C$2:$C$400+機器台帳!$D$2:$D$400-1&gt;=4))=0,"",INDEX(機器台帳!$I$2:$I$400,MATCH(1,INDEX((機器台帳!$A$2:$A$400="E24-S8-5")*((機器台帳!$B$2:$B$400="前面")+(機器台帳!$B$2:$B$400="両面")&gt;0)*(機器台帳!$F$2:$F$400&lt;&gt;"")*(機器台帳!$C$2:$C$400&lt;=4)*(機器台帳!$C$2:$C$400+機器台帳!$D$2:$D$400-1&gt;=4),0),0))&amp;IF(INDEX(機器台帳!$Y$2:$Y$400,MATCH(1,INDEX((機器台帳!$A$2:$A$400="E24-S8-5")*((機器台帳!$B$2:$B$400="前面")+(機器台帳!$B$2:$B$400="両面")&gt;0)*(機器台帳!$F$2:$F$400&lt;&gt;"")*(機器台帳!$C$2:$C$400&lt;=4)*(機器台帳!$C$2:$C$400+機器台帳!$D$2:$D$400-1&gt;=4),0),0))=0,"|未記入",""))</f>
        <v/>
      </c>
      <c r="T47" s="12">
        <f>IF(SUMPRODUCT((機器台帳!$A$2:$A$400="E24-S8-5")*((機器台帳!$B$2:$B$400="背面")+(機器台帳!$B$2:$B$400="両面")&gt;0)*(機器台帳!$F$2:$F$400&lt;&gt;"")*(機器台帳!$C$2:$C$400&lt;=4)*(機器台帳!$C$2:$C$400+機器台帳!$D$2:$D$400-1&gt;=4))=0,"",INDEX(機器台帳!$F$2:$F$400,MATCH(1,INDEX((機器台帳!$A$2:$A$400="E24-S8-5")*((機器台帳!$B$2:$B$400="背面")+(機器台帳!$B$2:$B$400="両面")&gt;0)*(機器台帳!$F$2:$F$400&lt;&gt;"")*(機器台帳!$C$2:$C$400&lt;=4)*(機器台帳!$C$2:$C$400+機器台帳!$D$2:$D$400-1&gt;=4),0),0))&amp;IF(INDEX(機器台帳!$G$2:$G$400,MATCH(1,INDEX((機器台帳!$A$2:$A$400="E24-S8-5")*((機器台帳!$B$2:$B$400="背面")+(機器台帳!$B$2:$B$400="両面")&gt;0)*(機器台帳!$F$2:$F$400&lt;&gt;"")*(機器台帳!$C$2:$C$400&lt;=4)*(機器台帳!$C$2:$C$400+機器台帳!$D$2:$D$400-1&gt;=4),0),0))=""," "," "&amp;INDEX(機器台帳!$G$2:$G$400,MATCH(1,INDEX((機器台帳!$A$2:$A$400="E24-S8-5")*((機器台帳!$B$2:$B$400="背面")+(機器台帳!$B$2:$B$400="両面")&gt;0)*(機器台帳!$F$2:$F$400&lt;&gt;"")*(機器台帳!$C$2:$C$400&lt;=4)*(機器台帳!$C$2:$C$400+機器台帳!$D$2:$D$400-1&gt;=4),0),0)))&amp;IF(SUMPRODUCT((機器台帳!$A$2:$A$400="E24-S8-5")*((機器台帳!$B$2:$B$400="背面")+(機器台帳!$B$2:$B$400="両面")&gt;0)*(機器台帳!$F$2:$F$400&lt;&gt;"")*(機器台帳!$C$2:$C$400&lt;=4)*(機器台帳!$C$2:$C$400+機器台帳!$D$2:$D$400-1&gt;=4))&gt;1," 他"&amp;(SUMPRODUCT((機器台帳!$A$2:$A$400="E24-S8-5")*((機器台帳!$B$2:$B$400="背面")+(機器台帳!$B$2:$B$400="両面")&gt;0)*(機器台帳!$F$2:$F$400&lt;&gt;"")*(機器台帳!$C$2:$C$400&lt;=4)*(機器台帳!$C$2:$C$400+機器台帳!$D$2:$D$400-1&gt;=4))-1)&amp;"台",""))</f>
        <v/>
      </c>
      <c r="U47">
        <f>IF(SUMPRODUCT((機器台帳!$A$2:$A$400="E24-S8-5")*((機器台帳!$B$2:$B$400="背面")+(機器台帳!$B$2:$B$400="両面")&gt;0)*(機器台帳!$F$2:$F$400&lt;&gt;"")*(機器台帳!$C$2:$C$400&lt;=4)*(機器台帳!$C$2:$C$400+機器台帳!$D$2:$D$400-1&gt;=4))=0,"",INDEX(機器台帳!$I$2:$I$400,MATCH(1,INDEX((機器台帳!$A$2:$A$400="E24-S8-5")*((機器台帳!$B$2:$B$400="背面")+(機器台帳!$B$2:$B$400="両面")&gt;0)*(機器台帳!$F$2:$F$400&lt;&gt;"")*(機器台帳!$C$2:$C$400&lt;=4)*(機器台帳!$C$2:$C$400+機器台帳!$D$2:$D$400-1&gt;=4),0),0))&amp;IF(INDEX(機器台帳!$Y$2:$Y$400,MATCH(1,INDEX((機器台帳!$A$2:$A$400="E24-S8-5")*((機器台帳!$B$2:$B$400="背面")+(機器台帳!$B$2:$B$400="両面")&gt;0)*(機器台帳!$F$2:$F$400&lt;&gt;"")*(機器台帳!$C$2:$C$400&lt;=4)*(機器台帳!$C$2:$C$400+機器台帳!$D$2:$D$400-1&gt;=4),0),0))=0,"|未記入",""))</f>
        <v/>
      </c>
      <c r="V47" s="12">
        <f>IF(SUMPRODUCT((機器台帳!$A$2:$A$400="E24-S6-1")*((機器台帳!$B$2:$B$400="前面")+(機器台帳!$B$2:$B$400="両面")&gt;0)*(機器台帳!$F$2:$F$400&lt;&gt;"")*(機器台帳!$C$2:$C$400&lt;=4)*(機器台帳!$C$2:$C$400+機器台帳!$D$2:$D$400-1&gt;=4))=0,"",INDEX(機器台帳!$F$2:$F$400,MATCH(1,INDEX((機器台帳!$A$2:$A$400="E24-S6-1")*((機器台帳!$B$2:$B$400="前面")+(機器台帳!$B$2:$B$400="両面")&gt;0)*(機器台帳!$F$2:$F$400&lt;&gt;"")*(機器台帳!$C$2:$C$400&lt;=4)*(機器台帳!$C$2:$C$400+機器台帳!$D$2:$D$400-1&gt;=4),0),0))&amp;IF(INDEX(機器台帳!$G$2:$G$400,MATCH(1,INDEX((機器台帳!$A$2:$A$400="E24-S6-1")*((機器台帳!$B$2:$B$400="前面")+(機器台帳!$B$2:$B$400="両面")&gt;0)*(機器台帳!$F$2:$F$400&lt;&gt;"")*(機器台帳!$C$2:$C$400&lt;=4)*(機器台帳!$C$2:$C$400+機器台帳!$D$2:$D$400-1&gt;=4),0),0))=""," "," "&amp;INDEX(機器台帳!$G$2:$G$400,MATCH(1,INDEX((機器台帳!$A$2:$A$400="E24-S6-1")*((機器台帳!$B$2:$B$400="前面")+(機器台帳!$B$2:$B$400="両面")&gt;0)*(機器台帳!$F$2:$F$400&lt;&gt;"")*(機器台帳!$C$2:$C$400&lt;=4)*(機器台帳!$C$2:$C$400+機器台帳!$D$2:$D$400-1&gt;=4),0),0)))&amp;IF(SUMPRODUCT((機器台帳!$A$2:$A$400="E24-S6-1")*((機器台帳!$B$2:$B$400="前面")+(機器台帳!$B$2:$B$400="両面")&gt;0)*(機器台帳!$F$2:$F$400&lt;&gt;"")*(機器台帳!$C$2:$C$400&lt;=4)*(機器台帳!$C$2:$C$400+機器台帳!$D$2:$D$400-1&gt;=4))&gt;1," 他"&amp;(SUMPRODUCT((機器台帳!$A$2:$A$400="E24-S6-1")*((機器台帳!$B$2:$B$400="前面")+(機器台帳!$B$2:$B$400="両面")&gt;0)*(機器台帳!$F$2:$F$400&lt;&gt;"")*(機器台帳!$C$2:$C$400&lt;=4)*(機器台帳!$C$2:$C$400+機器台帳!$D$2:$D$400-1&gt;=4))-1)&amp;"台",""))</f>
        <v/>
      </c>
      <c r="W47">
        <f>IF(SUMPRODUCT((機器台帳!$A$2:$A$400="E24-S6-1")*((機器台帳!$B$2:$B$400="前面")+(機器台帳!$B$2:$B$400="両面")&gt;0)*(機器台帳!$F$2:$F$400&lt;&gt;"")*(機器台帳!$C$2:$C$400&lt;=4)*(機器台帳!$C$2:$C$400+機器台帳!$D$2:$D$400-1&gt;=4))=0,"",INDEX(機器台帳!$I$2:$I$400,MATCH(1,INDEX((機器台帳!$A$2:$A$400="E24-S6-1")*((機器台帳!$B$2:$B$400="前面")+(機器台帳!$B$2:$B$400="両面")&gt;0)*(機器台帳!$F$2:$F$400&lt;&gt;"")*(機器台帳!$C$2:$C$400&lt;=4)*(機器台帳!$C$2:$C$400+機器台帳!$D$2:$D$400-1&gt;=4),0),0))&amp;IF(INDEX(機器台帳!$Y$2:$Y$400,MATCH(1,INDEX((機器台帳!$A$2:$A$400="E24-S6-1")*((機器台帳!$B$2:$B$400="前面")+(機器台帳!$B$2:$B$400="両面")&gt;0)*(機器台帳!$F$2:$F$400&lt;&gt;"")*(機器台帳!$C$2:$C$400&lt;=4)*(機器台帳!$C$2:$C$400+機器台帳!$D$2:$D$400-1&gt;=4),0),0))=0,"|未記入",""))</f>
        <v/>
      </c>
      <c r="X47" s="12">
        <f>IF(SUMPRODUCT((機器台帳!$A$2:$A$400="E24-S6-1")*((機器台帳!$B$2:$B$400="背面")+(機器台帳!$B$2:$B$400="両面")&gt;0)*(機器台帳!$F$2:$F$400&lt;&gt;"")*(機器台帳!$C$2:$C$400&lt;=4)*(機器台帳!$C$2:$C$400+機器台帳!$D$2:$D$400-1&gt;=4))=0,"",INDEX(機器台帳!$F$2:$F$400,MATCH(1,INDEX((機器台帳!$A$2:$A$400="E24-S6-1")*((機器台帳!$B$2:$B$400="背面")+(機器台帳!$B$2:$B$400="両面")&gt;0)*(機器台帳!$F$2:$F$400&lt;&gt;"")*(機器台帳!$C$2:$C$400&lt;=4)*(機器台帳!$C$2:$C$400+機器台帳!$D$2:$D$400-1&gt;=4),0),0))&amp;IF(INDEX(機器台帳!$G$2:$G$400,MATCH(1,INDEX((機器台帳!$A$2:$A$400="E24-S6-1")*((機器台帳!$B$2:$B$400="背面")+(機器台帳!$B$2:$B$400="両面")&gt;0)*(機器台帳!$F$2:$F$400&lt;&gt;"")*(機器台帳!$C$2:$C$400&lt;=4)*(機器台帳!$C$2:$C$400+機器台帳!$D$2:$D$400-1&gt;=4),0),0))=""," "," "&amp;INDEX(機器台帳!$G$2:$G$400,MATCH(1,INDEX((機器台帳!$A$2:$A$400="E24-S6-1")*((機器台帳!$B$2:$B$400="背面")+(機器台帳!$B$2:$B$400="両面")&gt;0)*(機器台帳!$F$2:$F$400&lt;&gt;"")*(機器台帳!$C$2:$C$400&lt;=4)*(機器台帳!$C$2:$C$400+機器台帳!$D$2:$D$400-1&gt;=4),0),0)))&amp;IF(SUMPRODUCT((機器台帳!$A$2:$A$400="E24-S6-1")*((機器台帳!$B$2:$B$400="背面")+(機器台帳!$B$2:$B$400="両面")&gt;0)*(機器台帳!$F$2:$F$400&lt;&gt;"")*(機器台帳!$C$2:$C$400&lt;=4)*(機器台帳!$C$2:$C$400+機器台帳!$D$2:$D$400-1&gt;=4))&gt;1," 他"&amp;(SUMPRODUCT((機器台帳!$A$2:$A$400="E24-S6-1")*((機器台帳!$B$2:$B$400="背面")+(機器台帳!$B$2:$B$400="両面")&gt;0)*(機器台帳!$F$2:$F$400&lt;&gt;"")*(機器台帳!$C$2:$C$400&lt;=4)*(機器台帳!$C$2:$C$400+機器台帳!$D$2:$D$400-1&gt;=4))-1)&amp;"台",""))</f>
        <v/>
      </c>
      <c r="Y47">
        <f>IF(SUMPRODUCT((機器台帳!$A$2:$A$400="E24-S6-1")*((機器台帳!$B$2:$B$400="背面")+(機器台帳!$B$2:$B$400="両面")&gt;0)*(機器台帳!$F$2:$F$400&lt;&gt;"")*(機器台帳!$C$2:$C$400&lt;=4)*(機器台帳!$C$2:$C$400+機器台帳!$D$2:$D$400-1&gt;=4))=0,"",INDEX(機器台帳!$I$2:$I$400,MATCH(1,INDEX((機器台帳!$A$2:$A$400="E24-S6-1")*((機器台帳!$B$2:$B$400="背面")+(機器台帳!$B$2:$B$400="両面")&gt;0)*(機器台帳!$F$2:$F$400&lt;&gt;"")*(機器台帳!$C$2:$C$400&lt;=4)*(機器台帳!$C$2:$C$400+機器台帳!$D$2:$D$400-1&gt;=4),0),0))&amp;IF(INDEX(機器台帳!$Y$2:$Y$400,MATCH(1,INDEX((機器台帳!$A$2:$A$400="E24-S6-1")*((機器台帳!$B$2:$B$400="背面")+(機器台帳!$B$2:$B$400="両面")&gt;0)*(機器台帳!$F$2:$F$400&lt;&gt;"")*(機器台帳!$C$2:$C$400&lt;=4)*(機器台帳!$C$2:$C$400+機器台帳!$D$2:$D$400-1&gt;=4),0),0))=0,"|未記入",""))</f>
        <v/>
      </c>
    </row>
    <row r="48">
      <c r="A48" s="11" t="n">
        <v>3</v>
      </c>
      <c r="B48" s="12">
        <f>IF(SUMPRODUCT((機器台帳!$A$2:$A$400="E24-S8-1")*((機器台帳!$B$2:$B$400="前面")+(機器台帳!$B$2:$B$400="両面")&gt;0)*(機器台帳!$F$2:$F$400&lt;&gt;"")*(機器台帳!$C$2:$C$400&lt;=3)*(機器台帳!$C$2:$C$400+機器台帳!$D$2:$D$400-1&gt;=3))=0,"",INDEX(機器台帳!$F$2:$F$400,MATCH(1,INDEX((機器台帳!$A$2:$A$400="E24-S8-1")*((機器台帳!$B$2:$B$400="前面")+(機器台帳!$B$2:$B$400="両面")&gt;0)*(機器台帳!$F$2:$F$400&lt;&gt;"")*(機器台帳!$C$2:$C$400&lt;=3)*(機器台帳!$C$2:$C$400+機器台帳!$D$2:$D$400-1&gt;=3),0),0))&amp;IF(INDEX(機器台帳!$G$2:$G$400,MATCH(1,INDEX((機器台帳!$A$2:$A$400="E24-S8-1")*((機器台帳!$B$2:$B$400="前面")+(機器台帳!$B$2:$B$400="両面")&gt;0)*(機器台帳!$F$2:$F$400&lt;&gt;"")*(機器台帳!$C$2:$C$400&lt;=3)*(機器台帳!$C$2:$C$400+機器台帳!$D$2:$D$400-1&gt;=3),0),0))=""," "," "&amp;INDEX(機器台帳!$G$2:$G$400,MATCH(1,INDEX((機器台帳!$A$2:$A$400="E24-S8-1")*((機器台帳!$B$2:$B$400="前面")+(機器台帳!$B$2:$B$400="両面")&gt;0)*(機器台帳!$F$2:$F$400&lt;&gt;"")*(機器台帳!$C$2:$C$400&lt;=3)*(機器台帳!$C$2:$C$400+機器台帳!$D$2:$D$400-1&gt;=3),0),0)))&amp;IF(SUMPRODUCT((機器台帳!$A$2:$A$400="E24-S8-1")*((機器台帳!$B$2:$B$400="前面")+(機器台帳!$B$2:$B$400="両面")&gt;0)*(機器台帳!$F$2:$F$400&lt;&gt;"")*(機器台帳!$C$2:$C$400&lt;=3)*(機器台帳!$C$2:$C$400+機器台帳!$D$2:$D$400-1&gt;=3))&gt;1," 他"&amp;(SUMPRODUCT((機器台帳!$A$2:$A$400="E24-S8-1")*((機器台帳!$B$2:$B$400="前面")+(機器台帳!$B$2:$B$400="両面")&gt;0)*(機器台帳!$F$2:$F$400&lt;&gt;"")*(機器台帳!$C$2:$C$400&lt;=3)*(機器台帳!$C$2:$C$400+機器台帳!$D$2:$D$400-1&gt;=3))-1)&amp;"台",""))</f>
        <v/>
      </c>
      <c r="C48">
        <f>IF(SUMPRODUCT((機器台帳!$A$2:$A$400="E24-S8-1")*((機器台帳!$B$2:$B$400="前面")+(機器台帳!$B$2:$B$400="両面")&gt;0)*(機器台帳!$F$2:$F$400&lt;&gt;"")*(機器台帳!$C$2:$C$400&lt;=3)*(機器台帳!$C$2:$C$400+機器台帳!$D$2:$D$400-1&gt;=3))=0,"",INDEX(機器台帳!$I$2:$I$400,MATCH(1,INDEX((機器台帳!$A$2:$A$400="E24-S8-1")*((機器台帳!$B$2:$B$400="前面")+(機器台帳!$B$2:$B$400="両面")&gt;0)*(機器台帳!$F$2:$F$400&lt;&gt;"")*(機器台帳!$C$2:$C$400&lt;=3)*(機器台帳!$C$2:$C$400+機器台帳!$D$2:$D$400-1&gt;=3),0),0))&amp;IF(INDEX(機器台帳!$Y$2:$Y$400,MATCH(1,INDEX((機器台帳!$A$2:$A$400="E24-S8-1")*((機器台帳!$B$2:$B$400="前面")+(機器台帳!$B$2:$B$400="両面")&gt;0)*(機器台帳!$F$2:$F$400&lt;&gt;"")*(機器台帳!$C$2:$C$400&lt;=3)*(機器台帳!$C$2:$C$400+機器台帳!$D$2:$D$400-1&gt;=3),0),0))=0,"|未記入",""))</f>
        <v/>
      </c>
      <c r="D48" s="12">
        <f>IF(SUMPRODUCT((機器台帳!$A$2:$A$400="E24-S8-1")*((機器台帳!$B$2:$B$400="背面")+(機器台帳!$B$2:$B$400="両面")&gt;0)*(機器台帳!$F$2:$F$400&lt;&gt;"")*(機器台帳!$C$2:$C$400&lt;=3)*(機器台帳!$C$2:$C$400+機器台帳!$D$2:$D$400-1&gt;=3))=0,"",INDEX(機器台帳!$F$2:$F$400,MATCH(1,INDEX((機器台帳!$A$2:$A$400="E24-S8-1")*((機器台帳!$B$2:$B$400="背面")+(機器台帳!$B$2:$B$400="両面")&gt;0)*(機器台帳!$F$2:$F$400&lt;&gt;"")*(機器台帳!$C$2:$C$400&lt;=3)*(機器台帳!$C$2:$C$400+機器台帳!$D$2:$D$400-1&gt;=3),0),0))&amp;IF(INDEX(機器台帳!$G$2:$G$400,MATCH(1,INDEX((機器台帳!$A$2:$A$400="E24-S8-1")*((機器台帳!$B$2:$B$400="背面")+(機器台帳!$B$2:$B$400="両面")&gt;0)*(機器台帳!$F$2:$F$400&lt;&gt;"")*(機器台帳!$C$2:$C$400&lt;=3)*(機器台帳!$C$2:$C$400+機器台帳!$D$2:$D$400-1&gt;=3),0),0))=""," "," "&amp;INDEX(機器台帳!$G$2:$G$400,MATCH(1,INDEX((機器台帳!$A$2:$A$400="E24-S8-1")*((機器台帳!$B$2:$B$400="背面")+(機器台帳!$B$2:$B$400="両面")&gt;0)*(機器台帳!$F$2:$F$400&lt;&gt;"")*(機器台帳!$C$2:$C$400&lt;=3)*(機器台帳!$C$2:$C$400+機器台帳!$D$2:$D$400-1&gt;=3),0),0)))&amp;IF(SUMPRODUCT((機器台帳!$A$2:$A$400="E24-S8-1")*((機器台帳!$B$2:$B$400="背面")+(機器台帳!$B$2:$B$400="両面")&gt;0)*(機器台帳!$F$2:$F$400&lt;&gt;"")*(機器台帳!$C$2:$C$400&lt;=3)*(機器台帳!$C$2:$C$400+機器台帳!$D$2:$D$400-1&gt;=3))&gt;1," 他"&amp;(SUMPRODUCT((機器台帳!$A$2:$A$400="E24-S8-1")*((機器台帳!$B$2:$B$400="背面")+(機器台帳!$B$2:$B$400="両面")&gt;0)*(機器台帳!$F$2:$F$400&lt;&gt;"")*(機器台帳!$C$2:$C$400&lt;=3)*(機器台帳!$C$2:$C$400+機器台帳!$D$2:$D$400-1&gt;=3))-1)&amp;"台",""))</f>
        <v/>
      </c>
      <c r="E48">
        <f>IF(SUMPRODUCT((機器台帳!$A$2:$A$400="E24-S8-1")*((機器台帳!$B$2:$B$400="背面")+(機器台帳!$B$2:$B$400="両面")&gt;0)*(機器台帳!$F$2:$F$400&lt;&gt;"")*(機器台帳!$C$2:$C$400&lt;=3)*(機器台帳!$C$2:$C$400+機器台帳!$D$2:$D$400-1&gt;=3))=0,"",INDEX(機器台帳!$I$2:$I$400,MATCH(1,INDEX((機器台帳!$A$2:$A$400="E24-S8-1")*((機器台帳!$B$2:$B$400="背面")+(機器台帳!$B$2:$B$400="両面")&gt;0)*(機器台帳!$F$2:$F$400&lt;&gt;"")*(機器台帳!$C$2:$C$400&lt;=3)*(機器台帳!$C$2:$C$400+機器台帳!$D$2:$D$400-1&gt;=3),0),0))&amp;IF(INDEX(機器台帳!$Y$2:$Y$400,MATCH(1,INDEX((機器台帳!$A$2:$A$400="E24-S8-1")*((機器台帳!$B$2:$B$400="背面")+(機器台帳!$B$2:$B$400="両面")&gt;0)*(機器台帳!$F$2:$F$400&lt;&gt;"")*(機器台帳!$C$2:$C$400&lt;=3)*(機器台帳!$C$2:$C$400+機器台帳!$D$2:$D$400-1&gt;=3),0),0))=0,"|未記入",""))</f>
        <v/>
      </c>
      <c r="F48" s="12">
        <f>IF(SUMPRODUCT((機器台帳!$A$2:$A$400="E24-S8-2")*((機器台帳!$B$2:$B$400="前面")+(機器台帳!$B$2:$B$400="両面")&gt;0)*(機器台帳!$F$2:$F$400&lt;&gt;"")*(機器台帳!$C$2:$C$400&lt;=3)*(機器台帳!$C$2:$C$400+機器台帳!$D$2:$D$400-1&gt;=3))=0,"",INDEX(機器台帳!$F$2:$F$400,MATCH(1,INDEX((機器台帳!$A$2:$A$400="E24-S8-2")*((機器台帳!$B$2:$B$400="前面")+(機器台帳!$B$2:$B$400="両面")&gt;0)*(機器台帳!$F$2:$F$400&lt;&gt;"")*(機器台帳!$C$2:$C$400&lt;=3)*(機器台帳!$C$2:$C$400+機器台帳!$D$2:$D$400-1&gt;=3),0),0))&amp;IF(INDEX(機器台帳!$G$2:$G$400,MATCH(1,INDEX((機器台帳!$A$2:$A$400="E24-S8-2")*((機器台帳!$B$2:$B$400="前面")+(機器台帳!$B$2:$B$400="両面")&gt;0)*(機器台帳!$F$2:$F$400&lt;&gt;"")*(機器台帳!$C$2:$C$400&lt;=3)*(機器台帳!$C$2:$C$400+機器台帳!$D$2:$D$400-1&gt;=3),0),0))=""," "," "&amp;INDEX(機器台帳!$G$2:$G$400,MATCH(1,INDEX((機器台帳!$A$2:$A$400="E24-S8-2")*((機器台帳!$B$2:$B$400="前面")+(機器台帳!$B$2:$B$400="両面")&gt;0)*(機器台帳!$F$2:$F$400&lt;&gt;"")*(機器台帳!$C$2:$C$400&lt;=3)*(機器台帳!$C$2:$C$400+機器台帳!$D$2:$D$400-1&gt;=3),0),0)))&amp;IF(SUMPRODUCT((機器台帳!$A$2:$A$400="E24-S8-2")*((機器台帳!$B$2:$B$400="前面")+(機器台帳!$B$2:$B$400="両面")&gt;0)*(機器台帳!$F$2:$F$400&lt;&gt;"")*(機器台帳!$C$2:$C$400&lt;=3)*(機器台帳!$C$2:$C$400+機器台帳!$D$2:$D$400-1&gt;=3))&gt;1," 他"&amp;(SUMPRODUCT((機器台帳!$A$2:$A$400="E24-S8-2")*((機器台帳!$B$2:$B$400="前面")+(機器台帳!$B$2:$B$400="両面")&gt;0)*(機器台帳!$F$2:$F$400&lt;&gt;"")*(機器台帳!$C$2:$C$400&lt;=3)*(機器台帳!$C$2:$C$400+機器台帳!$D$2:$D$400-1&gt;=3))-1)&amp;"台",""))</f>
        <v/>
      </c>
      <c r="G48">
        <f>IF(SUMPRODUCT((機器台帳!$A$2:$A$400="E24-S8-2")*((機器台帳!$B$2:$B$400="前面")+(機器台帳!$B$2:$B$400="両面")&gt;0)*(機器台帳!$F$2:$F$400&lt;&gt;"")*(機器台帳!$C$2:$C$400&lt;=3)*(機器台帳!$C$2:$C$400+機器台帳!$D$2:$D$400-1&gt;=3))=0,"",INDEX(機器台帳!$I$2:$I$400,MATCH(1,INDEX((機器台帳!$A$2:$A$400="E24-S8-2")*((機器台帳!$B$2:$B$400="前面")+(機器台帳!$B$2:$B$400="両面")&gt;0)*(機器台帳!$F$2:$F$400&lt;&gt;"")*(機器台帳!$C$2:$C$400&lt;=3)*(機器台帳!$C$2:$C$400+機器台帳!$D$2:$D$400-1&gt;=3),0),0))&amp;IF(INDEX(機器台帳!$Y$2:$Y$400,MATCH(1,INDEX((機器台帳!$A$2:$A$400="E24-S8-2")*((機器台帳!$B$2:$B$400="前面")+(機器台帳!$B$2:$B$400="両面")&gt;0)*(機器台帳!$F$2:$F$400&lt;&gt;"")*(機器台帳!$C$2:$C$400&lt;=3)*(機器台帳!$C$2:$C$400+機器台帳!$D$2:$D$400-1&gt;=3),0),0))=0,"|未記入",""))</f>
        <v/>
      </c>
      <c r="H48" s="12">
        <f>IF(SUMPRODUCT((機器台帳!$A$2:$A$400="E24-S8-2")*((機器台帳!$B$2:$B$400="背面")+(機器台帳!$B$2:$B$400="両面")&gt;0)*(機器台帳!$F$2:$F$400&lt;&gt;"")*(機器台帳!$C$2:$C$400&lt;=3)*(機器台帳!$C$2:$C$400+機器台帳!$D$2:$D$400-1&gt;=3))=0,"",INDEX(機器台帳!$F$2:$F$400,MATCH(1,INDEX((機器台帳!$A$2:$A$400="E24-S8-2")*((機器台帳!$B$2:$B$400="背面")+(機器台帳!$B$2:$B$400="両面")&gt;0)*(機器台帳!$F$2:$F$400&lt;&gt;"")*(機器台帳!$C$2:$C$400&lt;=3)*(機器台帳!$C$2:$C$400+機器台帳!$D$2:$D$400-1&gt;=3),0),0))&amp;IF(INDEX(機器台帳!$G$2:$G$400,MATCH(1,INDEX((機器台帳!$A$2:$A$400="E24-S8-2")*((機器台帳!$B$2:$B$400="背面")+(機器台帳!$B$2:$B$400="両面")&gt;0)*(機器台帳!$F$2:$F$400&lt;&gt;"")*(機器台帳!$C$2:$C$400&lt;=3)*(機器台帳!$C$2:$C$400+機器台帳!$D$2:$D$400-1&gt;=3),0),0))=""," "," "&amp;INDEX(機器台帳!$G$2:$G$400,MATCH(1,INDEX((機器台帳!$A$2:$A$400="E24-S8-2")*((機器台帳!$B$2:$B$400="背面")+(機器台帳!$B$2:$B$400="両面")&gt;0)*(機器台帳!$F$2:$F$400&lt;&gt;"")*(機器台帳!$C$2:$C$400&lt;=3)*(機器台帳!$C$2:$C$400+機器台帳!$D$2:$D$400-1&gt;=3),0),0)))&amp;IF(SUMPRODUCT((機器台帳!$A$2:$A$400="E24-S8-2")*((機器台帳!$B$2:$B$400="背面")+(機器台帳!$B$2:$B$400="両面")&gt;0)*(機器台帳!$F$2:$F$400&lt;&gt;"")*(機器台帳!$C$2:$C$400&lt;=3)*(機器台帳!$C$2:$C$400+機器台帳!$D$2:$D$400-1&gt;=3))&gt;1," 他"&amp;(SUMPRODUCT((機器台帳!$A$2:$A$400="E24-S8-2")*((機器台帳!$B$2:$B$400="背面")+(機器台帳!$B$2:$B$400="両面")&gt;0)*(機器台帳!$F$2:$F$400&lt;&gt;"")*(機器台帳!$C$2:$C$400&lt;=3)*(機器台帳!$C$2:$C$400+機器台帳!$D$2:$D$400-1&gt;=3))-1)&amp;"台",""))</f>
        <v/>
      </c>
      <c r="I48">
        <f>IF(SUMPRODUCT((機器台帳!$A$2:$A$400="E24-S8-2")*((機器台帳!$B$2:$B$400="背面")+(機器台帳!$B$2:$B$400="両面")&gt;0)*(機器台帳!$F$2:$F$400&lt;&gt;"")*(機器台帳!$C$2:$C$400&lt;=3)*(機器台帳!$C$2:$C$400+機器台帳!$D$2:$D$400-1&gt;=3))=0,"",INDEX(機器台帳!$I$2:$I$400,MATCH(1,INDEX((機器台帳!$A$2:$A$400="E24-S8-2")*((機器台帳!$B$2:$B$400="背面")+(機器台帳!$B$2:$B$400="両面")&gt;0)*(機器台帳!$F$2:$F$400&lt;&gt;"")*(機器台帳!$C$2:$C$400&lt;=3)*(機器台帳!$C$2:$C$400+機器台帳!$D$2:$D$400-1&gt;=3),0),0))&amp;IF(INDEX(機器台帳!$Y$2:$Y$400,MATCH(1,INDEX((機器台帳!$A$2:$A$400="E24-S8-2")*((機器台帳!$B$2:$B$400="背面")+(機器台帳!$B$2:$B$400="両面")&gt;0)*(機器台帳!$F$2:$F$400&lt;&gt;"")*(機器台帳!$C$2:$C$400&lt;=3)*(機器台帳!$C$2:$C$400+機器台帳!$D$2:$D$400-1&gt;=3),0),0))=0,"|未記入",""))</f>
        <v/>
      </c>
      <c r="J48" s="12">
        <f>IF(SUMPRODUCT((機器台帳!$A$2:$A$400="E24-S8-3")*((機器台帳!$B$2:$B$400="前面")+(機器台帳!$B$2:$B$400="両面")&gt;0)*(機器台帳!$F$2:$F$400&lt;&gt;"")*(機器台帳!$C$2:$C$400&lt;=3)*(機器台帳!$C$2:$C$400+機器台帳!$D$2:$D$400-1&gt;=3))=0,"",INDEX(機器台帳!$F$2:$F$400,MATCH(1,INDEX((機器台帳!$A$2:$A$400="E24-S8-3")*((機器台帳!$B$2:$B$400="前面")+(機器台帳!$B$2:$B$400="両面")&gt;0)*(機器台帳!$F$2:$F$400&lt;&gt;"")*(機器台帳!$C$2:$C$400&lt;=3)*(機器台帳!$C$2:$C$400+機器台帳!$D$2:$D$400-1&gt;=3),0),0))&amp;IF(INDEX(機器台帳!$G$2:$G$400,MATCH(1,INDEX((機器台帳!$A$2:$A$400="E24-S8-3")*((機器台帳!$B$2:$B$400="前面")+(機器台帳!$B$2:$B$400="両面")&gt;0)*(機器台帳!$F$2:$F$400&lt;&gt;"")*(機器台帳!$C$2:$C$400&lt;=3)*(機器台帳!$C$2:$C$400+機器台帳!$D$2:$D$400-1&gt;=3),0),0))=""," "," "&amp;INDEX(機器台帳!$G$2:$G$400,MATCH(1,INDEX((機器台帳!$A$2:$A$400="E24-S8-3")*((機器台帳!$B$2:$B$400="前面")+(機器台帳!$B$2:$B$400="両面")&gt;0)*(機器台帳!$F$2:$F$400&lt;&gt;"")*(機器台帳!$C$2:$C$400&lt;=3)*(機器台帳!$C$2:$C$400+機器台帳!$D$2:$D$400-1&gt;=3),0),0)))&amp;IF(SUMPRODUCT((機器台帳!$A$2:$A$400="E24-S8-3")*((機器台帳!$B$2:$B$400="前面")+(機器台帳!$B$2:$B$400="両面")&gt;0)*(機器台帳!$F$2:$F$400&lt;&gt;"")*(機器台帳!$C$2:$C$400&lt;=3)*(機器台帳!$C$2:$C$400+機器台帳!$D$2:$D$400-1&gt;=3))&gt;1," 他"&amp;(SUMPRODUCT((機器台帳!$A$2:$A$400="E24-S8-3")*((機器台帳!$B$2:$B$400="前面")+(機器台帳!$B$2:$B$400="両面")&gt;0)*(機器台帳!$F$2:$F$400&lt;&gt;"")*(機器台帳!$C$2:$C$400&lt;=3)*(機器台帳!$C$2:$C$400+機器台帳!$D$2:$D$400-1&gt;=3))-1)&amp;"台",""))</f>
        <v/>
      </c>
      <c r="K48">
        <f>IF(SUMPRODUCT((機器台帳!$A$2:$A$400="E24-S8-3")*((機器台帳!$B$2:$B$400="前面")+(機器台帳!$B$2:$B$400="両面")&gt;0)*(機器台帳!$F$2:$F$400&lt;&gt;"")*(機器台帳!$C$2:$C$400&lt;=3)*(機器台帳!$C$2:$C$400+機器台帳!$D$2:$D$400-1&gt;=3))=0,"",INDEX(機器台帳!$I$2:$I$400,MATCH(1,INDEX((機器台帳!$A$2:$A$400="E24-S8-3")*((機器台帳!$B$2:$B$400="前面")+(機器台帳!$B$2:$B$400="両面")&gt;0)*(機器台帳!$F$2:$F$400&lt;&gt;"")*(機器台帳!$C$2:$C$400&lt;=3)*(機器台帳!$C$2:$C$400+機器台帳!$D$2:$D$400-1&gt;=3),0),0))&amp;IF(INDEX(機器台帳!$Y$2:$Y$400,MATCH(1,INDEX((機器台帳!$A$2:$A$400="E24-S8-3")*((機器台帳!$B$2:$B$400="前面")+(機器台帳!$B$2:$B$400="両面")&gt;0)*(機器台帳!$F$2:$F$400&lt;&gt;"")*(機器台帳!$C$2:$C$400&lt;=3)*(機器台帳!$C$2:$C$400+機器台帳!$D$2:$D$400-1&gt;=3),0),0))=0,"|未記入",""))</f>
        <v/>
      </c>
      <c r="L48" s="12">
        <f>IF(SUMPRODUCT((機器台帳!$A$2:$A$400="E24-S8-3")*((機器台帳!$B$2:$B$400="背面")+(機器台帳!$B$2:$B$400="両面")&gt;0)*(機器台帳!$F$2:$F$400&lt;&gt;"")*(機器台帳!$C$2:$C$400&lt;=3)*(機器台帳!$C$2:$C$400+機器台帳!$D$2:$D$400-1&gt;=3))=0,"",INDEX(機器台帳!$F$2:$F$400,MATCH(1,INDEX((機器台帳!$A$2:$A$400="E24-S8-3")*((機器台帳!$B$2:$B$400="背面")+(機器台帳!$B$2:$B$400="両面")&gt;0)*(機器台帳!$F$2:$F$400&lt;&gt;"")*(機器台帳!$C$2:$C$400&lt;=3)*(機器台帳!$C$2:$C$400+機器台帳!$D$2:$D$400-1&gt;=3),0),0))&amp;IF(INDEX(機器台帳!$G$2:$G$400,MATCH(1,INDEX((機器台帳!$A$2:$A$400="E24-S8-3")*((機器台帳!$B$2:$B$400="背面")+(機器台帳!$B$2:$B$400="両面")&gt;0)*(機器台帳!$F$2:$F$400&lt;&gt;"")*(機器台帳!$C$2:$C$400&lt;=3)*(機器台帳!$C$2:$C$400+機器台帳!$D$2:$D$400-1&gt;=3),0),0))=""," "," "&amp;INDEX(機器台帳!$G$2:$G$400,MATCH(1,INDEX((機器台帳!$A$2:$A$400="E24-S8-3")*((機器台帳!$B$2:$B$400="背面")+(機器台帳!$B$2:$B$400="両面")&gt;0)*(機器台帳!$F$2:$F$400&lt;&gt;"")*(機器台帳!$C$2:$C$400&lt;=3)*(機器台帳!$C$2:$C$400+機器台帳!$D$2:$D$400-1&gt;=3),0),0)))&amp;IF(SUMPRODUCT((機器台帳!$A$2:$A$400="E24-S8-3")*((機器台帳!$B$2:$B$400="背面")+(機器台帳!$B$2:$B$400="両面")&gt;0)*(機器台帳!$F$2:$F$400&lt;&gt;"")*(機器台帳!$C$2:$C$400&lt;=3)*(機器台帳!$C$2:$C$400+機器台帳!$D$2:$D$400-1&gt;=3))&gt;1," 他"&amp;(SUMPRODUCT((機器台帳!$A$2:$A$400="E24-S8-3")*((機器台帳!$B$2:$B$400="背面")+(機器台帳!$B$2:$B$400="両面")&gt;0)*(機器台帳!$F$2:$F$400&lt;&gt;"")*(機器台帳!$C$2:$C$400&lt;=3)*(機器台帳!$C$2:$C$400+機器台帳!$D$2:$D$400-1&gt;=3))-1)&amp;"台",""))</f>
        <v/>
      </c>
      <c r="M48">
        <f>IF(SUMPRODUCT((機器台帳!$A$2:$A$400="E24-S8-3")*((機器台帳!$B$2:$B$400="背面")+(機器台帳!$B$2:$B$400="両面")&gt;0)*(機器台帳!$F$2:$F$400&lt;&gt;"")*(機器台帳!$C$2:$C$400&lt;=3)*(機器台帳!$C$2:$C$400+機器台帳!$D$2:$D$400-1&gt;=3))=0,"",INDEX(機器台帳!$I$2:$I$400,MATCH(1,INDEX((機器台帳!$A$2:$A$400="E24-S8-3")*((機器台帳!$B$2:$B$400="背面")+(機器台帳!$B$2:$B$400="両面")&gt;0)*(機器台帳!$F$2:$F$400&lt;&gt;"")*(機器台帳!$C$2:$C$400&lt;=3)*(機器台帳!$C$2:$C$400+機器台帳!$D$2:$D$400-1&gt;=3),0),0))&amp;IF(INDEX(機器台帳!$Y$2:$Y$400,MATCH(1,INDEX((機器台帳!$A$2:$A$400="E24-S8-3")*((機器台帳!$B$2:$B$400="背面")+(機器台帳!$B$2:$B$400="両面")&gt;0)*(機器台帳!$F$2:$F$400&lt;&gt;"")*(機器台帳!$C$2:$C$400&lt;=3)*(機器台帳!$C$2:$C$400+機器台帳!$D$2:$D$400-1&gt;=3),0),0))=0,"|未記入",""))</f>
        <v/>
      </c>
      <c r="N48" s="12">
        <f>IF(SUMPRODUCT((機器台帳!$A$2:$A$400="E24-S8-4")*((機器台帳!$B$2:$B$400="前面")+(機器台帳!$B$2:$B$400="両面")&gt;0)*(機器台帳!$F$2:$F$400&lt;&gt;"")*(機器台帳!$C$2:$C$400&lt;=3)*(機器台帳!$C$2:$C$400+機器台帳!$D$2:$D$400-1&gt;=3))=0,"",INDEX(機器台帳!$F$2:$F$400,MATCH(1,INDEX((機器台帳!$A$2:$A$400="E24-S8-4")*((機器台帳!$B$2:$B$400="前面")+(機器台帳!$B$2:$B$400="両面")&gt;0)*(機器台帳!$F$2:$F$400&lt;&gt;"")*(機器台帳!$C$2:$C$400&lt;=3)*(機器台帳!$C$2:$C$400+機器台帳!$D$2:$D$400-1&gt;=3),0),0))&amp;IF(INDEX(機器台帳!$G$2:$G$400,MATCH(1,INDEX((機器台帳!$A$2:$A$400="E24-S8-4")*((機器台帳!$B$2:$B$400="前面")+(機器台帳!$B$2:$B$400="両面")&gt;0)*(機器台帳!$F$2:$F$400&lt;&gt;"")*(機器台帳!$C$2:$C$400&lt;=3)*(機器台帳!$C$2:$C$400+機器台帳!$D$2:$D$400-1&gt;=3),0),0))=""," "," "&amp;INDEX(機器台帳!$G$2:$G$400,MATCH(1,INDEX((機器台帳!$A$2:$A$400="E24-S8-4")*((機器台帳!$B$2:$B$400="前面")+(機器台帳!$B$2:$B$400="両面")&gt;0)*(機器台帳!$F$2:$F$400&lt;&gt;"")*(機器台帳!$C$2:$C$400&lt;=3)*(機器台帳!$C$2:$C$400+機器台帳!$D$2:$D$400-1&gt;=3),0),0)))&amp;IF(SUMPRODUCT((機器台帳!$A$2:$A$400="E24-S8-4")*((機器台帳!$B$2:$B$400="前面")+(機器台帳!$B$2:$B$400="両面")&gt;0)*(機器台帳!$F$2:$F$400&lt;&gt;"")*(機器台帳!$C$2:$C$400&lt;=3)*(機器台帳!$C$2:$C$400+機器台帳!$D$2:$D$400-1&gt;=3))&gt;1," 他"&amp;(SUMPRODUCT((機器台帳!$A$2:$A$400="E24-S8-4")*((機器台帳!$B$2:$B$400="前面")+(機器台帳!$B$2:$B$400="両面")&gt;0)*(機器台帳!$F$2:$F$400&lt;&gt;"")*(機器台帳!$C$2:$C$400&lt;=3)*(機器台帳!$C$2:$C$400+機器台帳!$D$2:$D$400-1&gt;=3))-1)&amp;"台",""))</f>
        <v/>
      </c>
      <c r="O48">
        <f>IF(SUMPRODUCT((機器台帳!$A$2:$A$400="E24-S8-4")*((機器台帳!$B$2:$B$400="前面")+(機器台帳!$B$2:$B$400="両面")&gt;0)*(機器台帳!$F$2:$F$400&lt;&gt;"")*(機器台帳!$C$2:$C$400&lt;=3)*(機器台帳!$C$2:$C$400+機器台帳!$D$2:$D$400-1&gt;=3))=0,"",INDEX(機器台帳!$I$2:$I$400,MATCH(1,INDEX((機器台帳!$A$2:$A$400="E24-S8-4")*((機器台帳!$B$2:$B$400="前面")+(機器台帳!$B$2:$B$400="両面")&gt;0)*(機器台帳!$F$2:$F$400&lt;&gt;"")*(機器台帳!$C$2:$C$400&lt;=3)*(機器台帳!$C$2:$C$400+機器台帳!$D$2:$D$400-1&gt;=3),0),0))&amp;IF(INDEX(機器台帳!$Y$2:$Y$400,MATCH(1,INDEX((機器台帳!$A$2:$A$400="E24-S8-4")*((機器台帳!$B$2:$B$400="前面")+(機器台帳!$B$2:$B$400="両面")&gt;0)*(機器台帳!$F$2:$F$400&lt;&gt;"")*(機器台帳!$C$2:$C$400&lt;=3)*(機器台帳!$C$2:$C$400+機器台帳!$D$2:$D$400-1&gt;=3),0),0))=0,"|未記入",""))</f>
        <v/>
      </c>
      <c r="P48" s="12">
        <f>IF(SUMPRODUCT((機器台帳!$A$2:$A$400="E24-S8-4")*((機器台帳!$B$2:$B$400="背面")+(機器台帳!$B$2:$B$400="両面")&gt;0)*(機器台帳!$F$2:$F$400&lt;&gt;"")*(機器台帳!$C$2:$C$400&lt;=3)*(機器台帳!$C$2:$C$400+機器台帳!$D$2:$D$400-1&gt;=3))=0,"",INDEX(機器台帳!$F$2:$F$400,MATCH(1,INDEX((機器台帳!$A$2:$A$400="E24-S8-4")*((機器台帳!$B$2:$B$400="背面")+(機器台帳!$B$2:$B$400="両面")&gt;0)*(機器台帳!$F$2:$F$400&lt;&gt;"")*(機器台帳!$C$2:$C$400&lt;=3)*(機器台帳!$C$2:$C$400+機器台帳!$D$2:$D$400-1&gt;=3),0),0))&amp;IF(INDEX(機器台帳!$G$2:$G$400,MATCH(1,INDEX((機器台帳!$A$2:$A$400="E24-S8-4")*((機器台帳!$B$2:$B$400="背面")+(機器台帳!$B$2:$B$400="両面")&gt;0)*(機器台帳!$F$2:$F$400&lt;&gt;"")*(機器台帳!$C$2:$C$400&lt;=3)*(機器台帳!$C$2:$C$400+機器台帳!$D$2:$D$400-1&gt;=3),0),0))=""," "," "&amp;INDEX(機器台帳!$G$2:$G$400,MATCH(1,INDEX((機器台帳!$A$2:$A$400="E24-S8-4")*((機器台帳!$B$2:$B$400="背面")+(機器台帳!$B$2:$B$400="両面")&gt;0)*(機器台帳!$F$2:$F$400&lt;&gt;"")*(機器台帳!$C$2:$C$400&lt;=3)*(機器台帳!$C$2:$C$400+機器台帳!$D$2:$D$400-1&gt;=3),0),0)))&amp;IF(SUMPRODUCT((機器台帳!$A$2:$A$400="E24-S8-4")*((機器台帳!$B$2:$B$400="背面")+(機器台帳!$B$2:$B$400="両面")&gt;0)*(機器台帳!$F$2:$F$400&lt;&gt;"")*(機器台帳!$C$2:$C$400&lt;=3)*(機器台帳!$C$2:$C$400+機器台帳!$D$2:$D$400-1&gt;=3))&gt;1," 他"&amp;(SUMPRODUCT((機器台帳!$A$2:$A$400="E24-S8-4")*((機器台帳!$B$2:$B$400="背面")+(機器台帳!$B$2:$B$400="両面")&gt;0)*(機器台帳!$F$2:$F$400&lt;&gt;"")*(機器台帳!$C$2:$C$400&lt;=3)*(機器台帳!$C$2:$C$400+機器台帳!$D$2:$D$400-1&gt;=3))-1)&amp;"台",""))</f>
        <v/>
      </c>
      <c r="Q48">
        <f>IF(SUMPRODUCT((機器台帳!$A$2:$A$400="E24-S8-4")*((機器台帳!$B$2:$B$400="背面")+(機器台帳!$B$2:$B$400="両面")&gt;0)*(機器台帳!$F$2:$F$400&lt;&gt;"")*(機器台帳!$C$2:$C$400&lt;=3)*(機器台帳!$C$2:$C$400+機器台帳!$D$2:$D$400-1&gt;=3))=0,"",INDEX(機器台帳!$I$2:$I$400,MATCH(1,INDEX((機器台帳!$A$2:$A$400="E24-S8-4")*((機器台帳!$B$2:$B$400="背面")+(機器台帳!$B$2:$B$400="両面")&gt;0)*(機器台帳!$F$2:$F$400&lt;&gt;"")*(機器台帳!$C$2:$C$400&lt;=3)*(機器台帳!$C$2:$C$400+機器台帳!$D$2:$D$400-1&gt;=3),0),0))&amp;IF(INDEX(機器台帳!$Y$2:$Y$400,MATCH(1,INDEX((機器台帳!$A$2:$A$400="E24-S8-4")*((機器台帳!$B$2:$B$400="背面")+(機器台帳!$B$2:$B$400="両面")&gt;0)*(機器台帳!$F$2:$F$400&lt;&gt;"")*(機器台帳!$C$2:$C$400&lt;=3)*(機器台帳!$C$2:$C$400+機器台帳!$D$2:$D$400-1&gt;=3),0),0))=0,"|未記入",""))</f>
        <v/>
      </c>
      <c r="R48" s="12">
        <f>IF(SUMPRODUCT((機器台帳!$A$2:$A$400="E24-S8-5")*((機器台帳!$B$2:$B$400="前面")+(機器台帳!$B$2:$B$400="両面")&gt;0)*(機器台帳!$F$2:$F$400&lt;&gt;"")*(機器台帳!$C$2:$C$400&lt;=3)*(機器台帳!$C$2:$C$400+機器台帳!$D$2:$D$400-1&gt;=3))=0,"",INDEX(機器台帳!$F$2:$F$400,MATCH(1,INDEX((機器台帳!$A$2:$A$400="E24-S8-5")*((機器台帳!$B$2:$B$400="前面")+(機器台帳!$B$2:$B$400="両面")&gt;0)*(機器台帳!$F$2:$F$400&lt;&gt;"")*(機器台帳!$C$2:$C$400&lt;=3)*(機器台帳!$C$2:$C$400+機器台帳!$D$2:$D$400-1&gt;=3),0),0))&amp;IF(INDEX(機器台帳!$G$2:$G$400,MATCH(1,INDEX((機器台帳!$A$2:$A$400="E24-S8-5")*((機器台帳!$B$2:$B$400="前面")+(機器台帳!$B$2:$B$400="両面")&gt;0)*(機器台帳!$F$2:$F$400&lt;&gt;"")*(機器台帳!$C$2:$C$400&lt;=3)*(機器台帳!$C$2:$C$400+機器台帳!$D$2:$D$400-1&gt;=3),0),0))=""," "," "&amp;INDEX(機器台帳!$G$2:$G$400,MATCH(1,INDEX((機器台帳!$A$2:$A$400="E24-S8-5")*((機器台帳!$B$2:$B$400="前面")+(機器台帳!$B$2:$B$400="両面")&gt;0)*(機器台帳!$F$2:$F$400&lt;&gt;"")*(機器台帳!$C$2:$C$400&lt;=3)*(機器台帳!$C$2:$C$400+機器台帳!$D$2:$D$400-1&gt;=3),0),0)))&amp;IF(SUMPRODUCT((機器台帳!$A$2:$A$400="E24-S8-5")*((機器台帳!$B$2:$B$400="前面")+(機器台帳!$B$2:$B$400="両面")&gt;0)*(機器台帳!$F$2:$F$400&lt;&gt;"")*(機器台帳!$C$2:$C$400&lt;=3)*(機器台帳!$C$2:$C$400+機器台帳!$D$2:$D$400-1&gt;=3))&gt;1," 他"&amp;(SUMPRODUCT((機器台帳!$A$2:$A$400="E24-S8-5")*((機器台帳!$B$2:$B$400="前面")+(機器台帳!$B$2:$B$400="両面")&gt;0)*(機器台帳!$F$2:$F$400&lt;&gt;"")*(機器台帳!$C$2:$C$400&lt;=3)*(機器台帳!$C$2:$C$400+機器台帳!$D$2:$D$400-1&gt;=3))-1)&amp;"台",""))</f>
        <v/>
      </c>
      <c r="S48">
        <f>IF(SUMPRODUCT((機器台帳!$A$2:$A$400="E24-S8-5")*((機器台帳!$B$2:$B$400="前面")+(機器台帳!$B$2:$B$400="両面")&gt;0)*(機器台帳!$F$2:$F$400&lt;&gt;"")*(機器台帳!$C$2:$C$400&lt;=3)*(機器台帳!$C$2:$C$400+機器台帳!$D$2:$D$400-1&gt;=3))=0,"",INDEX(機器台帳!$I$2:$I$400,MATCH(1,INDEX((機器台帳!$A$2:$A$400="E24-S8-5")*((機器台帳!$B$2:$B$400="前面")+(機器台帳!$B$2:$B$400="両面")&gt;0)*(機器台帳!$F$2:$F$400&lt;&gt;"")*(機器台帳!$C$2:$C$400&lt;=3)*(機器台帳!$C$2:$C$400+機器台帳!$D$2:$D$400-1&gt;=3),0),0))&amp;IF(INDEX(機器台帳!$Y$2:$Y$400,MATCH(1,INDEX((機器台帳!$A$2:$A$400="E24-S8-5")*((機器台帳!$B$2:$B$400="前面")+(機器台帳!$B$2:$B$400="両面")&gt;0)*(機器台帳!$F$2:$F$400&lt;&gt;"")*(機器台帳!$C$2:$C$400&lt;=3)*(機器台帳!$C$2:$C$400+機器台帳!$D$2:$D$400-1&gt;=3),0),0))=0,"|未記入",""))</f>
        <v/>
      </c>
      <c r="T48" s="12">
        <f>IF(SUMPRODUCT((機器台帳!$A$2:$A$400="E24-S8-5")*((機器台帳!$B$2:$B$400="背面")+(機器台帳!$B$2:$B$400="両面")&gt;0)*(機器台帳!$F$2:$F$400&lt;&gt;"")*(機器台帳!$C$2:$C$400&lt;=3)*(機器台帳!$C$2:$C$400+機器台帳!$D$2:$D$400-1&gt;=3))=0,"",INDEX(機器台帳!$F$2:$F$400,MATCH(1,INDEX((機器台帳!$A$2:$A$400="E24-S8-5")*((機器台帳!$B$2:$B$400="背面")+(機器台帳!$B$2:$B$400="両面")&gt;0)*(機器台帳!$F$2:$F$400&lt;&gt;"")*(機器台帳!$C$2:$C$400&lt;=3)*(機器台帳!$C$2:$C$400+機器台帳!$D$2:$D$400-1&gt;=3),0),0))&amp;IF(INDEX(機器台帳!$G$2:$G$400,MATCH(1,INDEX((機器台帳!$A$2:$A$400="E24-S8-5")*((機器台帳!$B$2:$B$400="背面")+(機器台帳!$B$2:$B$400="両面")&gt;0)*(機器台帳!$F$2:$F$400&lt;&gt;"")*(機器台帳!$C$2:$C$400&lt;=3)*(機器台帳!$C$2:$C$400+機器台帳!$D$2:$D$400-1&gt;=3),0),0))=""," "," "&amp;INDEX(機器台帳!$G$2:$G$400,MATCH(1,INDEX((機器台帳!$A$2:$A$400="E24-S8-5")*((機器台帳!$B$2:$B$400="背面")+(機器台帳!$B$2:$B$400="両面")&gt;0)*(機器台帳!$F$2:$F$400&lt;&gt;"")*(機器台帳!$C$2:$C$400&lt;=3)*(機器台帳!$C$2:$C$400+機器台帳!$D$2:$D$400-1&gt;=3),0),0)))&amp;IF(SUMPRODUCT((機器台帳!$A$2:$A$400="E24-S8-5")*((機器台帳!$B$2:$B$400="背面")+(機器台帳!$B$2:$B$400="両面")&gt;0)*(機器台帳!$F$2:$F$400&lt;&gt;"")*(機器台帳!$C$2:$C$400&lt;=3)*(機器台帳!$C$2:$C$400+機器台帳!$D$2:$D$400-1&gt;=3))&gt;1," 他"&amp;(SUMPRODUCT((機器台帳!$A$2:$A$400="E24-S8-5")*((機器台帳!$B$2:$B$400="背面")+(機器台帳!$B$2:$B$400="両面")&gt;0)*(機器台帳!$F$2:$F$400&lt;&gt;"")*(機器台帳!$C$2:$C$400&lt;=3)*(機器台帳!$C$2:$C$400+機器台帳!$D$2:$D$400-1&gt;=3))-1)&amp;"台",""))</f>
        <v/>
      </c>
      <c r="U48">
        <f>IF(SUMPRODUCT((機器台帳!$A$2:$A$400="E24-S8-5")*((機器台帳!$B$2:$B$400="背面")+(機器台帳!$B$2:$B$400="両面")&gt;0)*(機器台帳!$F$2:$F$400&lt;&gt;"")*(機器台帳!$C$2:$C$400&lt;=3)*(機器台帳!$C$2:$C$400+機器台帳!$D$2:$D$400-1&gt;=3))=0,"",INDEX(機器台帳!$I$2:$I$400,MATCH(1,INDEX((機器台帳!$A$2:$A$400="E24-S8-5")*((機器台帳!$B$2:$B$400="背面")+(機器台帳!$B$2:$B$400="両面")&gt;0)*(機器台帳!$F$2:$F$400&lt;&gt;"")*(機器台帳!$C$2:$C$400&lt;=3)*(機器台帳!$C$2:$C$400+機器台帳!$D$2:$D$400-1&gt;=3),0),0))&amp;IF(INDEX(機器台帳!$Y$2:$Y$400,MATCH(1,INDEX((機器台帳!$A$2:$A$400="E24-S8-5")*((機器台帳!$B$2:$B$400="背面")+(機器台帳!$B$2:$B$400="両面")&gt;0)*(機器台帳!$F$2:$F$400&lt;&gt;"")*(機器台帳!$C$2:$C$400&lt;=3)*(機器台帳!$C$2:$C$400+機器台帳!$D$2:$D$400-1&gt;=3),0),0))=0,"|未記入",""))</f>
        <v/>
      </c>
      <c r="V48" s="12">
        <f>IF(SUMPRODUCT((機器台帳!$A$2:$A$400="E24-S6-1")*((機器台帳!$B$2:$B$400="前面")+(機器台帳!$B$2:$B$400="両面")&gt;0)*(機器台帳!$F$2:$F$400&lt;&gt;"")*(機器台帳!$C$2:$C$400&lt;=3)*(機器台帳!$C$2:$C$400+機器台帳!$D$2:$D$400-1&gt;=3))=0,"",INDEX(機器台帳!$F$2:$F$400,MATCH(1,INDEX((機器台帳!$A$2:$A$400="E24-S6-1")*((機器台帳!$B$2:$B$400="前面")+(機器台帳!$B$2:$B$400="両面")&gt;0)*(機器台帳!$F$2:$F$400&lt;&gt;"")*(機器台帳!$C$2:$C$400&lt;=3)*(機器台帳!$C$2:$C$400+機器台帳!$D$2:$D$400-1&gt;=3),0),0))&amp;IF(INDEX(機器台帳!$G$2:$G$400,MATCH(1,INDEX((機器台帳!$A$2:$A$400="E24-S6-1")*((機器台帳!$B$2:$B$400="前面")+(機器台帳!$B$2:$B$400="両面")&gt;0)*(機器台帳!$F$2:$F$400&lt;&gt;"")*(機器台帳!$C$2:$C$400&lt;=3)*(機器台帳!$C$2:$C$400+機器台帳!$D$2:$D$400-1&gt;=3),0),0))=""," "," "&amp;INDEX(機器台帳!$G$2:$G$400,MATCH(1,INDEX((機器台帳!$A$2:$A$400="E24-S6-1")*((機器台帳!$B$2:$B$400="前面")+(機器台帳!$B$2:$B$400="両面")&gt;0)*(機器台帳!$F$2:$F$400&lt;&gt;"")*(機器台帳!$C$2:$C$400&lt;=3)*(機器台帳!$C$2:$C$400+機器台帳!$D$2:$D$400-1&gt;=3),0),0)))&amp;IF(SUMPRODUCT((機器台帳!$A$2:$A$400="E24-S6-1")*((機器台帳!$B$2:$B$400="前面")+(機器台帳!$B$2:$B$400="両面")&gt;0)*(機器台帳!$F$2:$F$400&lt;&gt;"")*(機器台帳!$C$2:$C$400&lt;=3)*(機器台帳!$C$2:$C$400+機器台帳!$D$2:$D$400-1&gt;=3))&gt;1," 他"&amp;(SUMPRODUCT((機器台帳!$A$2:$A$400="E24-S6-1")*((機器台帳!$B$2:$B$400="前面")+(機器台帳!$B$2:$B$400="両面")&gt;0)*(機器台帳!$F$2:$F$400&lt;&gt;"")*(機器台帳!$C$2:$C$400&lt;=3)*(機器台帳!$C$2:$C$400+機器台帳!$D$2:$D$400-1&gt;=3))-1)&amp;"台",""))</f>
        <v/>
      </c>
      <c r="W48">
        <f>IF(SUMPRODUCT((機器台帳!$A$2:$A$400="E24-S6-1")*((機器台帳!$B$2:$B$400="前面")+(機器台帳!$B$2:$B$400="両面")&gt;0)*(機器台帳!$F$2:$F$400&lt;&gt;"")*(機器台帳!$C$2:$C$400&lt;=3)*(機器台帳!$C$2:$C$400+機器台帳!$D$2:$D$400-1&gt;=3))=0,"",INDEX(機器台帳!$I$2:$I$400,MATCH(1,INDEX((機器台帳!$A$2:$A$400="E24-S6-1")*((機器台帳!$B$2:$B$400="前面")+(機器台帳!$B$2:$B$400="両面")&gt;0)*(機器台帳!$F$2:$F$400&lt;&gt;"")*(機器台帳!$C$2:$C$400&lt;=3)*(機器台帳!$C$2:$C$400+機器台帳!$D$2:$D$400-1&gt;=3),0),0))&amp;IF(INDEX(機器台帳!$Y$2:$Y$400,MATCH(1,INDEX((機器台帳!$A$2:$A$400="E24-S6-1")*((機器台帳!$B$2:$B$400="前面")+(機器台帳!$B$2:$B$400="両面")&gt;0)*(機器台帳!$F$2:$F$400&lt;&gt;"")*(機器台帳!$C$2:$C$400&lt;=3)*(機器台帳!$C$2:$C$400+機器台帳!$D$2:$D$400-1&gt;=3),0),0))=0,"|未記入",""))</f>
        <v/>
      </c>
      <c r="X48" s="12">
        <f>IF(SUMPRODUCT((機器台帳!$A$2:$A$400="E24-S6-1")*((機器台帳!$B$2:$B$400="背面")+(機器台帳!$B$2:$B$400="両面")&gt;0)*(機器台帳!$F$2:$F$400&lt;&gt;"")*(機器台帳!$C$2:$C$400&lt;=3)*(機器台帳!$C$2:$C$400+機器台帳!$D$2:$D$400-1&gt;=3))=0,"",INDEX(機器台帳!$F$2:$F$400,MATCH(1,INDEX((機器台帳!$A$2:$A$400="E24-S6-1")*((機器台帳!$B$2:$B$400="背面")+(機器台帳!$B$2:$B$400="両面")&gt;0)*(機器台帳!$F$2:$F$400&lt;&gt;"")*(機器台帳!$C$2:$C$400&lt;=3)*(機器台帳!$C$2:$C$400+機器台帳!$D$2:$D$400-1&gt;=3),0),0))&amp;IF(INDEX(機器台帳!$G$2:$G$400,MATCH(1,INDEX((機器台帳!$A$2:$A$400="E24-S6-1")*((機器台帳!$B$2:$B$400="背面")+(機器台帳!$B$2:$B$400="両面")&gt;0)*(機器台帳!$F$2:$F$400&lt;&gt;"")*(機器台帳!$C$2:$C$400&lt;=3)*(機器台帳!$C$2:$C$400+機器台帳!$D$2:$D$400-1&gt;=3),0),0))=""," "," "&amp;INDEX(機器台帳!$G$2:$G$400,MATCH(1,INDEX((機器台帳!$A$2:$A$400="E24-S6-1")*((機器台帳!$B$2:$B$400="背面")+(機器台帳!$B$2:$B$400="両面")&gt;0)*(機器台帳!$F$2:$F$400&lt;&gt;"")*(機器台帳!$C$2:$C$400&lt;=3)*(機器台帳!$C$2:$C$400+機器台帳!$D$2:$D$400-1&gt;=3),0),0)))&amp;IF(SUMPRODUCT((機器台帳!$A$2:$A$400="E24-S6-1")*((機器台帳!$B$2:$B$400="背面")+(機器台帳!$B$2:$B$400="両面")&gt;0)*(機器台帳!$F$2:$F$400&lt;&gt;"")*(機器台帳!$C$2:$C$400&lt;=3)*(機器台帳!$C$2:$C$400+機器台帳!$D$2:$D$400-1&gt;=3))&gt;1," 他"&amp;(SUMPRODUCT((機器台帳!$A$2:$A$400="E24-S6-1")*((機器台帳!$B$2:$B$400="背面")+(機器台帳!$B$2:$B$400="両面")&gt;0)*(機器台帳!$F$2:$F$400&lt;&gt;"")*(機器台帳!$C$2:$C$400&lt;=3)*(機器台帳!$C$2:$C$400+機器台帳!$D$2:$D$400-1&gt;=3))-1)&amp;"台",""))</f>
        <v/>
      </c>
      <c r="Y48">
        <f>IF(SUMPRODUCT((機器台帳!$A$2:$A$400="E24-S6-1")*((機器台帳!$B$2:$B$400="背面")+(機器台帳!$B$2:$B$400="両面")&gt;0)*(機器台帳!$F$2:$F$400&lt;&gt;"")*(機器台帳!$C$2:$C$400&lt;=3)*(機器台帳!$C$2:$C$400+機器台帳!$D$2:$D$400-1&gt;=3))=0,"",INDEX(機器台帳!$I$2:$I$400,MATCH(1,INDEX((機器台帳!$A$2:$A$400="E24-S6-1")*((機器台帳!$B$2:$B$400="背面")+(機器台帳!$B$2:$B$400="両面")&gt;0)*(機器台帳!$F$2:$F$400&lt;&gt;"")*(機器台帳!$C$2:$C$400&lt;=3)*(機器台帳!$C$2:$C$400+機器台帳!$D$2:$D$400-1&gt;=3),0),0))&amp;IF(INDEX(機器台帳!$Y$2:$Y$400,MATCH(1,INDEX((機器台帳!$A$2:$A$400="E24-S6-1")*((機器台帳!$B$2:$B$400="背面")+(機器台帳!$B$2:$B$400="両面")&gt;0)*(機器台帳!$F$2:$F$400&lt;&gt;"")*(機器台帳!$C$2:$C$400&lt;=3)*(機器台帳!$C$2:$C$400+機器台帳!$D$2:$D$400-1&gt;=3),0),0))=0,"|未記入",""))</f>
        <v/>
      </c>
    </row>
    <row r="49">
      <c r="A49" s="11" t="n">
        <v>2</v>
      </c>
      <c r="B49" s="12">
        <f>IF(SUMPRODUCT((機器台帳!$A$2:$A$400="E24-S8-1")*((機器台帳!$B$2:$B$400="前面")+(機器台帳!$B$2:$B$400="両面")&gt;0)*(機器台帳!$F$2:$F$400&lt;&gt;"")*(機器台帳!$C$2:$C$400&lt;=2)*(機器台帳!$C$2:$C$400+機器台帳!$D$2:$D$400-1&gt;=2))=0,"",INDEX(機器台帳!$F$2:$F$400,MATCH(1,INDEX((機器台帳!$A$2:$A$400="E24-S8-1")*((機器台帳!$B$2:$B$400="前面")+(機器台帳!$B$2:$B$400="両面")&gt;0)*(機器台帳!$F$2:$F$400&lt;&gt;"")*(機器台帳!$C$2:$C$400&lt;=2)*(機器台帳!$C$2:$C$400+機器台帳!$D$2:$D$400-1&gt;=2),0),0))&amp;IF(INDEX(機器台帳!$G$2:$G$400,MATCH(1,INDEX((機器台帳!$A$2:$A$400="E24-S8-1")*((機器台帳!$B$2:$B$400="前面")+(機器台帳!$B$2:$B$400="両面")&gt;0)*(機器台帳!$F$2:$F$400&lt;&gt;"")*(機器台帳!$C$2:$C$400&lt;=2)*(機器台帳!$C$2:$C$400+機器台帳!$D$2:$D$400-1&gt;=2),0),0))=""," "," "&amp;INDEX(機器台帳!$G$2:$G$400,MATCH(1,INDEX((機器台帳!$A$2:$A$400="E24-S8-1")*((機器台帳!$B$2:$B$400="前面")+(機器台帳!$B$2:$B$400="両面")&gt;0)*(機器台帳!$F$2:$F$400&lt;&gt;"")*(機器台帳!$C$2:$C$400&lt;=2)*(機器台帳!$C$2:$C$400+機器台帳!$D$2:$D$400-1&gt;=2),0),0)))&amp;IF(SUMPRODUCT((機器台帳!$A$2:$A$400="E24-S8-1")*((機器台帳!$B$2:$B$400="前面")+(機器台帳!$B$2:$B$400="両面")&gt;0)*(機器台帳!$F$2:$F$400&lt;&gt;"")*(機器台帳!$C$2:$C$400&lt;=2)*(機器台帳!$C$2:$C$400+機器台帳!$D$2:$D$400-1&gt;=2))&gt;1," 他"&amp;(SUMPRODUCT((機器台帳!$A$2:$A$400="E24-S8-1")*((機器台帳!$B$2:$B$400="前面")+(機器台帳!$B$2:$B$400="両面")&gt;0)*(機器台帳!$F$2:$F$400&lt;&gt;"")*(機器台帳!$C$2:$C$400&lt;=2)*(機器台帳!$C$2:$C$400+機器台帳!$D$2:$D$400-1&gt;=2))-1)&amp;"台",""))</f>
        <v/>
      </c>
      <c r="C49">
        <f>IF(SUMPRODUCT((機器台帳!$A$2:$A$400="E24-S8-1")*((機器台帳!$B$2:$B$400="前面")+(機器台帳!$B$2:$B$400="両面")&gt;0)*(機器台帳!$F$2:$F$400&lt;&gt;"")*(機器台帳!$C$2:$C$400&lt;=2)*(機器台帳!$C$2:$C$400+機器台帳!$D$2:$D$400-1&gt;=2))=0,"",INDEX(機器台帳!$I$2:$I$400,MATCH(1,INDEX((機器台帳!$A$2:$A$400="E24-S8-1")*((機器台帳!$B$2:$B$400="前面")+(機器台帳!$B$2:$B$400="両面")&gt;0)*(機器台帳!$F$2:$F$400&lt;&gt;"")*(機器台帳!$C$2:$C$400&lt;=2)*(機器台帳!$C$2:$C$400+機器台帳!$D$2:$D$400-1&gt;=2),0),0))&amp;IF(INDEX(機器台帳!$Y$2:$Y$400,MATCH(1,INDEX((機器台帳!$A$2:$A$400="E24-S8-1")*((機器台帳!$B$2:$B$400="前面")+(機器台帳!$B$2:$B$400="両面")&gt;0)*(機器台帳!$F$2:$F$400&lt;&gt;"")*(機器台帳!$C$2:$C$400&lt;=2)*(機器台帳!$C$2:$C$400+機器台帳!$D$2:$D$400-1&gt;=2),0),0))=0,"|未記入",""))</f>
        <v/>
      </c>
      <c r="D49" s="12">
        <f>IF(SUMPRODUCT((機器台帳!$A$2:$A$400="E24-S8-1")*((機器台帳!$B$2:$B$400="背面")+(機器台帳!$B$2:$B$400="両面")&gt;0)*(機器台帳!$F$2:$F$400&lt;&gt;"")*(機器台帳!$C$2:$C$400&lt;=2)*(機器台帳!$C$2:$C$400+機器台帳!$D$2:$D$400-1&gt;=2))=0,"",INDEX(機器台帳!$F$2:$F$400,MATCH(1,INDEX((機器台帳!$A$2:$A$400="E24-S8-1")*((機器台帳!$B$2:$B$400="背面")+(機器台帳!$B$2:$B$400="両面")&gt;0)*(機器台帳!$F$2:$F$400&lt;&gt;"")*(機器台帳!$C$2:$C$400&lt;=2)*(機器台帳!$C$2:$C$400+機器台帳!$D$2:$D$400-1&gt;=2),0),0))&amp;IF(INDEX(機器台帳!$G$2:$G$400,MATCH(1,INDEX((機器台帳!$A$2:$A$400="E24-S8-1")*((機器台帳!$B$2:$B$400="背面")+(機器台帳!$B$2:$B$400="両面")&gt;0)*(機器台帳!$F$2:$F$400&lt;&gt;"")*(機器台帳!$C$2:$C$400&lt;=2)*(機器台帳!$C$2:$C$400+機器台帳!$D$2:$D$400-1&gt;=2),0),0))=""," "," "&amp;INDEX(機器台帳!$G$2:$G$400,MATCH(1,INDEX((機器台帳!$A$2:$A$400="E24-S8-1")*((機器台帳!$B$2:$B$400="背面")+(機器台帳!$B$2:$B$400="両面")&gt;0)*(機器台帳!$F$2:$F$400&lt;&gt;"")*(機器台帳!$C$2:$C$400&lt;=2)*(機器台帳!$C$2:$C$400+機器台帳!$D$2:$D$400-1&gt;=2),0),0)))&amp;IF(SUMPRODUCT((機器台帳!$A$2:$A$400="E24-S8-1")*((機器台帳!$B$2:$B$400="背面")+(機器台帳!$B$2:$B$400="両面")&gt;0)*(機器台帳!$F$2:$F$400&lt;&gt;"")*(機器台帳!$C$2:$C$400&lt;=2)*(機器台帳!$C$2:$C$400+機器台帳!$D$2:$D$400-1&gt;=2))&gt;1," 他"&amp;(SUMPRODUCT((機器台帳!$A$2:$A$400="E24-S8-1")*((機器台帳!$B$2:$B$400="背面")+(機器台帳!$B$2:$B$400="両面")&gt;0)*(機器台帳!$F$2:$F$400&lt;&gt;"")*(機器台帳!$C$2:$C$400&lt;=2)*(機器台帳!$C$2:$C$400+機器台帳!$D$2:$D$400-1&gt;=2))-1)&amp;"台",""))</f>
        <v/>
      </c>
      <c r="E49">
        <f>IF(SUMPRODUCT((機器台帳!$A$2:$A$400="E24-S8-1")*((機器台帳!$B$2:$B$400="背面")+(機器台帳!$B$2:$B$400="両面")&gt;0)*(機器台帳!$F$2:$F$400&lt;&gt;"")*(機器台帳!$C$2:$C$400&lt;=2)*(機器台帳!$C$2:$C$400+機器台帳!$D$2:$D$400-1&gt;=2))=0,"",INDEX(機器台帳!$I$2:$I$400,MATCH(1,INDEX((機器台帳!$A$2:$A$400="E24-S8-1")*((機器台帳!$B$2:$B$400="背面")+(機器台帳!$B$2:$B$400="両面")&gt;0)*(機器台帳!$F$2:$F$400&lt;&gt;"")*(機器台帳!$C$2:$C$400&lt;=2)*(機器台帳!$C$2:$C$400+機器台帳!$D$2:$D$400-1&gt;=2),0),0))&amp;IF(INDEX(機器台帳!$Y$2:$Y$400,MATCH(1,INDEX((機器台帳!$A$2:$A$400="E24-S8-1")*((機器台帳!$B$2:$B$400="背面")+(機器台帳!$B$2:$B$400="両面")&gt;0)*(機器台帳!$F$2:$F$400&lt;&gt;"")*(機器台帳!$C$2:$C$400&lt;=2)*(機器台帳!$C$2:$C$400+機器台帳!$D$2:$D$400-1&gt;=2),0),0))=0,"|未記入",""))</f>
        <v/>
      </c>
      <c r="F49" s="12">
        <f>IF(SUMPRODUCT((機器台帳!$A$2:$A$400="E24-S8-2")*((機器台帳!$B$2:$B$400="前面")+(機器台帳!$B$2:$B$400="両面")&gt;0)*(機器台帳!$F$2:$F$400&lt;&gt;"")*(機器台帳!$C$2:$C$400&lt;=2)*(機器台帳!$C$2:$C$400+機器台帳!$D$2:$D$400-1&gt;=2))=0,"",INDEX(機器台帳!$F$2:$F$400,MATCH(1,INDEX((機器台帳!$A$2:$A$400="E24-S8-2")*((機器台帳!$B$2:$B$400="前面")+(機器台帳!$B$2:$B$400="両面")&gt;0)*(機器台帳!$F$2:$F$400&lt;&gt;"")*(機器台帳!$C$2:$C$400&lt;=2)*(機器台帳!$C$2:$C$400+機器台帳!$D$2:$D$400-1&gt;=2),0),0))&amp;IF(INDEX(機器台帳!$G$2:$G$400,MATCH(1,INDEX((機器台帳!$A$2:$A$400="E24-S8-2")*((機器台帳!$B$2:$B$400="前面")+(機器台帳!$B$2:$B$400="両面")&gt;0)*(機器台帳!$F$2:$F$400&lt;&gt;"")*(機器台帳!$C$2:$C$400&lt;=2)*(機器台帳!$C$2:$C$400+機器台帳!$D$2:$D$400-1&gt;=2),0),0))=""," "," "&amp;INDEX(機器台帳!$G$2:$G$400,MATCH(1,INDEX((機器台帳!$A$2:$A$400="E24-S8-2")*((機器台帳!$B$2:$B$400="前面")+(機器台帳!$B$2:$B$400="両面")&gt;0)*(機器台帳!$F$2:$F$400&lt;&gt;"")*(機器台帳!$C$2:$C$400&lt;=2)*(機器台帳!$C$2:$C$400+機器台帳!$D$2:$D$400-1&gt;=2),0),0)))&amp;IF(SUMPRODUCT((機器台帳!$A$2:$A$400="E24-S8-2")*((機器台帳!$B$2:$B$400="前面")+(機器台帳!$B$2:$B$400="両面")&gt;0)*(機器台帳!$F$2:$F$400&lt;&gt;"")*(機器台帳!$C$2:$C$400&lt;=2)*(機器台帳!$C$2:$C$400+機器台帳!$D$2:$D$400-1&gt;=2))&gt;1," 他"&amp;(SUMPRODUCT((機器台帳!$A$2:$A$400="E24-S8-2")*((機器台帳!$B$2:$B$400="前面")+(機器台帳!$B$2:$B$400="両面")&gt;0)*(機器台帳!$F$2:$F$400&lt;&gt;"")*(機器台帳!$C$2:$C$400&lt;=2)*(機器台帳!$C$2:$C$400+機器台帳!$D$2:$D$400-1&gt;=2))-1)&amp;"台",""))</f>
        <v/>
      </c>
      <c r="G49">
        <f>IF(SUMPRODUCT((機器台帳!$A$2:$A$400="E24-S8-2")*((機器台帳!$B$2:$B$400="前面")+(機器台帳!$B$2:$B$400="両面")&gt;0)*(機器台帳!$F$2:$F$400&lt;&gt;"")*(機器台帳!$C$2:$C$400&lt;=2)*(機器台帳!$C$2:$C$400+機器台帳!$D$2:$D$400-1&gt;=2))=0,"",INDEX(機器台帳!$I$2:$I$400,MATCH(1,INDEX((機器台帳!$A$2:$A$400="E24-S8-2")*((機器台帳!$B$2:$B$400="前面")+(機器台帳!$B$2:$B$400="両面")&gt;0)*(機器台帳!$F$2:$F$400&lt;&gt;"")*(機器台帳!$C$2:$C$400&lt;=2)*(機器台帳!$C$2:$C$400+機器台帳!$D$2:$D$400-1&gt;=2),0),0))&amp;IF(INDEX(機器台帳!$Y$2:$Y$400,MATCH(1,INDEX((機器台帳!$A$2:$A$400="E24-S8-2")*((機器台帳!$B$2:$B$400="前面")+(機器台帳!$B$2:$B$400="両面")&gt;0)*(機器台帳!$F$2:$F$400&lt;&gt;"")*(機器台帳!$C$2:$C$400&lt;=2)*(機器台帳!$C$2:$C$400+機器台帳!$D$2:$D$400-1&gt;=2),0),0))=0,"|未記入",""))</f>
        <v/>
      </c>
      <c r="H49" s="12">
        <f>IF(SUMPRODUCT((機器台帳!$A$2:$A$400="E24-S8-2")*((機器台帳!$B$2:$B$400="背面")+(機器台帳!$B$2:$B$400="両面")&gt;0)*(機器台帳!$F$2:$F$400&lt;&gt;"")*(機器台帳!$C$2:$C$400&lt;=2)*(機器台帳!$C$2:$C$400+機器台帳!$D$2:$D$400-1&gt;=2))=0,"",INDEX(機器台帳!$F$2:$F$400,MATCH(1,INDEX((機器台帳!$A$2:$A$400="E24-S8-2")*((機器台帳!$B$2:$B$400="背面")+(機器台帳!$B$2:$B$400="両面")&gt;0)*(機器台帳!$F$2:$F$400&lt;&gt;"")*(機器台帳!$C$2:$C$400&lt;=2)*(機器台帳!$C$2:$C$400+機器台帳!$D$2:$D$400-1&gt;=2),0),0))&amp;IF(INDEX(機器台帳!$G$2:$G$400,MATCH(1,INDEX((機器台帳!$A$2:$A$400="E24-S8-2")*((機器台帳!$B$2:$B$400="背面")+(機器台帳!$B$2:$B$400="両面")&gt;0)*(機器台帳!$F$2:$F$400&lt;&gt;"")*(機器台帳!$C$2:$C$400&lt;=2)*(機器台帳!$C$2:$C$400+機器台帳!$D$2:$D$400-1&gt;=2),0),0))=""," "," "&amp;INDEX(機器台帳!$G$2:$G$400,MATCH(1,INDEX((機器台帳!$A$2:$A$400="E24-S8-2")*((機器台帳!$B$2:$B$400="背面")+(機器台帳!$B$2:$B$400="両面")&gt;0)*(機器台帳!$F$2:$F$400&lt;&gt;"")*(機器台帳!$C$2:$C$400&lt;=2)*(機器台帳!$C$2:$C$400+機器台帳!$D$2:$D$400-1&gt;=2),0),0)))&amp;IF(SUMPRODUCT((機器台帳!$A$2:$A$400="E24-S8-2")*((機器台帳!$B$2:$B$400="背面")+(機器台帳!$B$2:$B$400="両面")&gt;0)*(機器台帳!$F$2:$F$400&lt;&gt;"")*(機器台帳!$C$2:$C$400&lt;=2)*(機器台帳!$C$2:$C$400+機器台帳!$D$2:$D$400-1&gt;=2))&gt;1," 他"&amp;(SUMPRODUCT((機器台帳!$A$2:$A$400="E24-S8-2")*((機器台帳!$B$2:$B$400="背面")+(機器台帳!$B$2:$B$400="両面")&gt;0)*(機器台帳!$F$2:$F$400&lt;&gt;"")*(機器台帳!$C$2:$C$400&lt;=2)*(機器台帳!$C$2:$C$400+機器台帳!$D$2:$D$400-1&gt;=2))-1)&amp;"台",""))</f>
        <v/>
      </c>
      <c r="I49">
        <f>IF(SUMPRODUCT((機器台帳!$A$2:$A$400="E24-S8-2")*((機器台帳!$B$2:$B$400="背面")+(機器台帳!$B$2:$B$400="両面")&gt;0)*(機器台帳!$F$2:$F$400&lt;&gt;"")*(機器台帳!$C$2:$C$400&lt;=2)*(機器台帳!$C$2:$C$400+機器台帳!$D$2:$D$400-1&gt;=2))=0,"",INDEX(機器台帳!$I$2:$I$400,MATCH(1,INDEX((機器台帳!$A$2:$A$400="E24-S8-2")*((機器台帳!$B$2:$B$400="背面")+(機器台帳!$B$2:$B$400="両面")&gt;0)*(機器台帳!$F$2:$F$400&lt;&gt;"")*(機器台帳!$C$2:$C$400&lt;=2)*(機器台帳!$C$2:$C$400+機器台帳!$D$2:$D$400-1&gt;=2),0),0))&amp;IF(INDEX(機器台帳!$Y$2:$Y$400,MATCH(1,INDEX((機器台帳!$A$2:$A$400="E24-S8-2")*((機器台帳!$B$2:$B$400="背面")+(機器台帳!$B$2:$B$400="両面")&gt;0)*(機器台帳!$F$2:$F$400&lt;&gt;"")*(機器台帳!$C$2:$C$400&lt;=2)*(機器台帳!$C$2:$C$400+機器台帳!$D$2:$D$400-1&gt;=2),0),0))=0,"|未記入",""))</f>
        <v/>
      </c>
      <c r="J49" s="12">
        <f>IF(SUMPRODUCT((機器台帳!$A$2:$A$400="E24-S8-3")*((機器台帳!$B$2:$B$400="前面")+(機器台帳!$B$2:$B$400="両面")&gt;0)*(機器台帳!$F$2:$F$400&lt;&gt;"")*(機器台帳!$C$2:$C$400&lt;=2)*(機器台帳!$C$2:$C$400+機器台帳!$D$2:$D$400-1&gt;=2))=0,"",INDEX(機器台帳!$F$2:$F$400,MATCH(1,INDEX((機器台帳!$A$2:$A$400="E24-S8-3")*((機器台帳!$B$2:$B$400="前面")+(機器台帳!$B$2:$B$400="両面")&gt;0)*(機器台帳!$F$2:$F$400&lt;&gt;"")*(機器台帳!$C$2:$C$400&lt;=2)*(機器台帳!$C$2:$C$400+機器台帳!$D$2:$D$400-1&gt;=2),0),0))&amp;IF(INDEX(機器台帳!$G$2:$G$400,MATCH(1,INDEX((機器台帳!$A$2:$A$400="E24-S8-3")*((機器台帳!$B$2:$B$400="前面")+(機器台帳!$B$2:$B$400="両面")&gt;0)*(機器台帳!$F$2:$F$400&lt;&gt;"")*(機器台帳!$C$2:$C$400&lt;=2)*(機器台帳!$C$2:$C$400+機器台帳!$D$2:$D$400-1&gt;=2),0),0))=""," "," "&amp;INDEX(機器台帳!$G$2:$G$400,MATCH(1,INDEX((機器台帳!$A$2:$A$400="E24-S8-3")*((機器台帳!$B$2:$B$400="前面")+(機器台帳!$B$2:$B$400="両面")&gt;0)*(機器台帳!$F$2:$F$400&lt;&gt;"")*(機器台帳!$C$2:$C$400&lt;=2)*(機器台帳!$C$2:$C$400+機器台帳!$D$2:$D$400-1&gt;=2),0),0)))&amp;IF(SUMPRODUCT((機器台帳!$A$2:$A$400="E24-S8-3")*((機器台帳!$B$2:$B$400="前面")+(機器台帳!$B$2:$B$400="両面")&gt;0)*(機器台帳!$F$2:$F$400&lt;&gt;"")*(機器台帳!$C$2:$C$400&lt;=2)*(機器台帳!$C$2:$C$400+機器台帳!$D$2:$D$400-1&gt;=2))&gt;1," 他"&amp;(SUMPRODUCT((機器台帳!$A$2:$A$400="E24-S8-3")*((機器台帳!$B$2:$B$400="前面")+(機器台帳!$B$2:$B$400="両面")&gt;0)*(機器台帳!$F$2:$F$400&lt;&gt;"")*(機器台帳!$C$2:$C$400&lt;=2)*(機器台帳!$C$2:$C$400+機器台帳!$D$2:$D$400-1&gt;=2))-1)&amp;"台",""))</f>
        <v/>
      </c>
      <c r="K49">
        <f>IF(SUMPRODUCT((機器台帳!$A$2:$A$400="E24-S8-3")*((機器台帳!$B$2:$B$400="前面")+(機器台帳!$B$2:$B$400="両面")&gt;0)*(機器台帳!$F$2:$F$400&lt;&gt;"")*(機器台帳!$C$2:$C$400&lt;=2)*(機器台帳!$C$2:$C$400+機器台帳!$D$2:$D$400-1&gt;=2))=0,"",INDEX(機器台帳!$I$2:$I$400,MATCH(1,INDEX((機器台帳!$A$2:$A$400="E24-S8-3")*((機器台帳!$B$2:$B$400="前面")+(機器台帳!$B$2:$B$400="両面")&gt;0)*(機器台帳!$F$2:$F$400&lt;&gt;"")*(機器台帳!$C$2:$C$400&lt;=2)*(機器台帳!$C$2:$C$400+機器台帳!$D$2:$D$400-1&gt;=2),0),0))&amp;IF(INDEX(機器台帳!$Y$2:$Y$400,MATCH(1,INDEX((機器台帳!$A$2:$A$400="E24-S8-3")*((機器台帳!$B$2:$B$400="前面")+(機器台帳!$B$2:$B$400="両面")&gt;0)*(機器台帳!$F$2:$F$400&lt;&gt;"")*(機器台帳!$C$2:$C$400&lt;=2)*(機器台帳!$C$2:$C$400+機器台帳!$D$2:$D$400-1&gt;=2),0),0))=0,"|未記入",""))</f>
        <v/>
      </c>
      <c r="L49" s="12">
        <f>IF(SUMPRODUCT((機器台帳!$A$2:$A$400="E24-S8-3")*((機器台帳!$B$2:$B$400="背面")+(機器台帳!$B$2:$B$400="両面")&gt;0)*(機器台帳!$F$2:$F$400&lt;&gt;"")*(機器台帳!$C$2:$C$400&lt;=2)*(機器台帳!$C$2:$C$400+機器台帳!$D$2:$D$400-1&gt;=2))=0,"",INDEX(機器台帳!$F$2:$F$400,MATCH(1,INDEX((機器台帳!$A$2:$A$400="E24-S8-3")*((機器台帳!$B$2:$B$400="背面")+(機器台帳!$B$2:$B$400="両面")&gt;0)*(機器台帳!$F$2:$F$400&lt;&gt;"")*(機器台帳!$C$2:$C$400&lt;=2)*(機器台帳!$C$2:$C$400+機器台帳!$D$2:$D$400-1&gt;=2),0),0))&amp;IF(INDEX(機器台帳!$G$2:$G$400,MATCH(1,INDEX((機器台帳!$A$2:$A$400="E24-S8-3")*((機器台帳!$B$2:$B$400="背面")+(機器台帳!$B$2:$B$400="両面")&gt;0)*(機器台帳!$F$2:$F$400&lt;&gt;"")*(機器台帳!$C$2:$C$400&lt;=2)*(機器台帳!$C$2:$C$400+機器台帳!$D$2:$D$400-1&gt;=2),0),0))=""," "," "&amp;INDEX(機器台帳!$G$2:$G$400,MATCH(1,INDEX((機器台帳!$A$2:$A$400="E24-S8-3")*((機器台帳!$B$2:$B$400="背面")+(機器台帳!$B$2:$B$400="両面")&gt;0)*(機器台帳!$F$2:$F$400&lt;&gt;"")*(機器台帳!$C$2:$C$400&lt;=2)*(機器台帳!$C$2:$C$400+機器台帳!$D$2:$D$400-1&gt;=2),0),0)))&amp;IF(SUMPRODUCT((機器台帳!$A$2:$A$400="E24-S8-3")*((機器台帳!$B$2:$B$400="背面")+(機器台帳!$B$2:$B$400="両面")&gt;0)*(機器台帳!$F$2:$F$400&lt;&gt;"")*(機器台帳!$C$2:$C$400&lt;=2)*(機器台帳!$C$2:$C$400+機器台帳!$D$2:$D$400-1&gt;=2))&gt;1," 他"&amp;(SUMPRODUCT((機器台帳!$A$2:$A$400="E24-S8-3")*((機器台帳!$B$2:$B$400="背面")+(機器台帳!$B$2:$B$400="両面")&gt;0)*(機器台帳!$F$2:$F$400&lt;&gt;"")*(機器台帳!$C$2:$C$400&lt;=2)*(機器台帳!$C$2:$C$400+機器台帳!$D$2:$D$400-1&gt;=2))-1)&amp;"台",""))</f>
        <v/>
      </c>
      <c r="M49">
        <f>IF(SUMPRODUCT((機器台帳!$A$2:$A$400="E24-S8-3")*((機器台帳!$B$2:$B$400="背面")+(機器台帳!$B$2:$B$400="両面")&gt;0)*(機器台帳!$F$2:$F$400&lt;&gt;"")*(機器台帳!$C$2:$C$400&lt;=2)*(機器台帳!$C$2:$C$400+機器台帳!$D$2:$D$400-1&gt;=2))=0,"",INDEX(機器台帳!$I$2:$I$400,MATCH(1,INDEX((機器台帳!$A$2:$A$400="E24-S8-3")*((機器台帳!$B$2:$B$400="背面")+(機器台帳!$B$2:$B$400="両面")&gt;0)*(機器台帳!$F$2:$F$400&lt;&gt;"")*(機器台帳!$C$2:$C$400&lt;=2)*(機器台帳!$C$2:$C$400+機器台帳!$D$2:$D$400-1&gt;=2),0),0))&amp;IF(INDEX(機器台帳!$Y$2:$Y$400,MATCH(1,INDEX((機器台帳!$A$2:$A$400="E24-S8-3")*((機器台帳!$B$2:$B$400="背面")+(機器台帳!$B$2:$B$400="両面")&gt;0)*(機器台帳!$F$2:$F$400&lt;&gt;"")*(機器台帳!$C$2:$C$400&lt;=2)*(機器台帳!$C$2:$C$400+機器台帳!$D$2:$D$400-1&gt;=2),0),0))=0,"|未記入",""))</f>
        <v/>
      </c>
      <c r="N49" s="12">
        <f>IF(SUMPRODUCT((機器台帳!$A$2:$A$400="E24-S8-4")*((機器台帳!$B$2:$B$400="前面")+(機器台帳!$B$2:$B$400="両面")&gt;0)*(機器台帳!$F$2:$F$400&lt;&gt;"")*(機器台帳!$C$2:$C$400&lt;=2)*(機器台帳!$C$2:$C$400+機器台帳!$D$2:$D$400-1&gt;=2))=0,"",INDEX(機器台帳!$F$2:$F$400,MATCH(1,INDEX((機器台帳!$A$2:$A$400="E24-S8-4")*((機器台帳!$B$2:$B$400="前面")+(機器台帳!$B$2:$B$400="両面")&gt;0)*(機器台帳!$F$2:$F$400&lt;&gt;"")*(機器台帳!$C$2:$C$400&lt;=2)*(機器台帳!$C$2:$C$400+機器台帳!$D$2:$D$400-1&gt;=2),0),0))&amp;IF(INDEX(機器台帳!$G$2:$G$400,MATCH(1,INDEX((機器台帳!$A$2:$A$400="E24-S8-4")*((機器台帳!$B$2:$B$400="前面")+(機器台帳!$B$2:$B$400="両面")&gt;0)*(機器台帳!$F$2:$F$400&lt;&gt;"")*(機器台帳!$C$2:$C$400&lt;=2)*(機器台帳!$C$2:$C$400+機器台帳!$D$2:$D$400-1&gt;=2),0),0))=""," "," "&amp;INDEX(機器台帳!$G$2:$G$400,MATCH(1,INDEX((機器台帳!$A$2:$A$400="E24-S8-4")*((機器台帳!$B$2:$B$400="前面")+(機器台帳!$B$2:$B$400="両面")&gt;0)*(機器台帳!$F$2:$F$400&lt;&gt;"")*(機器台帳!$C$2:$C$400&lt;=2)*(機器台帳!$C$2:$C$400+機器台帳!$D$2:$D$400-1&gt;=2),0),0)))&amp;IF(SUMPRODUCT((機器台帳!$A$2:$A$400="E24-S8-4")*((機器台帳!$B$2:$B$400="前面")+(機器台帳!$B$2:$B$400="両面")&gt;0)*(機器台帳!$F$2:$F$400&lt;&gt;"")*(機器台帳!$C$2:$C$400&lt;=2)*(機器台帳!$C$2:$C$400+機器台帳!$D$2:$D$400-1&gt;=2))&gt;1," 他"&amp;(SUMPRODUCT((機器台帳!$A$2:$A$400="E24-S8-4")*((機器台帳!$B$2:$B$400="前面")+(機器台帳!$B$2:$B$400="両面")&gt;0)*(機器台帳!$F$2:$F$400&lt;&gt;"")*(機器台帳!$C$2:$C$400&lt;=2)*(機器台帳!$C$2:$C$400+機器台帳!$D$2:$D$400-1&gt;=2))-1)&amp;"台",""))</f>
        <v/>
      </c>
      <c r="O49">
        <f>IF(SUMPRODUCT((機器台帳!$A$2:$A$400="E24-S8-4")*((機器台帳!$B$2:$B$400="前面")+(機器台帳!$B$2:$B$400="両面")&gt;0)*(機器台帳!$F$2:$F$400&lt;&gt;"")*(機器台帳!$C$2:$C$400&lt;=2)*(機器台帳!$C$2:$C$400+機器台帳!$D$2:$D$400-1&gt;=2))=0,"",INDEX(機器台帳!$I$2:$I$400,MATCH(1,INDEX((機器台帳!$A$2:$A$400="E24-S8-4")*((機器台帳!$B$2:$B$400="前面")+(機器台帳!$B$2:$B$400="両面")&gt;0)*(機器台帳!$F$2:$F$400&lt;&gt;"")*(機器台帳!$C$2:$C$400&lt;=2)*(機器台帳!$C$2:$C$400+機器台帳!$D$2:$D$400-1&gt;=2),0),0))&amp;IF(INDEX(機器台帳!$Y$2:$Y$400,MATCH(1,INDEX((機器台帳!$A$2:$A$400="E24-S8-4")*((機器台帳!$B$2:$B$400="前面")+(機器台帳!$B$2:$B$400="両面")&gt;0)*(機器台帳!$F$2:$F$400&lt;&gt;"")*(機器台帳!$C$2:$C$400&lt;=2)*(機器台帳!$C$2:$C$400+機器台帳!$D$2:$D$400-1&gt;=2),0),0))=0,"|未記入",""))</f>
        <v/>
      </c>
      <c r="P49" s="12">
        <f>IF(SUMPRODUCT((機器台帳!$A$2:$A$400="E24-S8-4")*((機器台帳!$B$2:$B$400="背面")+(機器台帳!$B$2:$B$400="両面")&gt;0)*(機器台帳!$F$2:$F$400&lt;&gt;"")*(機器台帳!$C$2:$C$400&lt;=2)*(機器台帳!$C$2:$C$400+機器台帳!$D$2:$D$400-1&gt;=2))=0,"",INDEX(機器台帳!$F$2:$F$400,MATCH(1,INDEX((機器台帳!$A$2:$A$400="E24-S8-4")*((機器台帳!$B$2:$B$400="背面")+(機器台帳!$B$2:$B$400="両面")&gt;0)*(機器台帳!$F$2:$F$400&lt;&gt;"")*(機器台帳!$C$2:$C$400&lt;=2)*(機器台帳!$C$2:$C$400+機器台帳!$D$2:$D$400-1&gt;=2),0),0))&amp;IF(INDEX(機器台帳!$G$2:$G$400,MATCH(1,INDEX((機器台帳!$A$2:$A$400="E24-S8-4")*((機器台帳!$B$2:$B$400="背面")+(機器台帳!$B$2:$B$400="両面")&gt;0)*(機器台帳!$F$2:$F$400&lt;&gt;"")*(機器台帳!$C$2:$C$400&lt;=2)*(機器台帳!$C$2:$C$400+機器台帳!$D$2:$D$400-1&gt;=2),0),0))=""," "," "&amp;INDEX(機器台帳!$G$2:$G$400,MATCH(1,INDEX((機器台帳!$A$2:$A$400="E24-S8-4")*((機器台帳!$B$2:$B$400="背面")+(機器台帳!$B$2:$B$400="両面")&gt;0)*(機器台帳!$F$2:$F$400&lt;&gt;"")*(機器台帳!$C$2:$C$400&lt;=2)*(機器台帳!$C$2:$C$400+機器台帳!$D$2:$D$400-1&gt;=2),0),0)))&amp;IF(SUMPRODUCT((機器台帳!$A$2:$A$400="E24-S8-4")*((機器台帳!$B$2:$B$400="背面")+(機器台帳!$B$2:$B$400="両面")&gt;0)*(機器台帳!$F$2:$F$400&lt;&gt;"")*(機器台帳!$C$2:$C$400&lt;=2)*(機器台帳!$C$2:$C$400+機器台帳!$D$2:$D$400-1&gt;=2))&gt;1," 他"&amp;(SUMPRODUCT((機器台帳!$A$2:$A$400="E24-S8-4")*((機器台帳!$B$2:$B$400="背面")+(機器台帳!$B$2:$B$400="両面")&gt;0)*(機器台帳!$F$2:$F$400&lt;&gt;"")*(機器台帳!$C$2:$C$400&lt;=2)*(機器台帳!$C$2:$C$400+機器台帳!$D$2:$D$400-1&gt;=2))-1)&amp;"台",""))</f>
        <v/>
      </c>
      <c r="Q49">
        <f>IF(SUMPRODUCT((機器台帳!$A$2:$A$400="E24-S8-4")*((機器台帳!$B$2:$B$400="背面")+(機器台帳!$B$2:$B$400="両面")&gt;0)*(機器台帳!$F$2:$F$400&lt;&gt;"")*(機器台帳!$C$2:$C$400&lt;=2)*(機器台帳!$C$2:$C$400+機器台帳!$D$2:$D$400-1&gt;=2))=0,"",INDEX(機器台帳!$I$2:$I$400,MATCH(1,INDEX((機器台帳!$A$2:$A$400="E24-S8-4")*((機器台帳!$B$2:$B$400="背面")+(機器台帳!$B$2:$B$400="両面")&gt;0)*(機器台帳!$F$2:$F$400&lt;&gt;"")*(機器台帳!$C$2:$C$400&lt;=2)*(機器台帳!$C$2:$C$400+機器台帳!$D$2:$D$400-1&gt;=2),0),0))&amp;IF(INDEX(機器台帳!$Y$2:$Y$400,MATCH(1,INDEX((機器台帳!$A$2:$A$400="E24-S8-4")*((機器台帳!$B$2:$B$400="背面")+(機器台帳!$B$2:$B$400="両面")&gt;0)*(機器台帳!$F$2:$F$400&lt;&gt;"")*(機器台帳!$C$2:$C$400&lt;=2)*(機器台帳!$C$2:$C$400+機器台帳!$D$2:$D$400-1&gt;=2),0),0))=0,"|未記入",""))</f>
        <v/>
      </c>
      <c r="R49" s="12">
        <f>IF(SUMPRODUCT((機器台帳!$A$2:$A$400="E24-S8-5")*((機器台帳!$B$2:$B$400="前面")+(機器台帳!$B$2:$B$400="両面")&gt;0)*(機器台帳!$F$2:$F$400&lt;&gt;"")*(機器台帳!$C$2:$C$400&lt;=2)*(機器台帳!$C$2:$C$400+機器台帳!$D$2:$D$400-1&gt;=2))=0,"",INDEX(機器台帳!$F$2:$F$400,MATCH(1,INDEX((機器台帳!$A$2:$A$400="E24-S8-5")*((機器台帳!$B$2:$B$400="前面")+(機器台帳!$B$2:$B$400="両面")&gt;0)*(機器台帳!$F$2:$F$400&lt;&gt;"")*(機器台帳!$C$2:$C$400&lt;=2)*(機器台帳!$C$2:$C$400+機器台帳!$D$2:$D$400-1&gt;=2),0),0))&amp;IF(INDEX(機器台帳!$G$2:$G$400,MATCH(1,INDEX((機器台帳!$A$2:$A$400="E24-S8-5")*((機器台帳!$B$2:$B$400="前面")+(機器台帳!$B$2:$B$400="両面")&gt;0)*(機器台帳!$F$2:$F$400&lt;&gt;"")*(機器台帳!$C$2:$C$400&lt;=2)*(機器台帳!$C$2:$C$400+機器台帳!$D$2:$D$400-1&gt;=2),0),0))=""," "," "&amp;INDEX(機器台帳!$G$2:$G$400,MATCH(1,INDEX((機器台帳!$A$2:$A$400="E24-S8-5")*((機器台帳!$B$2:$B$400="前面")+(機器台帳!$B$2:$B$400="両面")&gt;0)*(機器台帳!$F$2:$F$400&lt;&gt;"")*(機器台帳!$C$2:$C$400&lt;=2)*(機器台帳!$C$2:$C$400+機器台帳!$D$2:$D$400-1&gt;=2),0),0)))&amp;IF(SUMPRODUCT((機器台帳!$A$2:$A$400="E24-S8-5")*((機器台帳!$B$2:$B$400="前面")+(機器台帳!$B$2:$B$400="両面")&gt;0)*(機器台帳!$F$2:$F$400&lt;&gt;"")*(機器台帳!$C$2:$C$400&lt;=2)*(機器台帳!$C$2:$C$400+機器台帳!$D$2:$D$400-1&gt;=2))&gt;1," 他"&amp;(SUMPRODUCT((機器台帳!$A$2:$A$400="E24-S8-5")*((機器台帳!$B$2:$B$400="前面")+(機器台帳!$B$2:$B$400="両面")&gt;0)*(機器台帳!$F$2:$F$400&lt;&gt;"")*(機器台帳!$C$2:$C$400&lt;=2)*(機器台帳!$C$2:$C$400+機器台帳!$D$2:$D$400-1&gt;=2))-1)&amp;"台",""))</f>
        <v/>
      </c>
      <c r="S49">
        <f>IF(SUMPRODUCT((機器台帳!$A$2:$A$400="E24-S8-5")*((機器台帳!$B$2:$B$400="前面")+(機器台帳!$B$2:$B$400="両面")&gt;0)*(機器台帳!$F$2:$F$400&lt;&gt;"")*(機器台帳!$C$2:$C$400&lt;=2)*(機器台帳!$C$2:$C$400+機器台帳!$D$2:$D$400-1&gt;=2))=0,"",INDEX(機器台帳!$I$2:$I$400,MATCH(1,INDEX((機器台帳!$A$2:$A$400="E24-S8-5")*((機器台帳!$B$2:$B$400="前面")+(機器台帳!$B$2:$B$400="両面")&gt;0)*(機器台帳!$F$2:$F$400&lt;&gt;"")*(機器台帳!$C$2:$C$400&lt;=2)*(機器台帳!$C$2:$C$400+機器台帳!$D$2:$D$400-1&gt;=2),0),0))&amp;IF(INDEX(機器台帳!$Y$2:$Y$400,MATCH(1,INDEX((機器台帳!$A$2:$A$400="E24-S8-5")*((機器台帳!$B$2:$B$400="前面")+(機器台帳!$B$2:$B$400="両面")&gt;0)*(機器台帳!$F$2:$F$400&lt;&gt;"")*(機器台帳!$C$2:$C$400&lt;=2)*(機器台帳!$C$2:$C$400+機器台帳!$D$2:$D$400-1&gt;=2),0),0))=0,"|未記入",""))</f>
        <v/>
      </c>
      <c r="T49" s="12">
        <f>IF(SUMPRODUCT((機器台帳!$A$2:$A$400="E24-S8-5")*((機器台帳!$B$2:$B$400="背面")+(機器台帳!$B$2:$B$400="両面")&gt;0)*(機器台帳!$F$2:$F$400&lt;&gt;"")*(機器台帳!$C$2:$C$400&lt;=2)*(機器台帳!$C$2:$C$400+機器台帳!$D$2:$D$400-1&gt;=2))=0,"",INDEX(機器台帳!$F$2:$F$400,MATCH(1,INDEX((機器台帳!$A$2:$A$400="E24-S8-5")*((機器台帳!$B$2:$B$400="背面")+(機器台帳!$B$2:$B$400="両面")&gt;0)*(機器台帳!$F$2:$F$400&lt;&gt;"")*(機器台帳!$C$2:$C$400&lt;=2)*(機器台帳!$C$2:$C$400+機器台帳!$D$2:$D$400-1&gt;=2),0),0))&amp;IF(INDEX(機器台帳!$G$2:$G$400,MATCH(1,INDEX((機器台帳!$A$2:$A$400="E24-S8-5")*((機器台帳!$B$2:$B$400="背面")+(機器台帳!$B$2:$B$400="両面")&gt;0)*(機器台帳!$F$2:$F$400&lt;&gt;"")*(機器台帳!$C$2:$C$400&lt;=2)*(機器台帳!$C$2:$C$400+機器台帳!$D$2:$D$400-1&gt;=2),0),0))=""," "," "&amp;INDEX(機器台帳!$G$2:$G$400,MATCH(1,INDEX((機器台帳!$A$2:$A$400="E24-S8-5")*((機器台帳!$B$2:$B$400="背面")+(機器台帳!$B$2:$B$400="両面")&gt;0)*(機器台帳!$F$2:$F$400&lt;&gt;"")*(機器台帳!$C$2:$C$400&lt;=2)*(機器台帳!$C$2:$C$400+機器台帳!$D$2:$D$400-1&gt;=2),0),0)))&amp;IF(SUMPRODUCT((機器台帳!$A$2:$A$400="E24-S8-5")*((機器台帳!$B$2:$B$400="背面")+(機器台帳!$B$2:$B$400="両面")&gt;0)*(機器台帳!$F$2:$F$400&lt;&gt;"")*(機器台帳!$C$2:$C$400&lt;=2)*(機器台帳!$C$2:$C$400+機器台帳!$D$2:$D$400-1&gt;=2))&gt;1," 他"&amp;(SUMPRODUCT((機器台帳!$A$2:$A$400="E24-S8-5")*((機器台帳!$B$2:$B$400="背面")+(機器台帳!$B$2:$B$400="両面")&gt;0)*(機器台帳!$F$2:$F$400&lt;&gt;"")*(機器台帳!$C$2:$C$400&lt;=2)*(機器台帳!$C$2:$C$400+機器台帳!$D$2:$D$400-1&gt;=2))-1)&amp;"台",""))</f>
        <v/>
      </c>
      <c r="U49">
        <f>IF(SUMPRODUCT((機器台帳!$A$2:$A$400="E24-S8-5")*((機器台帳!$B$2:$B$400="背面")+(機器台帳!$B$2:$B$400="両面")&gt;0)*(機器台帳!$F$2:$F$400&lt;&gt;"")*(機器台帳!$C$2:$C$400&lt;=2)*(機器台帳!$C$2:$C$400+機器台帳!$D$2:$D$400-1&gt;=2))=0,"",INDEX(機器台帳!$I$2:$I$400,MATCH(1,INDEX((機器台帳!$A$2:$A$400="E24-S8-5")*((機器台帳!$B$2:$B$400="背面")+(機器台帳!$B$2:$B$400="両面")&gt;0)*(機器台帳!$F$2:$F$400&lt;&gt;"")*(機器台帳!$C$2:$C$400&lt;=2)*(機器台帳!$C$2:$C$400+機器台帳!$D$2:$D$400-1&gt;=2),0),0))&amp;IF(INDEX(機器台帳!$Y$2:$Y$400,MATCH(1,INDEX((機器台帳!$A$2:$A$400="E24-S8-5")*((機器台帳!$B$2:$B$400="背面")+(機器台帳!$B$2:$B$400="両面")&gt;0)*(機器台帳!$F$2:$F$400&lt;&gt;"")*(機器台帳!$C$2:$C$400&lt;=2)*(機器台帳!$C$2:$C$400+機器台帳!$D$2:$D$400-1&gt;=2),0),0))=0,"|未記入",""))</f>
        <v/>
      </c>
      <c r="V49" s="12">
        <f>IF(SUMPRODUCT((機器台帳!$A$2:$A$400="E24-S6-1")*((機器台帳!$B$2:$B$400="前面")+(機器台帳!$B$2:$B$400="両面")&gt;0)*(機器台帳!$F$2:$F$400&lt;&gt;"")*(機器台帳!$C$2:$C$400&lt;=2)*(機器台帳!$C$2:$C$400+機器台帳!$D$2:$D$400-1&gt;=2))=0,"",INDEX(機器台帳!$F$2:$F$400,MATCH(1,INDEX((機器台帳!$A$2:$A$400="E24-S6-1")*((機器台帳!$B$2:$B$400="前面")+(機器台帳!$B$2:$B$400="両面")&gt;0)*(機器台帳!$F$2:$F$400&lt;&gt;"")*(機器台帳!$C$2:$C$400&lt;=2)*(機器台帳!$C$2:$C$400+機器台帳!$D$2:$D$400-1&gt;=2),0),0))&amp;IF(INDEX(機器台帳!$G$2:$G$400,MATCH(1,INDEX((機器台帳!$A$2:$A$400="E24-S6-1")*((機器台帳!$B$2:$B$400="前面")+(機器台帳!$B$2:$B$400="両面")&gt;0)*(機器台帳!$F$2:$F$400&lt;&gt;"")*(機器台帳!$C$2:$C$400&lt;=2)*(機器台帳!$C$2:$C$400+機器台帳!$D$2:$D$400-1&gt;=2),0),0))=""," "," "&amp;INDEX(機器台帳!$G$2:$G$400,MATCH(1,INDEX((機器台帳!$A$2:$A$400="E24-S6-1")*((機器台帳!$B$2:$B$400="前面")+(機器台帳!$B$2:$B$400="両面")&gt;0)*(機器台帳!$F$2:$F$400&lt;&gt;"")*(機器台帳!$C$2:$C$400&lt;=2)*(機器台帳!$C$2:$C$400+機器台帳!$D$2:$D$400-1&gt;=2),0),0)))&amp;IF(SUMPRODUCT((機器台帳!$A$2:$A$400="E24-S6-1")*((機器台帳!$B$2:$B$400="前面")+(機器台帳!$B$2:$B$400="両面")&gt;0)*(機器台帳!$F$2:$F$400&lt;&gt;"")*(機器台帳!$C$2:$C$400&lt;=2)*(機器台帳!$C$2:$C$400+機器台帳!$D$2:$D$400-1&gt;=2))&gt;1," 他"&amp;(SUMPRODUCT((機器台帳!$A$2:$A$400="E24-S6-1")*((機器台帳!$B$2:$B$400="前面")+(機器台帳!$B$2:$B$400="両面")&gt;0)*(機器台帳!$F$2:$F$400&lt;&gt;"")*(機器台帳!$C$2:$C$400&lt;=2)*(機器台帳!$C$2:$C$400+機器台帳!$D$2:$D$400-1&gt;=2))-1)&amp;"台",""))</f>
        <v/>
      </c>
      <c r="W49">
        <f>IF(SUMPRODUCT((機器台帳!$A$2:$A$400="E24-S6-1")*((機器台帳!$B$2:$B$400="前面")+(機器台帳!$B$2:$B$400="両面")&gt;0)*(機器台帳!$F$2:$F$400&lt;&gt;"")*(機器台帳!$C$2:$C$400&lt;=2)*(機器台帳!$C$2:$C$400+機器台帳!$D$2:$D$400-1&gt;=2))=0,"",INDEX(機器台帳!$I$2:$I$400,MATCH(1,INDEX((機器台帳!$A$2:$A$400="E24-S6-1")*((機器台帳!$B$2:$B$400="前面")+(機器台帳!$B$2:$B$400="両面")&gt;0)*(機器台帳!$F$2:$F$400&lt;&gt;"")*(機器台帳!$C$2:$C$400&lt;=2)*(機器台帳!$C$2:$C$400+機器台帳!$D$2:$D$400-1&gt;=2),0),0))&amp;IF(INDEX(機器台帳!$Y$2:$Y$400,MATCH(1,INDEX((機器台帳!$A$2:$A$400="E24-S6-1")*((機器台帳!$B$2:$B$400="前面")+(機器台帳!$B$2:$B$400="両面")&gt;0)*(機器台帳!$F$2:$F$400&lt;&gt;"")*(機器台帳!$C$2:$C$400&lt;=2)*(機器台帳!$C$2:$C$400+機器台帳!$D$2:$D$400-1&gt;=2),0),0))=0,"|未記入",""))</f>
        <v/>
      </c>
      <c r="X49" s="12">
        <f>IF(SUMPRODUCT((機器台帳!$A$2:$A$400="E24-S6-1")*((機器台帳!$B$2:$B$400="背面")+(機器台帳!$B$2:$B$400="両面")&gt;0)*(機器台帳!$F$2:$F$400&lt;&gt;"")*(機器台帳!$C$2:$C$400&lt;=2)*(機器台帳!$C$2:$C$400+機器台帳!$D$2:$D$400-1&gt;=2))=0,"",INDEX(機器台帳!$F$2:$F$400,MATCH(1,INDEX((機器台帳!$A$2:$A$400="E24-S6-1")*((機器台帳!$B$2:$B$400="背面")+(機器台帳!$B$2:$B$400="両面")&gt;0)*(機器台帳!$F$2:$F$400&lt;&gt;"")*(機器台帳!$C$2:$C$400&lt;=2)*(機器台帳!$C$2:$C$400+機器台帳!$D$2:$D$400-1&gt;=2),0),0))&amp;IF(INDEX(機器台帳!$G$2:$G$400,MATCH(1,INDEX((機器台帳!$A$2:$A$400="E24-S6-1")*((機器台帳!$B$2:$B$400="背面")+(機器台帳!$B$2:$B$400="両面")&gt;0)*(機器台帳!$F$2:$F$400&lt;&gt;"")*(機器台帳!$C$2:$C$400&lt;=2)*(機器台帳!$C$2:$C$400+機器台帳!$D$2:$D$400-1&gt;=2),0),0))=""," "," "&amp;INDEX(機器台帳!$G$2:$G$400,MATCH(1,INDEX((機器台帳!$A$2:$A$400="E24-S6-1")*((機器台帳!$B$2:$B$400="背面")+(機器台帳!$B$2:$B$400="両面")&gt;0)*(機器台帳!$F$2:$F$400&lt;&gt;"")*(機器台帳!$C$2:$C$400&lt;=2)*(機器台帳!$C$2:$C$400+機器台帳!$D$2:$D$400-1&gt;=2),0),0)))&amp;IF(SUMPRODUCT((機器台帳!$A$2:$A$400="E24-S6-1")*((機器台帳!$B$2:$B$400="背面")+(機器台帳!$B$2:$B$400="両面")&gt;0)*(機器台帳!$F$2:$F$400&lt;&gt;"")*(機器台帳!$C$2:$C$400&lt;=2)*(機器台帳!$C$2:$C$400+機器台帳!$D$2:$D$400-1&gt;=2))&gt;1," 他"&amp;(SUMPRODUCT((機器台帳!$A$2:$A$400="E24-S6-1")*((機器台帳!$B$2:$B$400="背面")+(機器台帳!$B$2:$B$400="両面")&gt;0)*(機器台帳!$F$2:$F$400&lt;&gt;"")*(機器台帳!$C$2:$C$400&lt;=2)*(機器台帳!$C$2:$C$400+機器台帳!$D$2:$D$400-1&gt;=2))-1)&amp;"台",""))</f>
        <v/>
      </c>
      <c r="Y49">
        <f>IF(SUMPRODUCT((機器台帳!$A$2:$A$400="E24-S6-1")*((機器台帳!$B$2:$B$400="背面")+(機器台帳!$B$2:$B$400="両面")&gt;0)*(機器台帳!$F$2:$F$400&lt;&gt;"")*(機器台帳!$C$2:$C$400&lt;=2)*(機器台帳!$C$2:$C$400+機器台帳!$D$2:$D$400-1&gt;=2))=0,"",INDEX(機器台帳!$I$2:$I$400,MATCH(1,INDEX((機器台帳!$A$2:$A$400="E24-S6-1")*((機器台帳!$B$2:$B$400="背面")+(機器台帳!$B$2:$B$400="両面")&gt;0)*(機器台帳!$F$2:$F$400&lt;&gt;"")*(機器台帳!$C$2:$C$400&lt;=2)*(機器台帳!$C$2:$C$400+機器台帳!$D$2:$D$400-1&gt;=2),0),0))&amp;IF(INDEX(機器台帳!$Y$2:$Y$400,MATCH(1,INDEX((機器台帳!$A$2:$A$400="E24-S6-1")*((機器台帳!$B$2:$B$400="背面")+(機器台帳!$B$2:$B$400="両面")&gt;0)*(機器台帳!$F$2:$F$400&lt;&gt;"")*(機器台帳!$C$2:$C$400&lt;=2)*(機器台帳!$C$2:$C$400+機器台帳!$D$2:$D$400-1&gt;=2),0),0))=0,"|未記入",""))</f>
        <v/>
      </c>
    </row>
    <row r="50">
      <c r="A50" s="11" t="n">
        <v>1</v>
      </c>
      <c r="B50" s="12">
        <f>IF(SUMPRODUCT((機器台帳!$A$2:$A$400="E24-S8-1")*((機器台帳!$B$2:$B$400="前面")+(機器台帳!$B$2:$B$400="両面")&gt;0)*(機器台帳!$F$2:$F$400&lt;&gt;"")*(機器台帳!$C$2:$C$400&lt;=1)*(機器台帳!$C$2:$C$400+機器台帳!$D$2:$D$400-1&gt;=1))=0,"",INDEX(機器台帳!$F$2:$F$400,MATCH(1,INDEX((機器台帳!$A$2:$A$400="E24-S8-1")*((機器台帳!$B$2:$B$400="前面")+(機器台帳!$B$2:$B$400="両面")&gt;0)*(機器台帳!$F$2:$F$400&lt;&gt;"")*(機器台帳!$C$2:$C$400&lt;=1)*(機器台帳!$C$2:$C$400+機器台帳!$D$2:$D$400-1&gt;=1),0),0))&amp;IF(INDEX(機器台帳!$G$2:$G$400,MATCH(1,INDEX((機器台帳!$A$2:$A$400="E24-S8-1")*((機器台帳!$B$2:$B$400="前面")+(機器台帳!$B$2:$B$400="両面")&gt;0)*(機器台帳!$F$2:$F$400&lt;&gt;"")*(機器台帳!$C$2:$C$400&lt;=1)*(機器台帳!$C$2:$C$400+機器台帳!$D$2:$D$400-1&gt;=1),0),0))=""," "," "&amp;INDEX(機器台帳!$G$2:$G$400,MATCH(1,INDEX((機器台帳!$A$2:$A$400="E24-S8-1")*((機器台帳!$B$2:$B$400="前面")+(機器台帳!$B$2:$B$400="両面")&gt;0)*(機器台帳!$F$2:$F$400&lt;&gt;"")*(機器台帳!$C$2:$C$400&lt;=1)*(機器台帳!$C$2:$C$400+機器台帳!$D$2:$D$400-1&gt;=1),0),0)))&amp;IF(SUMPRODUCT((機器台帳!$A$2:$A$400="E24-S8-1")*((機器台帳!$B$2:$B$400="前面")+(機器台帳!$B$2:$B$400="両面")&gt;0)*(機器台帳!$F$2:$F$400&lt;&gt;"")*(機器台帳!$C$2:$C$400&lt;=1)*(機器台帳!$C$2:$C$400+機器台帳!$D$2:$D$400-1&gt;=1))&gt;1," 他"&amp;(SUMPRODUCT((機器台帳!$A$2:$A$400="E24-S8-1")*((機器台帳!$B$2:$B$400="前面")+(機器台帳!$B$2:$B$400="両面")&gt;0)*(機器台帳!$F$2:$F$400&lt;&gt;"")*(機器台帳!$C$2:$C$400&lt;=1)*(機器台帳!$C$2:$C$400+機器台帳!$D$2:$D$400-1&gt;=1))-1)&amp;"台",""))</f>
        <v/>
      </c>
      <c r="C50">
        <f>IF(SUMPRODUCT((機器台帳!$A$2:$A$400="E24-S8-1")*((機器台帳!$B$2:$B$400="前面")+(機器台帳!$B$2:$B$400="両面")&gt;0)*(機器台帳!$F$2:$F$400&lt;&gt;"")*(機器台帳!$C$2:$C$400&lt;=1)*(機器台帳!$C$2:$C$400+機器台帳!$D$2:$D$400-1&gt;=1))=0,"",INDEX(機器台帳!$I$2:$I$400,MATCH(1,INDEX((機器台帳!$A$2:$A$400="E24-S8-1")*((機器台帳!$B$2:$B$400="前面")+(機器台帳!$B$2:$B$400="両面")&gt;0)*(機器台帳!$F$2:$F$400&lt;&gt;"")*(機器台帳!$C$2:$C$400&lt;=1)*(機器台帳!$C$2:$C$400+機器台帳!$D$2:$D$400-1&gt;=1),0),0))&amp;IF(INDEX(機器台帳!$Y$2:$Y$400,MATCH(1,INDEX((機器台帳!$A$2:$A$400="E24-S8-1")*((機器台帳!$B$2:$B$400="前面")+(機器台帳!$B$2:$B$400="両面")&gt;0)*(機器台帳!$F$2:$F$400&lt;&gt;"")*(機器台帳!$C$2:$C$400&lt;=1)*(機器台帳!$C$2:$C$400+機器台帳!$D$2:$D$400-1&gt;=1),0),0))=0,"|未記入",""))</f>
        <v/>
      </c>
      <c r="D50" s="12">
        <f>IF(SUMPRODUCT((機器台帳!$A$2:$A$400="E24-S8-1")*((機器台帳!$B$2:$B$400="背面")+(機器台帳!$B$2:$B$400="両面")&gt;0)*(機器台帳!$F$2:$F$400&lt;&gt;"")*(機器台帳!$C$2:$C$400&lt;=1)*(機器台帳!$C$2:$C$400+機器台帳!$D$2:$D$400-1&gt;=1))=0,"",INDEX(機器台帳!$F$2:$F$400,MATCH(1,INDEX((機器台帳!$A$2:$A$400="E24-S8-1")*((機器台帳!$B$2:$B$400="背面")+(機器台帳!$B$2:$B$400="両面")&gt;0)*(機器台帳!$F$2:$F$400&lt;&gt;"")*(機器台帳!$C$2:$C$400&lt;=1)*(機器台帳!$C$2:$C$400+機器台帳!$D$2:$D$400-1&gt;=1),0),0))&amp;IF(INDEX(機器台帳!$G$2:$G$400,MATCH(1,INDEX((機器台帳!$A$2:$A$400="E24-S8-1")*((機器台帳!$B$2:$B$400="背面")+(機器台帳!$B$2:$B$400="両面")&gt;0)*(機器台帳!$F$2:$F$400&lt;&gt;"")*(機器台帳!$C$2:$C$400&lt;=1)*(機器台帳!$C$2:$C$400+機器台帳!$D$2:$D$400-1&gt;=1),0),0))=""," "," "&amp;INDEX(機器台帳!$G$2:$G$400,MATCH(1,INDEX((機器台帳!$A$2:$A$400="E24-S8-1")*((機器台帳!$B$2:$B$400="背面")+(機器台帳!$B$2:$B$400="両面")&gt;0)*(機器台帳!$F$2:$F$400&lt;&gt;"")*(機器台帳!$C$2:$C$400&lt;=1)*(機器台帳!$C$2:$C$400+機器台帳!$D$2:$D$400-1&gt;=1),0),0)))&amp;IF(SUMPRODUCT((機器台帳!$A$2:$A$400="E24-S8-1")*((機器台帳!$B$2:$B$400="背面")+(機器台帳!$B$2:$B$400="両面")&gt;0)*(機器台帳!$F$2:$F$400&lt;&gt;"")*(機器台帳!$C$2:$C$400&lt;=1)*(機器台帳!$C$2:$C$400+機器台帳!$D$2:$D$400-1&gt;=1))&gt;1," 他"&amp;(SUMPRODUCT((機器台帳!$A$2:$A$400="E24-S8-1")*((機器台帳!$B$2:$B$400="背面")+(機器台帳!$B$2:$B$400="両面")&gt;0)*(機器台帳!$F$2:$F$400&lt;&gt;"")*(機器台帳!$C$2:$C$400&lt;=1)*(機器台帳!$C$2:$C$400+機器台帳!$D$2:$D$400-1&gt;=1))-1)&amp;"台",""))</f>
        <v/>
      </c>
      <c r="E50">
        <f>IF(SUMPRODUCT((機器台帳!$A$2:$A$400="E24-S8-1")*((機器台帳!$B$2:$B$400="背面")+(機器台帳!$B$2:$B$400="両面")&gt;0)*(機器台帳!$F$2:$F$400&lt;&gt;"")*(機器台帳!$C$2:$C$400&lt;=1)*(機器台帳!$C$2:$C$400+機器台帳!$D$2:$D$400-1&gt;=1))=0,"",INDEX(機器台帳!$I$2:$I$400,MATCH(1,INDEX((機器台帳!$A$2:$A$400="E24-S8-1")*((機器台帳!$B$2:$B$400="背面")+(機器台帳!$B$2:$B$400="両面")&gt;0)*(機器台帳!$F$2:$F$400&lt;&gt;"")*(機器台帳!$C$2:$C$400&lt;=1)*(機器台帳!$C$2:$C$400+機器台帳!$D$2:$D$400-1&gt;=1),0),0))&amp;IF(INDEX(機器台帳!$Y$2:$Y$400,MATCH(1,INDEX((機器台帳!$A$2:$A$400="E24-S8-1")*((機器台帳!$B$2:$B$400="背面")+(機器台帳!$B$2:$B$400="両面")&gt;0)*(機器台帳!$F$2:$F$400&lt;&gt;"")*(機器台帳!$C$2:$C$400&lt;=1)*(機器台帳!$C$2:$C$400+機器台帳!$D$2:$D$400-1&gt;=1),0),0))=0,"|未記入",""))</f>
        <v/>
      </c>
      <c r="F50" s="12">
        <f>IF(SUMPRODUCT((機器台帳!$A$2:$A$400="E24-S8-2")*((機器台帳!$B$2:$B$400="前面")+(機器台帳!$B$2:$B$400="両面")&gt;0)*(機器台帳!$F$2:$F$400&lt;&gt;"")*(機器台帳!$C$2:$C$400&lt;=1)*(機器台帳!$C$2:$C$400+機器台帳!$D$2:$D$400-1&gt;=1))=0,"",INDEX(機器台帳!$F$2:$F$400,MATCH(1,INDEX((機器台帳!$A$2:$A$400="E24-S8-2")*((機器台帳!$B$2:$B$400="前面")+(機器台帳!$B$2:$B$400="両面")&gt;0)*(機器台帳!$F$2:$F$400&lt;&gt;"")*(機器台帳!$C$2:$C$400&lt;=1)*(機器台帳!$C$2:$C$400+機器台帳!$D$2:$D$400-1&gt;=1),0),0))&amp;IF(INDEX(機器台帳!$G$2:$G$400,MATCH(1,INDEX((機器台帳!$A$2:$A$400="E24-S8-2")*((機器台帳!$B$2:$B$400="前面")+(機器台帳!$B$2:$B$400="両面")&gt;0)*(機器台帳!$F$2:$F$400&lt;&gt;"")*(機器台帳!$C$2:$C$400&lt;=1)*(機器台帳!$C$2:$C$400+機器台帳!$D$2:$D$400-1&gt;=1),0),0))=""," "," "&amp;INDEX(機器台帳!$G$2:$G$400,MATCH(1,INDEX((機器台帳!$A$2:$A$400="E24-S8-2")*((機器台帳!$B$2:$B$400="前面")+(機器台帳!$B$2:$B$400="両面")&gt;0)*(機器台帳!$F$2:$F$400&lt;&gt;"")*(機器台帳!$C$2:$C$400&lt;=1)*(機器台帳!$C$2:$C$400+機器台帳!$D$2:$D$400-1&gt;=1),0),0)))&amp;IF(SUMPRODUCT((機器台帳!$A$2:$A$400="E24-S8-2")*((機器台帳!$B$2:$B$400="前面")+(機器台帳!$B$2:$B$400="両面")&gt;0)*(機器台帳!$F$2:$F$400&lt;&gt;"")*(機器台帳!$C$2:$C$400&lt;=1)*(機器台帳!$C$2:$C$400+機器台帳!$D$2:$D$400-1&gt;=1))&gt;1," 他"&amp;(SUMPRODUCT((機器台帳!$A$2:$A$400="E24-S8-2")*((機器台帳!$B$2:$B$400="前面")+(機器台帳!$B$2:$B$400="両面")&gt;0)*(機器台帳!$F$2:$F$400&lt;&gt;"")*(機器台帳!$C$2:$C$400&lt;=1)*(機器台帳!$C$2:$C$400+機器台帳!$D$2:$D$400-1&gt;=1))-1)&amp;"台",""))</f>
        <v/>
      </c>
      <c r="G50">
        <f>IF(SUMPRODUCT((機器台帳!$A$2:$A$400="E24-S8-2")*((機器台帳!$B$2:$B$400="前面")+(機器台帳!$B$2:$B$400="両面")&gt;0)*(機器台帳!$F$2:$F$400&lt;&gt;"")*(機器台帳!$C$2:$C$400&lt;=1)*(機器台帳!$C$2:$C$400+機器台帳!$D$2:$D$400-1&gt;=1))=0,"",INDEX(機器台帳!$I$2:$I$400,MATCH(1,INDEX((機器台帳!$A$2:$A$400="E24-S8-2")*((機器台帳!$B$2:$B$400="前面")+(機器台帳!$B$2:$B$400="両面")&gt;0)*(機器台帳!$F$2:$F$400&lt;&gt;"")*(機器台帳!$C$2:$C$400&lt;=1)*(機器台帳!$C$2:$C$400+機器台帳!$D$2:$D$400-1&gt;=1),0),0))&amp;IF(INDEX(機器台帳!$Y$2:$Y$400,MATCH(1,INDEX((機器台帳!$A$2:$A$400="E24-S8-2")*((機器台帳!$B$2:$B$400="前面")+(機器台帳!$B$2:$B$400="両面")&gt;0)*(機器台帳!$F$2:$F$400&lt;&gt;"")*(機器台帳!$C$2:$C$400&lt;=1)*(機器台帳!$C$2:$C$400+機器台帳!$D$2:$D$400-1&gt;=1),0),0))=0,"|未記入",""))</f>
        <v/>
      </c>
      <c r="H50" s="12">
        <f>IF(SUMPRODUCT((機器台帳!$A$2:$A$400="E24-S8-2")*((機器台帳!$B$2:$B$400="背面")+(機器台帳!$B$2:$B$400="両面")&gt;0)*(機器台帳!$F$2:$F$400&lt;&gt;"")*(機器台帳!$C$2:$C$400&lt;=1)*(機器台帳!$C$2:$C$400+機器台帳!$D$2:$D$400-1&gt;=1))=0,"",INDEX(機器台帳!$F$2:$F$400,MATCH(1,INDEX((機器台帳!$A$2:$A$400="E24-S8-2")*((機器台帳!$B$2:$B$400="背面")+(機器台帳!$B$2:$B$400="両面")&gt;0)*(機器台帳!$F$2:$F$400&lt;&gt;"")*(機器台帳!$C$2:$C$400&lt;=1)*(機器台帳!$C$2:$C$400+機器台帳!$D$2:$D$400-1&gt;=1),0),0))&amp;IF(INDEX(機器台帳!$G$2:$G$400,MATCH(1,INDEX((機器台帳!$A$2:$A$400="E24-S8-2")*((機器台帳!$B$2:$B$400="背面")+(機器台帳!$B$2:$B$400="両面")&gt;0)*(機器台帳!$F$2:$F$400&lt;&gt;"")*(機器台帳!$C$2:$C$400&lt;=1)*(機器台帳!$C$2:$C$400+機器台帳!$D$2:$D$400-1&gt;=1),0),0))=""," "," "&amp;INDEX(機器台帳!$G$2:$G$400,MATCH(1,INDEX((機器台帳!$A$2:$A$400="E24-S8-2")*((機器台帳!$B$2:$B$400="背面")+(機器台帳!$B$2:$B$400="両面")&gt;0)*(機器台帳!$F$2:$F$400&lt;&gt;"")*(機器台帳!$C$2:$C$400&lt;=1)*(機器台帳!$C$2:$C$400+機器台帳!$D$2:$D$400-1&gt;=1),0),0)))&amp;IF(SUMPRODUCT((機器台帳!$A$2:$A$400="E24-S8-2")*((機器台帳!$B$2:$B$400="背面")+(機器台帳!$B$2:$B$400="両面")&gt;0)*(機器台帳!$F$2:$F$400&lt;&gt;"")*(機器台帳!$C$2:$C$400&lt;=1)*(機器台帳!$C$2:$C$400+機器台帳!$D$2:$D$400-1&gt;=1))&gt;1," 他"&amp;(SUMPRODUCT((機器台帳!$A$2:$A$400="E24-S8-2")*((機器台帳!$B$2:$B$400="背面")+(機器台帳!$B$2:$B$400="両面")&gt;0)*(機器台帳!$F$2:$F$400&lt;&gt;"")*(機器台帳!$C$2:$C$400&lt;=1)*(機器台帳!$C$2:$C$400+機器台帳!$D$2:$D$400-1&gt;=1))-1)&amp;"台",""))</f>
        <v/>
      </c>
      <c r="I50">
        <f>IF(SUMPRODUCT((機器台帳!$A$2:$A$400="E24-S8-2")*((機器台帳!$B$2:$B$400="背面")+(機器台帳!$B$2:$B$400="両面")&gt;0)*(機器台帳!$F$2:$F$400&lt;&gt;"")*(機器台帳!$C$2:$C$400&lt;=1)*(機器台帳!$C$2:$C$400+機器台帳!$D$2:$D$400-1&gt;=1))=0,"",INDEX(機器台帳!$I$2:$I$400,MATCH(1,INDEX((機器台帳!$A$2:$A$400="E24-S8-2")*((機器台帳!$B$2:$B$400="背面")+(機器台帳!$B$2:$B$400="両面")&gt;0)*(機器台帳!$F$2:$F$400&lt;&gt;"")*(機器台帳!$C$2:$C$400&lt;=1)*(機器台帳!$C$2:$C$400+機器台帳!$D$2:$D$400-1&gt;=1),0),0))&amp;IF(INDEX(機器台帳!$Y$2:$Y$400,MATCH(1,INDEX((機器台帳!$A$2:$A$400="E24-S8-2")*((機器台帳!$B$2:$B$400="背面")+(機器台帳!$B$2:$B$400="両面")&gt;0)*(機器台帳!$F$2:$F$400&lt;&gt;"")*(機器台帳!$C$2:$C$400&lt;=1)*(機器台帳!$C$2:$C$400+機器台帳!$D$2:$D$400-1&gt;=1),0),0))=0,"|未記入",""))</f>
        <v/>
      </c>
      <c r="J50" s="12">
        <f>IF(SUMPRODUCT((機器台帳!$A$2:$A$400="E24-S8-3")*((機器台帳!$B$2:$B$400="前面")+(機器台帳!$B$2:$B$400="両面")&gt;0)*(機器台帳!$F$2:$F$400&lt;&gt;"")*(機器台帳!$C$2:$C$400&lt;=1)*(機器台帳!$C$2:$C$400+機器台帳!$D$2:$D$400-1&gt;=1))=0,"",INDEX(機器台帳!$F$2:$F$400,MATCH(1,INDEX((機器台帳!$A$2:$A$400="E24-S8-3")*((機器台帳!$B$2:$B$400="前面")+(機器台帳!$B$2:$B$400="両面")&gt;0)*(機器台帳!$F$2:$F$400&lt;&gt;"")*(機器台帳!$C$2:$C$400&lt;=1)*(機器台帳!$C$2:$C$400+機器台帳!$D$2:$D$400-1&gt;=1),0),0))&amp;IF(INDEX(機器台帳!$G$2:$G$400,MATCH(1,INDEX((機器台帳!$A$2:$A$400="E24-S8-3")*((機器台帳!$B$2:$B$400="前面")+(機器台帳!$B$2:$B$400="両面")&gt;0)*(機器台帳!$F$2:$F$400&lt;&gt;"")*(機器台帳!$C$2:$C$400&lt;=1)*(機器台帳!$C$2:$C$400+機器台帳!$D$2:$D$400-1&gt;=1),0),0))=""," "," "&amp;INDEX(機器台帳!$G$2:$G$400,MATCH(1,INDEX((機器台帳!$A$2:$A$400="E24-S8-3")*((機器台帳!$B$2:$B$400="前面")+(機器台帳!$B$2:$B$400="両面")&gt;0)*(機器台帳!$F$2:$F$400&lt;&gt;"")*(機器台帳!$C$2:$C$400&lt;=1)*(機器台帳!$C$2:$C$400+機器台帳!$D$2:$D$400-1&gt;=1),0),0)))&amp;IF(SUMPRODUCT((機器台帳!$A$2:$A$400="E24-S8-3")*((機器台帳!$B$2:$B$400="前面")+(機器台帳!$B$2:$B$400="両面")&gt;0)*(機器台帳!$F$2:$F$400&lt;&gt;"")*(機器台帳!$C$2:$C$400&lt;=1)*(機器台帳!$C$2:$C$400+機器台帳!$D$2:$D$400-1&gt;=1))&gt;1," 他"&amp;(SUMPRODUCT((機器台帳!$A$2:$A$400="E24-S8-3")*((機器台帳!$B$2:$B$400="前面")+(機器台帳!$B$2:$B$400="両面")&gt;0)*(機器台帳!$F$2:$F$400&lt;&gt;"")*(機器台帳!$C$2:$C$400&lt;=1)*(機器台帳!$C$2:$C$400+機器台帳!$D$2:$D$400-1&gt;=1))-1)&amp;"台",""))</f>
        <v/>
      </c>
      <c r="K50">
        <f>IF(SUMPRODUCT((機器台帳!$A$2:$A$400="E24-S8-3")*((機器台帳!$B$2:$B$400="前面")+(機器台帳!$B$2:$B$400="両面")&gt;0)*(機器台帳!$F$2:$F$400&lt;&gt;"")*(機器台帳!$C$2:$C$400&lt;=1)*(機器台帳!$C$2:$C$400+機器台帳!$D$2:$D$400-1&gt;=1))=0,"",INDEX(機器台帳!$I$2:$I$400,MATCH(1,INDEX((機器台帳!$A$2:$A$400="E24-S8-3")*((機器台帳!$B$2:$B$400="前面")+(機器台帳!$B$2:$B$400="両面")&gt;0)*(機器台帳!$F$2:$F$400&lt;&gt;"")*(機器台帳!$C$2:$C$400&lt;=1)*(機器台帳!$C$2:$C$400+機器台帳!$D$2:$D$400-1&gt;=1),0),0))&amp;IF(INDEX(機器台帳!$Y$2:$Y$400,MATCH(1,INDEX((機器台帳!$A$2:$A$400="E24-S8-3")*((機器台帳!$B$2:$B$400="前面")+(機器台帳!$B$2:$B$400="両面")&gt;0)*(機器台帳!$F$2:$F$400&lt;&gt;"")*(機器台帳!$C$2:$C$400&lt;=1)*(機器台帳!$C$2:$C$400+機器台帳!$D$2:$D$400-1&gt;=1),0),0))=0,"|未記入",""))</f>
        <v/>
      </c>
      <c r="L50" s="12">
        <f>IF(SUMPRODUCT((機器台帳!$A$2:$A$400="E24-S8-3")*((機器台帳!$B$2:$B$400="背面")+(機器台帳!$B$2:$B$400="両面")&gt;0)*(機器台帳!$F$2:$F$400&lt;&gt;"")*(機器台帳!$C$2:$C$400&lt;=1)*(機器台帳!$C$2:$C$400+機器台帳!$D$2:$D$400-1&gt;=1))=0,"",INDEX(機器台帳!$F$2:$F$400,MATCH(1,INDEX((機器台帳!$A$2:$A$400="E24-S8-3")*((機器台帳!$B$2:$B$400="背面")+(機器台帳!$B$2:$B$400="両面")&gt;0)*(機器台帳!$F$2:$F$400&lt;&gt;"")*(機器台帳!$C$2:$C$400&lt;=1)*(機器台帳!$C$2:$C$400+機器台帳!$D$2:$D$400-1&gt;=1),0),0))&amp;IF(INDEX(機器台帳!$G$2:$G$400,MATCH(1,INDEX((機器台帳!$A$2:$A$400="E24-S8-3")*((機器台帳!$B$2:$B$400="背面")+(機器台帳!$B$2:$B$400="両面")&gt;0)*(機器台帳!$F$2:$F$400&lt;&gt;"")*(機器台帳!$C$2:$C$400&lt;=1)*(機器台帳!$C$2:$C$400+機器台帳!$D$2:$D$400-1&gt;=1),0),0))=""," "," "&amp;INDEX(機器台帳!$G$2:$G$400,MATCH(1,INDEX((機器台帳!$A$2:$A$400="E24-S8-3")*((機器台帳!$B$2:$B$400="背面")+(機器台帳!$B$2:$B$400="両面")&gt;0)*(機器台帳!$F$2:$F$400&lt;&gt;"")*(機器台帳!$C$2:$C$400&lt;=1)*(機器台帳!$C$2:$C$400+機器台帳!$D$2:$D$400-1&gt;=1),0),0)))&amp;IF(SUMPRODUCT((機器台帳!$A$2:$A$400="E24-S8-3")*((機器台帳!$B$2:$B$400="背面")+(機器台帳!$B$2:$B$400="両面")&gt;0)*(機器台帳!$F$2:$F$400&lt;&gt;"")*(機器台帳!$C$2:$C$400&lt;=1)*(機器台帳!$C$2:$C$400+機器台帳!$D$2:$D$400-1&gt;=1))&gt;1," 他"&amp;(SUMPRODUCT((機器台帳!$A$2:$A$400="E24-S8-3")*((機器台帳!$B$2:$B$400="背面")+(機器台帳!$B$2:$B$400="両面")&gt;0)*(機器台帳!$F$2:$F$400&lt;&gt;"")*(機器台帳!$C$2:$C$400&lt;=1)*(機器台帳!$C$2:$C$400+機器台帳!$D$2:$D$400-1&gt;=1))-1)&amp;"台",""))</f>
        <v/>
      </c>
      <c r="M50">
        <f>IF(SUMPRODUCT((機器台帳!$A$2:$A$400="E24-S8-3")*((機器台帳!$B$2:$B$400="背面")+(機器台帳!$B$2:$B$400="両面")&gt;0)*(機器台帳!$F$2:$F$400&lt;&gt;"")*(機器台帳!$C$2:$C$400&lt;=1)*(機器台帳!$C$2:$C$400+機器台帳!$D$2:$D$400-1&gt;=1))=0,"",INDEX(機器台帳!$I$2:$I$400,MATCH(1,INDEX((機器台帳!$A$2:$A$400="E24-S8-3")*((機器台帳!$B$2:$B$400="背面")+(機器台帳!$B$2:$B$400="両面")&gt;0)*(機器台帳!$F$2:$F$400&lt;&gt;"")*(機器台帳!$C$2:$C$400&lt;=1)*(機器台帳!$C$2:$C$400+機器台帳!$D$2:$D$400-1&gt;=1),0),0))&amp;IF(INDEX(機器台帳!$Y$2:$Y$400,MATCH(1,INDEX((機器台帳!$A$2:$A$400="E24-S8-3")*((機器台帳!$B$2:$B$400="背面")+(機器台帳!$B$2:$B$400="両面")&gt;0)*(機器台帳!$F$2:$F$400&lt;&gt;"")*(機器台帳!$C$2:$C$400&lt;=1)*(機器台帳!$C$2:$C$400+機器台帳!$D$2:$D$400-1&gt;=1),0),0))=0,"|未記入",""))</f>
        <v/>
      </c>
      <c r="N50" s="12">
        <f>IF(SUMPRODUCT((機器台帳!$A$2:$A$400="E24-S8-4")*((機器台帳!$B$2:$B$400="前面")+(機器台帳!$B$2:$B$400="両面")&gt;0)*(機器台帳!$F$2:$F$400&lt;&gt;"")*(機器台帳!$C$2:$C$400&lt;=1)*(機器台帳!$C$2:$C$400+機器台帳!$D$2:$D$400-1&gt;=1))=0,"",INDEX(機器台帳!$F$2:$F$400,MATCH(1,INDEX((機器台帳!$A$2:$A$400="E24-S8-4")*((機器台帳!$B$2:$B$400="前面")+(機器台帳!$B$2:$B$400="両面")&gt;0)*(機器台帳!$F$2:$F$400&lt;&gt;"")*(機器台帳!$C$2:$C$400&lt;=1)*(機器台帳!$C$2:$C$400+機器台帳!$D$2:$D$400-1&gt;=1),0),0))&amp;IF(INDEX(機器台帳!$G$2:$G$400,MATCH(1,INDEX((機器台帳!$A$2:$A$400="E24-S8-4")*((機器台帳!$B$2:$B$400="前面")+(機器台帳!$B$2:$B$400="両面")&gt;0)*(機器台帳!$F$2:$F$400&lt;&gt;"")*(機器台帳!$C$2:$C$400&lt;=1)*(機器台帳!$C$2:$C$400+機器台帳!$D$2:$D$400-1&gt;=1),0),0))=""," "," "&amp;INDEX(機器台帳!$G$2:$G$400,MATCH(1,INDEX((機器台帳!$A$2:$A$400="E24-S8-4")*((機器台帳!$B$2:$B$400="前面")+(機器台帳!$B$2:$B$400="両面")&gt;0)*(機器台帳!$F$2:$F$400&lt;&gt;"")*(機器台帳!$C$2:$C$400&lt;=1)*(機器台帳!$C$2:$C$400+機器台帳!$D$2:$D$400-1&gt;=1),0),0)))&amp;IF(SUMPRODUCT((機器台帳!$A$2:$A$400="E24-S8-4")*((機器台帳!$B$2:$B$400="前面")+(機器台帳!$B$2:$B$400="両面")&gt;0)*(機器台帳!$F$2:$F$400&lt;&gt;"")*(機器台帳!$C$2:$C$400&lt;=1)*(機器台帳!$C$2:$C$400+機器台帳!$D$2:$D$400-1&gt;=1))&gt;1," 他"&amp;(SUMPRODUCT((機器台帳!$A$2:$A$400="E24-S8-4")*((機器台帳!$B$2:$B$400="前面")+(機器台帳!$B$2:$B$400="両面")&gt;0)*(機器台帳!$F$2:$F$400&lt;&gt;"")*(機器台帳!$C$2:$C$400&lt;=1)*(機器台帳!$C$2:$C$400+機器台帳!$D$2:$D$400-1&gt;=1))-1)&amp;"台",""))</f>
        <v/>
      </c>
      <c r="O50">
        <f>IF(SUMPRODUCT((機器台帳!$A$2:$A$400="E24-S8-4")*((機器台帳!$B$2:$B$400="前面")+(機器台帳!$B$2:$B$400="両面")&gt;0)*(機器台帳!$F$2:$F$400&lt;&gt;"")*(機器台帳!$C$2:$C$400&lt;=1)*(機器台帳!$C$2:$C$400+機器台帳!$D$2:$D$400-1&gt;=1))=0,"",INDEX(機器台帳!$I$2:$I$400,MATCH(1,INDEX((機器台帳!$A$2:$A$400="E24-S8-4")*((機器台帳!$B$2:$B$400="前面")+(機器台帳!$B$2:$B$400="両面")&gt;0)*(機器台帳!$F$2:$F$400&lt;&gt;"")*(機器台帳!$C$2:$C$400&lt;=1)*(機器台帳!$C$2:$C$400+機器台帳!$D$2:$D$400-1&gt;=1),0),0))&amp;IF(INDEX(機器台帳!$Y$2:$Y$400,MATCH(1,INDEX((機器台帳!$A$2:$A$400="E24-S8-4")*((機器台帳!$B$2:$B$400="前面")+(機器台帳!$B$2:$B$400="両面")&gt;0)*(機器台帳!$F$2:$F$400&lt;&gt;"")*(機器台帳!$C$2:$C$400&lt;=1)*(機器台帳!$C$2:$C$400+機器台帳!$D$2:$D$400-1&gt;=1),0),0))=0,"|未記入",""))</f>
        <v/>
      </c>
      <c r="P50" s="12">
        <f>IF(SUMPRODUCT((機器台帳!$A$2:$A$400="E24-S8-4")*((機器台帳!$B$2:$B$400="背面")+(機器台帳!$B$2:$B$400="両面")&gt;0)*(機器台帳!$F$2:$F$400&lt;&gt;"")*(機器台帳!$C$2:$C$400&lt;=1)*(機器台帳!$C$2:$C$400+機器台帳!$D$2:$D$400-1&gt;=1))=0,"",INDEX(機器台帳!$F$2:$F$400,MATCH(1,INDEX((機器台帳!$A$2:$A$400="E24-S8-4")*((機器台帳!$B$2:$B$400="背面")+(機器台帳!$B$2:$B$400="両面")&gt;0)*(機器台帳!$F$2:$F$400&lt;&gt;"")*(機器台帳!$C$2:$C$400&lt;=1)*(機器台帳!$C$2:$C$400+機器台帳!$D$2:$D$400-1&gt;=1),0),0))&amp;IF(INDEX(機器台帳!$G$2:$G$400,MATCH(1,INDEX((機器台帳!$A$2:$A$400="E24-S8-4")*((機器台帳!$B$2:$B$400="背面")+(機器台帳!$B$2:$B$400="両面")&gt;0)*(機器台帳!$F$2:$F$400&lt;&gt;"")*(機器台帳!$C$2:$C$400&lt;=1)*(機器台帳!$C$2:$C$400+機器台帳!$D$2:$D$400-1&gt;=1),0),0))=""," "," "&amp;INDEX(機器台帳!$G$2:$G$400,MATCH(1,INDEX((機器台帳!$A$2:$A$400="E24-S8-4")*((機器台帳!$B$2:$B$400="背面")+(機器台帳!$B$2:$B$400="両面")&gt;0)*(機器台帳!$F$2:$F$400&lt;&gt;"")*(機器台帳!$C$2:$C$400&lt;=1)*(機器台帳!$C$2:$C$400+機器台帳!$D$2:$D$400-1&gt;=1),0),0)))&amp;IF(SUMPRODUCT((機器台帳!$A$2:$A$400="E24-S8-4")*((機器台帳!$B$2:$B$400="背面")+(機器台帳!$B$2:$B$400="両面")&gt;0)*(機器台帳!$F$2:$F$400&lt;&gt;"")*(機器台帳!$C$2:$C$400&lt;=1)*(機器台帳!$C$2:$C$400+機器台帳!$D$2:$D$400-1&gt;=1))&gt;1," 他"&amp;(SUMPRODUCT((機器台帳!$A$2:$A$400="E24-S8-4")*((機器台帳!$B$2:$B$400="背面")+(機器台帳!$B$2:$B$400="両面")&gt;0)*(機器台帳!$F$2:$F$400&lt;&gt;"")*(機器台帳!$C$2:$C$400&lt;=1)*(機器台帳!$C$2:$C$400+機器台帳!$D$2:$D$400-1&gt;=1))-1)&amp;"台",""))</f>
        <v/>
      </c>
      <c r="Q50">
        <f>IF(SUMPRODUCT((機器台帳!$A$2:$A$400="E24-S8-4")*((機器台帳!$B$2:$B$400="背面")+(機器台帳!$B$2:$B$400="両面")&gt;0)*(機器台帳!$F$2:$F$400&lt;&gt;"")*(機器台帳!$C$2:$C$400&lt;=1)*(機器台帳!$C$2:$C$400+機器台帳!$D$2:$D$400-1&gt;=1))=0,"",INDEX(機器台帳!$I$2:$I$400,MATCH(1,INDEX((機器台帳!$A$2:$A$400="E24-S8-4")*((機器台帳!$B$2:$B$400="背面")+(機器台帳!$B$2:$B$400="両面")&gt;0)*(機器台帳!$F$2:$F$400&lt;&gt;"")*(機器台帳!$C$2:$C$400&lt;=1)*(機器台帳!$C$2:$C$400+機器台帳!$D$2:$D$400-1&gt;=1),0),0))&amp;IF(INDEX(機器台帳!$Y$2:$Y$400,MATCH(1,INDEX((機器台帳!$A$2:$A$400="E24-S8-4")*((機器台帳!$B$2:$B$400="背面")+(機器台帳!$B$2:$B$400="両面")&gt;0)*(機器台帳!$F$2:$F$400&lt;&gt;"")*(機器台帳!$C$2:$C$400&lt;=1)*(機器台帳!$C$2:$C$400+機器台帳!$D$2:$D$400-1&gt;=1),0),0))=0,"|未記入",""))</f>
        <v/>
      </c>
      <c r="R50" s="12">
        <f>IF(SUMPRODUCT((機器台帳!$A$2:$A$400="E24-S8-5")*((機器台帳!$B$2:$B$400="前面")+(機器台帳!$B$2:$B$400="両面")&gt;0)*(機器台帳!$F$2:$F$400&lt;&gt;"")*(機器台帳!$C$2:$C$400&lt;=1)*(機器台帳!$C$2:$C$400+機器台帳!$D$2:$D$400-1&gt;=1))=0,"",INDEX(機器台帳!$F$2:$F$400,MATCH(1,INDEX((機器台帳!$A$2:$A$400="E24-S8-5")*((機器台帳!$B$2:$B$400="前面")+(機器台帳!$B$2:$B$400="両面")&gt;0)*(機器台帳!$F$2:$F$400&lt;&gt;"")*(機器台帳!$C$2:$C$400&lt;=1)*(機器台帳!$C$2:$C$400+機器台帳!$D$2:$D$400-1&gt;=1),0),0))&amp;IF(INDEX(機器台帳!$G$2:$G$400,MATCH(1,INDEX((機器台帳!$A$2:$A$400="E24-S8-5")*((機器台帳!$B$2:$B$400="前面")+(機器台帳!$B$2:$B$400="両面")&gt;0)*(機器台帳!$F$2:$F$400&lt;&gt;"")*(機器台帳!$C$2:$C$400&lt;=1)*(機器台帳!$C$2:$C$400+機器台帳!$D$2:$D$400-1&gt;=1),0),0))=""," "," "&amp;INDEX(機器台帳!$G$2:$G$400,MATCH(1,INDEX((機器台帳!$A$2:$A$400="E24-S8-5")*((機器台帳!$B$2:$B$400="前面")+(機器台帳!$B$2:$B$400="両面")&gt;0)*(機器台帳!$F$2:$F$400&lt;&gt;"")*(機器台帳!$C$2:$C$400&lt;=1)*(機器台帳!$C$2:$C$400+機器台帳!$D$2:$D$400-1&gt;=1),0),0)))&amp;IF(SUMPRODUCT((機器台帳!$A$2:$A$400="E24-S8-5")*((機器台帳!$B$2:$B$400="前面")+(機器台帳!$B$2:$B$400="両面")&gt;0)*(機器台帳!$F$2:$F$400&lt;&gt;"")*(機器台帳!$C$2:$C$400&lt;=1)*(機器台帳!$C$2:$C$400+機器台帳!$D$2:$D$400-1&gt;=1))&gt;1," 他"&amp;(SUMPRODUCT((機器台帳!$A$2:$A$400="E24-S8-5")*((機器台帳!$B$2:$B$400="前面")+(機器台帳!$B$2:$B$400="両面")&gt;0)*(機器台帳!$F$2:$F$400&lt;&gt;"")*(機器台帳!$C$2:$C$400&lt;=1)*(機器台帳!$C$2:$C$400+機器台帳!$D$2:$D$400-1&gt;=1))-1)&amp;"台",""))</f>
        <v/>
      </c>
      <c r="S50">
        <f>IF(SUMPRODUCT((機器台帳!$A$2:$A$400="E24-S8-5")*((機器台帳!$B$2:$B$400="前面")+(機器台帳!$B$2:$B$400="両面")&gt;0)*(機器台帳!$F$2:$F$400&lt;&gt;"")*(機器台帳!$C$2:$C$400&lt;=1)*(機器台帳!$C$2:$C$400+機器台帳!$D$2:$D$400-1&gt;=1))=0,"",INDEX(機器台帳!$I$2:$I$400,MATCH(1,INDEX((機器台帳!$A$2:$A$400="E24-S8-5")*((機器台帳!$B$2:$B$400="前面")+(機器台帳!$B$2:$B$400="両面")&gt;0)*(機器台帳!$F$2:$F$400&lt;&gt;"")*(機器台帳!$C$2:$C$400&lt;=1)*(機器台帳!$C$2:$C$400+機器台帳!$D$2:$D$400-1&gt;=1),0),0))&amp;IF(INDEX(機器台帳!$Y$2:$Y$400,MATCH(1,INDEX((機器台帳!$A$2:$A$400="E24-S8-5")*((機器台帳!$B$2:$B$400="前面")+(機器台帳!$B$2:$B$400="両面")&gt;0)*(機器台帳!$F$2:$F$400&lt;&gt;"")*(機器台帳!$C$2:$C$400&lt;=1)*(機器台帳!$C$2:$C$400+機器台帳!$D$2:$D$400-1&gt;=1),0),0))=0,"|未記入",""))</f>
        <v/>
      </c>
      <c r="T50" s="12">
        <f>IF(SUMPRODUCT((機器台帳!$A$2:$A$400="E24-S8-5")*((機器台帳!$B$2:$B$400="背面")+(機器台帳!$B$2:$B$400="両面")&gt;0)*(機器台帳!$F$2:$F$400&lt;&gt;"")*(機器台帳!$C$2:$C$400&lt;=1)*(機器台帳!$C$2:$C$400+機器台帳!$D$2:$D$400-1&gt;=1))=0,"",INDEX(機器台帳!$F$2:$F$400,MATCH(1,INDEX((機器台帳!$A$2:$A$400="E24-S8-5")*((機器台帳!$B$2:$B$400="背面")+(機器台帳!$B$2:$B$400="両面")&gt;0)*(機器台帳!$F$2:$F$400&lt;&gt;"")*(機器台帳!$C$2:$C$400&lt;=1)*(機器台帳!$C$2:$C$400+機器台帳!$D$2:$D$400-1&gt;=1),0),0))&amp;IF(INDEX(機器台帳!$G$2:$G$400,MATCH(1,INDEX((機器台帳!$A$2:$A$400="E24-S8-5")*((機器台帳!$B$2:$B$400="背面")+(機器台帳!$B$2:$B$400="両面")&gt;0)*(機器台帳!$F$2:$F$400&lt;&gt;"")*(機器台帳!$C$2:$C$400&lt;=1)*(機器台帳!$C$2:$C$400+機器台帳!$D$2:$D$400-1&gt;=1),0),0))=""," "," "&amp;INDEX(機器台帳!$G$2:$G$400,MATCH(1,INDEX((機器台帳!$A$2:$A$400="E24-S8-5")*((機器台帳!$B$2:$B$400="背面")+(機器台帳!$B$2:$B$400="両面")&gt;0)*(機器台帳!$F$2:$F$400&lt;&gt;"")*(機器台帳!$C$2:$C$400&lt;=1)*(機器台帳!$C$2:$C$400+機器台帳!$D$2:$D$400-1&gt;=1),0),0)))&amp;IF(SUMPRODUCT((機器台帳!$A$2:$A$400="E24-S8-5")*((機器台帳!$B$2:$B$400="背面")+(機器台帳!$B$2:$B$400="両面")&gt;0)*(機器台帳!$F$2:$F$400&lt;&gt;"")*(機器台帳!$C$2:$C$400&lt;=1)*(機器台帳!$C$2:$C$400+機器台帳!$D$2:$D$400-1&gt;=1))&gt;1," 他"&amp;(SUMPRODUCT((機器台帳!$A$2:$A$400="E24-S8-5")*((機器台帳!$B$2:$B$400="背面")+(機器台帳!$B$2:$B$400="両面")&gt;0)*(機器台帳!$F$2:$F$400&lt;&gt;"")*(機器台帳!$C$2:$C$400&lt;=1)*(機器台帳!$C$2:$C$400+機器台帳!$D$2:$D$400-1&gt;=1))-1)&amp;"台",""))</f>
        <v/>
      </c>
      <c r="U50">
        <f>IF(SUMPRODUCT((機器台帳!$A$2:$A$400="E24-S8-5")*((機器台帳!$B$2:$B$400="背面")+(機器台帳!$B$2:$B$400="両面")&gt;0)*(機器台帳!$F$2:$F$400&lt;&gt;"")*(機器台帳!$C$2:$C$400&lt;=1)*(機器台帳!$C$2:$C$400+機器台帳!$D$2:$D$400-1&gt;=1))=0,"",INDEX(機器台帳!$I$2:$I$400,MATCH(1,INDEX((機器台帳!$A$2:$A$400="E24-S8-5")*((機器台帳!$B$2:$B$400="背面")+(機器台帳!$B$2:$B$400="両面")&gt;0)*(機器台帳!$F$2:$F$400&lt;&gt;"")*(機器台帳!$C$2:$C$400&lt;=1)*(機器台帳!$C$2:$C$400+機器台帳!$D$2:$D$400-1&gt;=1),0),0))&amp;IF(INDEX(機器台帳!$Y$2:$Y$400,MATCH(1,INDEX((機器台帳!$A$2:$A$400="E24-S8-5")*((機器台帳!$B$2:$B$400="背面")+(機器台帳!$B$2:$B$400="両面")&gt;0)*(機器台帳!$F$2:$F$400&lt;&gt;"")*(機器台帳!$C$2:$C$400&lt;=1)*(機器台帳!$C$2:$C$400+機器台帳!$D$2:$D$400-1&gt;=1),0),0))=0,"|未記入",""))</f>
        <v/>
      </c>
      <c r="V50" s="12">
        <f>IF(SUMPRODUCT((機器台帳!$A$2:$A$400="E24-S6-1")*((機器台帳!$B$2:$B$400="前面")+(機器台帳!$B$2:$B$400="両面")&gt;0)*(機器台帳!$F$2:$F$400&lt;&gt;"")*(機器台帳!$C$2:$C$400&lt;=1)*(機器台帳!$C$2:$C$400+機器台帳!$D$2:$D$400-1&gt;=1))=0,"",INDEX(機器台帳!$F$2:$F$400,MATCH(1,INDEX((機器台帳!$A$2:$A$400="E24-S6-1")*((機器台帳!$B$2:$B$400="前面")+(機器台帳!$B$2:$B$400="両面")&gt;0)*(機器台帳!$F$2:$F$400&lt;&gt;"")*(機器台帳!$C$2:$C$400&lt;=1)*(機器台帳!$C$2:$C$400+機器台帳!$D$2:$D$400-1&gt;=1),0),0))&amp;IF(INDEX(機器台帳!$G$2:$G$400,MATCH(1,INDEX((機器台帳!$A$2:$A$400="E24-S6-1")*((機器台帳!$B$2:$B$400="前面")+(機器台帳!$B$2:$B$400="両面")&gt;0)*(機器台帳!$F$2:$F$400&lt;&gt;"")*(機器台帳!$C$2:$C$400&lt;=1)*(機器台帳!$C$2:$C$400+機器台帳!$D$2:$D$400-1&gt;=1),0),0))=""," "," "&amp;INDEX(機器台帳!$G$2:$G$400,MATCH(1,INDEX((機器台帳!$A$2:$A$400="E24-S6-1")*((機器台帳!$B$2:$B$400="前面")+(機器台帳!$B$2:$B$400="両面")&gt;0)*(機器台帳!$F$2:$F$400&lt;&gt;"")*(機器台帳!$C$2:$C$400&lt;=1)*(機器台帳!$C$2:$C$400+機器台帳!$D$2:$D$400-1&gt;=1),0),0)))&amp;IF(SUMPRODUCT((機器台帳!$A$2:$A$400="E24-S6-1")*((機器台帳!$B$2:$B$400="前面")+(機器台帳!$B$2:$B$400="両面")&gt;0)*(機器台帳!$F$2:$F$400&lt;&gt;"")*(機器台帳!$C$2:$C$400&lt;=1)*(機器台帳!$C$2:$C$400+機器台帳!$D$2:$D$400-1&gt;=1))&gt;1," 他"&amp;(SUMPRODUCT((機器台帳!$A$2:$A$400="E24-S6-1")*((機器台帳!$B$2:$B$400="前面")+(機器台帳!$B$2:$B$400="両面")&gt;0)*(機器台帳!$F$2:$F$400&lt;&gt;"")*(機器台帳!$C$2:$C$400&lt;=1)*(機器台帳!$C$2:$C$400+機器台帳!$D$2:$D$400-1&gt;=1))-1)&amp;"台",""))</f>
        <v/>
      </c>
      <c r="W50">
        <f>IF(SUMPRODUCT((機器台帳!$A$2:$A$400="E24-S6-1")*((機器台帳!$B$2:$B$400="前面")+(機器台帳!$B$2:$B$400="両面")&gt;0)*(機器台帳!$F$2:$F$400&lt;&gt;"")*(機器台帳!$C$2:$C$400&lt;=1)*(機器台帳!$C$2:$C$400+機器台帳!$D$2:$D$400-1&gt;=1))=0,"",INDEX(機器台帳!$I$2:$I$400,MATCH(1,INDEX((機器台帳!$A$2:$A$400="E24-S6-1")*((機器台帳!$B$2:$B$400="前面")+(機器台帳!$B$2:$B$400="両面")&gt;0)*(機器台帳!$F$2:$F$400&lt;&gt;"")*(機器台帳!$C$2:$C$400&lt;=1)*(機器台帳!$C$2:$C$400+機器台帳!$D$2:$D$400-1&gt;=1),0),0))&amp;IF(INDEX(機器台帳!$Y$2:$Y$400,MATCH(1,INDEX((機器台帳!$A$2:$A$400="E24-S6-1")*((機器台帳!$B$2:$B$400="前面")+(機器台帳!$B$2:$B$400="両面")&gt;0)*(機器台帳!$F$2:$F$400&lt;&gt;"")*(機器台帳!$C$2:$C$400&lt;=1)*(機器台帳!$C$2:$C$400+機器台帳!$D$2:$D$400-1&gt;=1),0),0))=0,"|未記入",""))</f>
        <v/>
      </c>
      <c r="X50" s="12">
        <f>IF(SUMPRODUCT((機器台帳!$A$2:$A$400="E24-S6-1")*((機器台帳!$B$2:$B$400="背面")+(機器台帳!$B$2:$B$400="両面")&gt;0)*(機器台帳!$F$2:$F$400&lt;&gt;"")*(機器台帳!$C$2:$C$400&lt;=1)*(機器台帳!$C$2:$C$400+機器台帳!$D$2:$D$400-1&gt;=1))=0,"",INDEX(機器台帳!$F$2:$F$400,MATCH(1,INDEX((機器台帳!$A$2:$A$400="E24-S6-1")*((機器台帳!$B$2:$B$400="背面")+(機器台帳!$B$2:$B$400="両面")&gt;0)*(機器台帳!$F$2:$F$400&lt;&gt;"")*(機器台帳!$C$2:$C$400&lt;=1)*(機器台帳!$C$2:$C$400+機器台帳!$D$2:$D$400-1&gt;=1),0),0))&amp;IF(INDEX(機器台帳!$G$2:$G$400,MATCH(1,INDEX((機器台帳!$A$2:$A$400="E24-S6-1")*((機器台帳!$B$2:$B$400="背面")+(機器台帳!$B$2:$B$400="両面")&gt;0)*(機器台帳!$F$2:$F$400&lt;&gt;"")*(機器台帳!$C$2:$C$400&lt;=1)*(機器台帳!$C$2:$C$400+機器台帳!$D$2:$D$400-1&gt;=1),0),0))=""," "," "&amp;INDEX(機器台帳!$G$2:$G$400,MATCH(1,INDEX((機器台帳!$A$2:$A$400="E24-S6-1")*((機器台帳!$B$2:$B$400="背面")+(機器台帳!$B$2:$B$400="両面")&gt;0)*(機器台帳!$F$2:$F$400&lt;&gt;"")*(機器台帳!$C$2:$C$400&lt;=1)*(機器台帳!$C$2:$C$400+機器台帳!$D$2:$D$400-1&gt;=1),0),0)))&amp;IF(SUMPRODUCT((機器台帳!$A$2:$A$400="E24-S6-1")*((機器台帳!$B$2:$B$400="背面")+(機器台帳!$B$2:$B$400="両面")&gt;0)*(機器台帳!$F$2:$F$400&lt;&gt;"")*(機器台帳!$C$2:$C$400&lt;=1)*(機器台帳!$C$2:$C$400+機器台帳!$D$2:$D$400-1&gt;=1))&gt;1," 他"&amp;(SUMPRODUCT((機器台帳!$A$2:$A$400="E24-S6-1")*((機器台帳!$B$2:$B$400="背面")+(機器台帳!$B$2:$B$400="両面")&gt;0)*(機器台帳!$F$2:$F$400&lt;&gt;"")*(機器台帳!$C$2:$C$400&lt;=1)*(機器台帳!$C$2:$C$400+機器台帳!$D$2:$D$400-1&gt;=1))-1)&amp;"台",""))</f>
        <v/>
      </c>
      <c r="Y50">
        <f>IF(SUMPRODUCT((機器台帳!$A$2:$A$400="E24-S6-1")*((機器台帳!$B$2:$B$400="背面")+(機器台帳!$B$2:$B$400="両面")&gt;0)*(機器台帳!$F$2:$F$400&lt;&gt;"")*(機器台帳!$C$2:$C$400&lt;=1)*(機器台帳!$C$2:$C$400+機器台帳!$D$2:$D$400-1&gt;=1))=0,"",INDEX(機器台帳!$I$2:$I$400,MATCH(1,INDEX((機器台帳!$A$2:$A$400="E24-S6-1")*((機器台帳!$B$2:$B$400="背面")+(機器台帳!$B$2:$B$400="両面")&gt;0)*(機器台帳!$F$2:$F$400&lt;&gt;"")*(機器台帳!$C$2:$C$400&lt;=1)*(機器台帳!$C$2:$C$400+機器台帳!$D$2:$D$400-1&gt;=1),0),0))&amp;IF(INDEX(機器台帳!$Y$2:$Y$400,MATCH(1,INDEX((機器台帳!$A$2:$A$400="E24-S6-1")*((機器台帳!$B$2:$B$400="背面")+(機器台帳!$B$2:$B$400="両面")&gt;0)*(機器台帳!$F$2:$F$400&lt;&gt;"")*(機器台帳!$C$2:$C$400&lt;=1)*(機器台帳!$C$2:$C$400+機器台帳!$D$2:$D$400-1&gt;=1),0),0))=0,"|未記入",""))</f>
        <v/>
      </c>
    </row>
  </sheetData>
  <conditionalFormatting sqref="B4:B50">
    <cfRule type="expression" priority="1" dxfId="2">
      <formula>ISNUMBER(SEARCH("Server",$C4))</formula>
    </cfRule>
    <cfRule type="expression" priority="2" dxfId="3">
      <formula>ISNUMBER(SEARCH("Storage",$C4))</formula>
    </cfRule>
    <cfRule type="expression" priority="3" dxfId="4">
      <formula>ISNUMBER(SEARCH("SW",$C4))</formula>
    </cfRule>
    <cfRule type="expression" priority="4" dxfId="5">
      <formula>ISNUMBER(SEARCH("PDU",$C4))</formula>
    </cfRule>
    <cfRule type="expression" priority="5" dxfId="6">
      <formula>ISNUMBER(SEARCH("Firewall",$C4))</formula>
    </cfRule>
    <cfRule type="expression" priority="6" dxfId="6">
      <formula>ISNUMBER(SEARCH("FW",$C4))</formula>
    </cfRule>
    <cfRule type="expression" priority="7" dxfId="7">
      <formula>ISNUMBER(SEARCH("未記入",$C4))</formula>
    </cfRule>
  </conditionalFormatting>
  <conditionalFormatting sqref="D4:D50">
    <cfRule type="expression" priority="8" dxfId="2">
      <formula>ISNUMBER(SEARCH("Server",$E4))</formula>
    </cfRule>
    <cfRule type="expression" priority="9" dxfId="3">
      <formula>ISNUMBER(SEARCH("Storage",$E4))</formula>
    </cfRule>
    <cfRule type="expression" priority="10" dxfId="4">
      <formula>ISNUMBER(SEARCH("SW",$E4))</formula>
    </cfRule>
    <cfRule type="expression" priority="11" dxfId="5">
      <formula>ISNUMBER(SEARCH("PDU",$E4))</formula>
    </cfRule>
    <cfRule type="expression" priority="12" dxfId="6">
      <formula>ISNUMBER(SEARCH("Firewall",$E4))</formula>
    </cfRule>
    <cfRule type="expression" priority="13" dxfId="6">
      <formula>ISNUMBER(SEARCH("FW",$E4))</formula>
    </cfRule>
    <cfRule type="expression" priority="14" dxfId="7">
      <formula>ISNUMBER(SEARCH("未記入",$E4))</formula>
    </cfRule>
  </conditionalFormatting>
  <conditionalFormatting sqref="F4:F50">
    <cfRule type="expression" priority="15" dxfId="2">
      <formula>ISNUMBER(SEARCH("Server",$G4))</formula>
    </cfRule>
    <cfRule type="expression" priority="16" dxfId="3">
      <formula>ISNUMBER(SEARCH("Storage",$G4))</formula>
    </cfRule>
    <cfRule type="expression" priority="17" dxfId="4">
      <formula>ISNUMBER(SEARCH("SW",$G4))</formula>
    </cfRule>
    <cfRule type="expression" priority="18" dxfId="5">
      <formula>ISNUMBER(SEARCH("PDU",$G4))</formula>
    </cfRule>
    <cfRule type="expression" priority="19" dxfId="6">
      <formula>ISNUMBER(SEARCH("Firewall",$G4))</formula>
    </cfRule>
    <cfRule type="expression" priority="20" dxfId="6">
      <formula>ISNUMBER(SEARCH("FW",$G4))</formula>
    </cfRule>
    <cfRule type="expression" priority="21" dxfId="7">
      <formula>ISNUMBER(SEARCH("未記入",$G4))</formula>
    </cfRule>
  </conditionalFormatting>
  <conditionalFormatting sqref="H4:H50">
    <cfRule type="expression" priority="22" dxfId="2">
      <formula>ISNUMBER(SEARCH("Server",$I4))</formula>
    </cfRule>
    <cfRule type="expression" priority="23" dxfId="3">
      <formula>ISNUMBER(SEARCH("Storage",$I4))</formula>
    </cfRule>
    <cfRule type="expression" priority="24" dxfId="4">
      <formula>ISNUMBER(SEARCH("SW",$I4))</formula>
    </cfRule>
    <cfRule type="expression" priority="25" dxfId="5">
      <formula>ISNUMBER(SEARCH("PDU",$I4))</formula>
    </cfRule>
    <cfRule type="expression" priority="26" dxfId="6">
      <formula>ISNUMBER(SEARCH("Firewall",$I4))</formula>
    </cfRule>
    <cfRule type="expression" priority="27" dxfId="6">
      <formula>ISNUMBER(SEARCH("FW",$I4))</formula>
    </cfRule>
    <cfRule type="expression" priority="28" dxfId="7">
      <formula>ISNUMBER(SEARCH("未記入",$I4))</formula>
    </cfRule>
  </conditionalFormatting>
  <conditionalFormatting sqref="J4:J50">
    <cfRule type="expression" priority="29" dxfId="2">
      <formula>ISNUMBER(SEARCH("Server",$K4))</formula>
    </cfRule>
    <cfRule type="expression" priority="30" dxfId="3">
      <formula>ISNUMBER(SEARCH("Storage",$K4))</formula>
    </cfRule>
    <cfRule type="expression" priority="31" dxfId="4">
      <formula>ISNUMBER(SEARCH("SW",$K4))</formula>
    </cfRule>
    <cfRule type="expression" priority="32" dxfId="5">
      <formula>ISNUMBER(SEARCH("PDU",$K4))</formula>
    </cfRule>
    <cfRule type="expression" priority="33" dxfId="6">
      <formula>ISNUMBER(SEARCH("Firewall",$K4))</formula>
    </cfRule>
    <cfRule type="expression" priority="34" dxfId="6">
      <formula>ISNUMBER(SEARCH("FW",$K4))</formula>
    </cfRule>
    <cfRule type="expression" priority="35" dxfId="7">
      <formula>ISNUMBER(SEARCH("未記入",$K4))</formula>
    </cfRule>
  </conditionalFormatting>
  <conditionalFormatting sqref="L4:L50">
    <cfRule type="expression" priority="36" dxfId="2">
      <formula>ISNUMBER(SEARCH("Server",$M4))</formula>
    </cfRule>
    <cfRule type="expression" priority="37" dxfId="3">
      <formula>ISNUMBER(SEARCH("Storage",$M4))</formula>
    </cfRule>
    <cfRule type="expression" priority="38" dxfId="4">
      <formula>ISNUMBER(SEARCH("SW",$M4))</formula>
    </cfRule>
    <cfRule type="expression" priority="39" dxfId="5">
      <formula>ISNUMBER(SEARCH("PDU",$M4))</formula>
    </cfRule>
    <cfRule type="expression" priority="40" dxfId="6">
      <formula>ISNUMBER(SEARCH("Firewall",$M4))</formula>
    </cfRule>
    <cfRule type="expression" priority="41" dxfId="6">
      <formula>ISNUMBER(SEARCH("FW",$M4))</formula>
    </cfRule>
    <cfRule type="expression" priority="42" dxfId="7">
      <formula>ISNUMBER(SEARCH("未記入",$M4))</formula>
    </cfRule>
  </conditionalFormatting>
  <conditionalFormatting sqref="N4:N50">
    <cfRule type="expression" priority="43" dxfId="2">
      <formula>ISNUMBER(SEARCH("Server",$O4))</formula>
    </cfRule>
    <cfRule type="expression" priority="44" dxfId="3">
      <formula>ISNUMBER(SEARCH("Storage",$O4))</formula>
    </cfRule>
    <cfRule type="expression" priority="45" dxfId="4">
      <formula>ISNUMBER(SEARCH("SW",$O4))</formula>
    </cfRule>
    <cfRule type="expression" priority="46" dxfId="5">
      <formula>ISNUMBER(SEARCH("PDU",$O4))</formula>
    </cfRule>
    <cfRule type="expression" priority="47" dxfId="6">
      <formula>ISNUMBER(SEARCH("Firewall",$O4))</formula>
    </cfRule>
    <cfRule type="expression" priority="48" dxfId="6">
      <formula>ISNUMBER(SEARCH("FW",$O4))</formula>
    </cfRule>
    <cfRule type="expression" priority="49" dxfId="7">
      <formula>ISNUMBER(SEARCH("未記入",$O4))</formula>
    </cfRule>
  </conditionalFormatting>
  <conditionalFormatting sqref="P4:P50">
    <cfRule type="expression" priority="50" dxfId="2">
      <formula>ISNUMBER(SEARCH("Server",$Q4))</formula>
    </cfRule>
    <cfRule type="expression" priority="51" dxfId="3">
      <formula>ISNUMBER(SEARCH("Storage",$Q4))</formula>
    </cfRule>
    <cfRule type="expression" priority="52" dxfId="4">
      <formula>ISNUMBER(SEARCH("SW",$Q4))</formula>
    </cfRule>
    <cfRule type="expression" priority="53" dxfId="5">
      <formula>ISNUMBER(SEARCH("PDU",$Q4))</formula>
    </cfRule>
    <cfRule type="expression" priority="54" dxfId="6">
      <formula>ISNUMBER(SEARCH("Firewall",$Q4))</formula>
    </cfRule>
    <cfRule type="expression" priority="55" dxfId="6">
      <formula>ISNUMBER(SEARCH("FW",$Q4))</formula>
    </cfRule>
    <cfRule type="expression" priority="56" dxfId="7">
      <formula>ISNUMBER(SEARCH("未記入",$Q4))</formula>
    </cfRule>
  </conditionalFormatting>
  <conditionalFormatting sqref="R4:R50">
    <cfRule type="expression" priority="57" dxfId="2">
      <formula>ISNUMBER(SEARCH("Server",$S4))</formula>
    </cfRule>
    <cfRule type="expression" priority="58" dxfId="3">
      <formula>ISNUMBER(SEARCH("Storage",$S4))</formula>
    </cfRule>
    <cfRule type="expression" priority="59" dxfId="4">
      <formula>ISNUMBER(SEARCH("SW",$S4))</formula>
    </cfRule>
    <cfRule type="expression" priority="60" dxfId="5">
      <formula>ISNUMBER(SEARCH("PDU",$S4))</formula>
    </cfRule>
    <cfRule type="expression" priority="61" dxfId="6">
      <formula>ISNUMBER(SEARCH("Firewall",$S4))</formula>
    </cfRule>
    <cfRule type="expression" priority="62" dxfId="6">
      <formula>ISNUMBER(SEARCH("FW",$S4))</formula>
    </cfRule>
    <cfRule type="expression" priority="63" dxfId="7">
      <formula>ISNUMBER(SEARCH("未記入",$S4))</formula>
    </cfRule>
  </conditionalFormatting>
  <conditionalFormatting sqref="T4:T50">
    <cfRule type="expression" priority="64" dxfId="2">
      <formula>ISNUMBER(SEARCH("Server",$U4))</formula>
    </cfRule>
    <cfRule type="expression" priority="65" dxfId="3">
      <formula>ISNUMBER(SEARCH("Storage",$U4))</formula>
    </cfRule>
    <cfRule type="expression" priority="66" dxfId="4">
      <formula>ISNUMBER(SEARCH("SW",$U4))</formula>
    </cfRule>
    <cfRule type="expression" priority="67" dxfId="5">
      <formula>ISNUMBER(SEARCH("PDU",$U4))</formula>
    </cfRule>
    <cfRule type="expression" priority="68" dxfId="6">
      <formula>ISNUMBER(SEARCH("Firewall",$U4))</formula>
    </cfRule>
    <cfRule type="expression" priority="69" dxfId="6">
      <formula>ISNUMBER(SEARCH("FW",$U4))</formula>
    </cfRule>
    <cfRule type="expression" priority="70" dxfId="7">
      <formula>ISNUMBER(SEARCH("未記入",$U4))</formula>
    </cfRule>
  </conditionalFormatting>
  <conditionalFormatting sqref="V4:V50">
    <cfRule type="expression" priority="71" dxfId="2">
      <formula>ISNUMBER(SEARCH("Server",$W4))</formula>
    </cfRule>
    <cfRule type="expression" priority="72" dxfId="3">
      <formula>ISNUMBER(SEARCH("Storage",$W4))</formula>
    </cfRule>
    <cfRule type="expression" priority="73" dxfId="4">
      <formula>ISNUMBER(SEARCH("SW",$W4))</formula>
    </cfRule>
    <cfRule type="expression" priority="74" dxfId="5">
      <formula>ISNUMBER(SEARCH("PDU",$W4))</formula>
    </cfRule>
    <cfRule type="expression" priority="75" dxfId="6">
      <formula>ISNUMBER(SEARCH("Firewall",$W4))</formula>
    </cfRule>
    <cfRule type="expression" priority="76" dxfId="6">
      <formula>ISNUMBER(SEARCH("FW",$W4))</formula>
    </cfRule>
    <cfRule type="expression" priority="77" dxfId="7">
      <formula>ISNUMBER(SEARCH("未記入",$W4))</formula>
    </cfRule>
  </conditionalFormatting>
  <conditionalFormatting sqref="X4:X50">
    <cfRule type="expression" priority="78" dxfId="2">
      <formula>ISNUMBER(SEARCH("Server",$Y4))</formula>
    </cfRule>
    <cfRule type="expression" priority="79" dxfId="3">
      <formula>ISNUMBER(SEARCH("Storage",$Y4))</formula>
    </cfRule>
    <cfRule type="expression" priority="80" dxfId="4">
      <formula>ISNUMBER(SEARCH("SW",$Y4))</formula>
    </cfRule>
    <cfRule type="expression" priority="81" dxfId="5">
      <formula>ISNUMBER(SEARCH("PDU",$Y4))</formula>
    </cfRule>
    <cfRule type="expression" priority="82" dxfId="6">
      <formula>ISNUMBER(SEARCH("Firewall",$Y4))</formula>
    </cfRule>
    <cfRule type="expression" priority="83" dxfId="6">
      <formula>ISNUMBER(SEARCH("FW",$Y4))</formula>
    </cfRule>
    <cfRule type="expression" priority="84" dxfId="7">
      <formula>ISNUMBER(SEARCH("未記入",$Y4))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22" customWidth="1" min="10" max="10"/>
  </cols>
  <sheetData>
    <row r="1">
      <c r="A1" s="3" t="inlineStr">
        <is>
          <t>ラック</t>
        </is>
      </c>
      <c r="B1" s="3" t="inlineStr">
        <is>
          <t>回路</t>
        </is>
      </c>
      <c r="C1" s="3" t="inlineStr">
        <is>
          <t>電圧V</t>
        </is>
      </c>
      <c r="D1" s="3" t="inlineStr">
        <is>
          <t>ブレーカA</t>
        </is>
      </c>
      <c r="E1" s="3" t="inlineStr">
        <is>
          <t>定格電流A</t>
        </is>
      </c>
      <c r="F1" s="3" t="inlineStr">
        <is>
          <t>両系実効A</t>
        </is>
      </c>
      <c r="G1" s="3" t="inlineStr">
        <is>
          <t>片系実効A</t>
        </is>
      </c>
      <c r="H1" s="3" t="inlineStr">
        <is>
          <t>片系/ブレーカ</t>
        </is>
      </c>
      <c r="I1" s="3" t="inlineStr">
        <is>
          <t>警告閾値</t>
        </is>
      </c>
      <c r="J1" s="3" t="inlineStr">
        <is>
          <t>判定</t>
        </is>
      </c>
    </row>
    <row r="2">
      <c r="A2" s="5" t="inlineStr">
        <is>
          <t>E24-S8-1</t>
        </is>
      </c>
      <c r="B2" s="5" t="inlineStr">
        <is>
          <t>100V 20A （1）</t>
        </is>
      </c>
      <c r="C2" s="5">
        <f>IFERROR(INDEX(回路定義!$C:$C,MATCH(1,INDEX((回路定義!$A:$A=$A2)*(回路定義!$B:$B=$B2),0),0)),"")</f>
        <v/>
      </c>
      <c r="D2" s="5">
        <f>IFERROR(INDEX(回路定義!$D:$D,MATCH(1,INDEX((回路定義!$A:$A=$A2)*(回路定義!$B:$B=$B2),0),0)),"")</f>
        <v/>
      </c>
      <c r="E2" s="5">
        <f>SUMIFS(機器台帳!$N$2:$N$400,機器台帳!$A$2:$A$400,$A2,機器台帳!$M$2:$M$400,$B2)+SUMIFS(機器台帳!$Q$2:$Q$400,機器台帳!$A$2:$A$400,$A2,機器台帳!$P$2:$P$400,$B2)+SUMIFS(機器台帳!$T$2:$T$400,機器台帳!$A$2:$A$400,$A2,機器台帳!$S$2:$S$400,$B2)</f>
        <v/>
      </c>
      <c r="F2" s="5">
        <f>(SUMIFS(機器台帳!$AA$2:$AA$400,機器台帳!$A$2:$A$400,$A2,機器台帳!$M$2:$M$400,$B2)+SUMIFS(機器台帳!$AB$2:$AB$400,機器台帳!$A$2:$A$400,$A2,機器台帳!$P$2:$P$400,$B2)+SUMIFS(機器台帳!$AC$2:$AC$400,機器台帳!$A$2:$A$400,$A2,機器台帳!$S$2:$S$400,$B2))*IFERROR(VLOOKUP($A2,ラック定義!$A:$D,4,FALSE),0.6)</f>
        <v/>
      </c>
      <c r="G2" s="5">
        <f>$E2*IFERROR(VLOOKUP($A2,ラック定義!$A:$D,4,FALSE),0.6)</f>
        <v/>
      </c>
      <c r="H2" s="13">
        <f>IFERROR($G2/$D2,"")</f>
        <v/>
      </c>
      <c r="I2" s="13">
        <f>IFERROR(VLOOKUP($A2,ラック定義!$A:$E,5,FALSE),0.8)</f>
        <v/>
      </c>
      <c r="J2" s="5">
        <f>IF($D2="","",IF($G2&gt;$D2*$I2,"要対応（片系で閾値超過）","余裕あり"))</f>
        <v/>
      </c>
    </row>
    <row r="3">
      <c r="A3" s="5" t="inlineStr">
        <is>
          <t>E24-S8-1</t>
        </is>
      </c>
      <c r="B3" s="5" t="inlineStr">
        <is>
          <t>100V 20A （2）</t>
        </is>
      </c>
      <c r="C3" s="5">
        <f>IFERROR(INDEX(回路定義!$C:$C,MATCH(1,INDEX((回路定義!$A:$A=$A3)*(回路定義!$B:$B=$B3),0),0)),"")</f>
        <v/>
      </c>
      <c r="D3" s="5">
        <f>IFERROR(INDEX(回路定義!$D:$D,MATCH(1,INDEX((回路定義!$A:$A=$A3)*(回路定義!$B:$B=$B3),0),0)),"")</f>
        <v/>
      </c>
      <c r="E3" s="5">
        <f>SUMIFS(機器台帳!$N$2:$N$400,機器台帳!$A$2:$A$400,$A3,機器台帳!$M$2:$M$400,$B3)+SUMIFS(機器台帳!$Q$2:$Q$400,機器台帳!$A$2:$A$400,$A3,機器台帳!$P$2:$P$400,$B3)+SUMIFS(機器台帳!$T$2:$T$400,機器台帳!$A$2:$A$400,$A3,機器台帳!$S$2:$S$400,$B3)</f>
        <v/>
      </c>
      <c r="F3" s="5">
        <f>(SUMIFS(機器台帳!$AA$2:$AA$400,機器台帳!$A$2:$A$400,$A3,機器台帳!$M$2:$M$400,$B3)+SUMIFS(機器台帳!$AB$2:$AB$400,機器台帳!$A$2:$A$400,$A3,機器台帳!$P$2:$P$400,$B3)+SUMIFS(機器台帳!$AC$2:$AC$400,機器台帳!$A$2:$A$400,$A3,機器台帳!$S$2:$S$400,$B3))*IFERROR(VLOOKUP($A3,ラック定義!$A:$D,4,FALSE),0.6)</f>
        <v/>
      </c>
      <c r="G3" s="5">
        <f>$E3*IFERROR(VLOOKUP($A3,ラック定義!$A:$D,4,FALSE),0.6)</f>
        <v/>
      </c>
      <c r="H3" s="13">
        <f>IFERROR($G3/$D3,"")</f>
        <v/>
      </c>
      <c r="I3" s="13">
        <f>IFERROR(VLOOKUP($A3,ラック定義!$A:$E,5,FALSE),0.8)</f>
        <v/>
      </c>
      <c r="J3" s="5">
        <f>IF($D3="","",IF($G3&gt;$D3*$I3,"要対応（片系で閾値超過）","余裕あり"))</f>
        <v/>
      </c>
    </row>
    <row r="4">
      <c r="A4" s="5" t="inlineStr">
        <is>
          <t>E24-S8-1</t>
        </is>
      </c>
      <c r="B4" s="5" t="inlineStr">
        <is>
          <t>200V 30A （1）</t>
        </is>
      </c>
      <c r="C4" s="5">
        <f>IFERROR(INDEX(回路定義!$C:$C,MATCH(1,INDEX((回路定義!$A:$A=$A4)*(回路定義!$B:$B=$B4),0),0)),"")</f>
        <v/>
      </c>
      <c r="D4" s="5">
        <f>IFERROR(INDEX(回路定義!$D:$D,MATCH(1,INDEX((回路定義!$A:$A=$A4)*(回路定義!$B:$B=$B4),0),0)),"")</f>
        <v/>
      </c>
      <c r="E4" s="5">
        <f>SUMIFS(機器台帳!$N$2:$N$400,機器台帳!$A$2:$A$400,$A4,機器台帳!$M$2:$M$400,$B4)+SUMIFS(機器台帳!$Q$2:$Q$400,機器台帳!$A$2:$A$400,$A4,機器台帳!$P$2:$P$400,$B4)+SUMIFS(機器台帳!$T$2:$T$400,機器台帳!$A$2:$A$400,$A4,機器台帳!$S$2:$S$400,$B4)</f>
        <v/>
      </c>
      <c r="F4" s="5">
        <f>(SUMIFS(機器台帳!$AA$2:$AA$400,機器台帳!$A$2:$A$400,$A4,機器台帳!$M$2:$M$400,$B4)+SUMIFS(機器台帳!$AB$2:$AB$400,機器台帳!$A$2:$A$400,$A4,機器台帳!$P$2:$P$400,$B4)+SUMIFS(機器台帳!$AC$2:$AC$400,機器台帳!$A$2:$A$400,$A4,機器台帳!$S$2:$S$400,$B4))*IFERROR(VLOOKUP($A4,ラック定義!$A:$D,4,FALSE),0.6)</f>
        <v/>
      </c>
      <c r="G4" s="5">
        <f>$E4*IFERROR(VLOOKUP($A4,ラック定義!$A:$D,4,FALSE),0.6)</f>
        <v/>
      </c>
      <c r="H4" s="13">
        <f>IFERROR($G4/$D4,"")</f>
        <v/>
      </c>
      <c r="I4" s="13">
        <f>IFERROR(VLOOKUP($A4,ラック定義!$A:$E,5,FALSE),0.8)</f>
        <v/>
      </c>
      <c r="J4" s="5">
        <f>IF($D4="","",IF($G4&gt;$D4*$I4,"要対応（片系で閾値超過）","余裕あり"))</f>
        <v/>
      </c>
    </row>
    <row r="5">
      <c r="A5" s="5" t="inlineStr">
        <is>
          <t>E24-S8-2</t>
        </is>
      </c>
      <c r="B5" s="5" t="inlineStr">
        <is>
          <t>100V 20A （1）</t>
        </is>
      </c>
      <c r="C5" s="5">
        <f>IFERROR(INDEX(回路定義!$C:$C,MATCH(1,INDEX((回路定義!$A:$A=$A5)*(回路定義!$B:$B=$B5),0),0)),"")</f>
        <v/>
      </c>
      <c r="D5" s="5">
        <f>IFERROR(INDEX(回路定義!$D:$D,MATCH(1,INDEX((回路定義!$A:$A=$A5)*(回路定義!$B:$B=$B5),0),0)),"")</f>
        <v/>
      </c>
      <c r="E5" s="5">
        <f>SUMIFS(機器台帳!$N$2:$N$400,機器台帳!$A$2:$A$400,$A5,機器台帳!$M$2:$M$400,$B5)+SUMIFS(機器台帳!$Q$2:$Q$400,機器台帳!$A$2:$A$400,$A5,機器台帳!$P$2:$P$400,$B5)+SUMIFS(機器台帳!$T$2:$T$400,機器台帳!$A$2:$A$400,$A5,機器台帳!$S$2:$S$400,$B5)</f>
        <v/>
      </c>
      <c r="F5" s="5">
        <f>(SUMIFS(機器台帳!$AA$2:$AA$400,機器台帳!$A$2:$A$400,$A5,機器台帳!$M$2:$M$400,$B5)+SUMIFS(機器台帳!$AB$2:$AB$400,機器台帳!$A$2:$A$400,$A5,機器台帳!$P$2:$P$400,$B5)+SUMIFS(機器台帳!$AC$2:$AC$400,機器台帳!$A$2:$A$400,$A5,機器台帳!$S$2:$S$400,$B5))*IFERROR(VLOOKUP($A5,ラック定義!$A:$D,4,FALSE),0.6)</f>
        <v/>
      </c>
      <c r="G5" s="5">
        <f>$E5*IFERROR(VLOOKUP($A5,ラック定義!$A:$D,4,FALSE),0.6)</f>
        <v/>
      </c>
      <c r="H5" s="13">
        <f>IFERROR($G5/$D5,"")</f>
        <v/>
      </c>
      <c r="I5" s="13">
        <f>IFERROR(VLOOKUP($A5,ラック定義!$A:$E,5,FALSE),0.8)</f>
        <v/>
      </c>
      <c r="J5" s="5">
        <f>IF($D5="","",IF($G5&gt;$D5*$I5,"要対応（片系で閾値超過）","余裕あり"))</f>
        <v/>
      </c>
    </row>
    <row r="6">
      <c r="A6" s="5" t="inlineStr">
        <is>
          <t>E24-S8-2</t>
        </is>
      </c>
      <c r="B6" s="5" t="inlineStr">
        <is>
          <t>100V 20A （2）</t>
        </is>
      </c>
      <c r="C6" s="5">
        <f>IFERROR(INDEX(回路定義!$C:$C,MATCH(1,INDEX((回路定義!$A:$A=$A6)*(回路定義!$B:$B=$B6),0),0)),"")</f>
        <v/>
      </c>
      <c r="D6" s="5">
        <f>IFERROR(INDEX(回路定義!$D:$D,MATCH(1,INDEX((回路定義!$A:$A=$A6)*(回路定義!$B:$B=$B6),0),0)),"")</f>
        <v/>
      </c>
      <c r="E6" s="5">
        <f>SUMIFS(機器台帳!$N$2:$N$400,機器台帳!$A$2:$A$400,$A6,機器台帳!$M$2:$M$400,$B6)+SUMIFS(機器台帳!$Q$2:$Q$400,機器台帳!$A$2:$A$400,$A6,機器台帳!$P$2:$P$400,$B6)+SUMIFS(機器台帳!$T$2:$T$400,機器台帳!$A$2:$A$400,$A6,機器台帳!$S$2:$S$400,$B6)</f>
        <v/>
      </c>
      <c r="F6" s="5">
        <f>(SUMIFS(機器台帳!$AA$2:$AA$400,機器台帳!$A$2:$A$400,$A6,機器台帳!$M$2:$M$400,$B6)+SUMIFS(機器台帳!$AB$2:$AB$400,機器台帳!$A$2:$A$400,$A6,機器台帳!$P$2:$P$400,$B6)+SUMIFS(機器台帳!$AC$2:$AC$400,機器台帳!$A$2:$A$400,$A6,機器台帳!$S$2:$S$400,$B6))*IFERROR(VLOOKUP($A6,ラック定義!$A:$D,4,FALSE),0.6)</f>
        <v/>
      </c>
      <c r="G6" s="5">
        <f>$E6*IFERROR(VLOOKUP($A6,ラック定義!$A:$D,4,FALSE),0.6)</f>
        <v/>
      </c>
      <c r="H6" s="13">
        <f>IFERROR($G6/$D6,"")</f>
        <v/>
      </c>
      <c r="I6" s="13">
        <f>IFERROR(VLOOKUP($A6,ラック定義!$A:$E,5,FALSE),0.8)</f>
        <v/>
      </c>
      <c r="J6" s="5">
        <f>IF($D6="","",IF($G6&gt;$D6*$I6,"要対応（片系で閾値超過）","余裕あり"))</f>
        <v/>
      </c>
    </row>
    <row r="7">
      <c r="A7" s="5" t="inlineStr">
        <is>
          <t>E24-S8-2</t>
        </is>
      </c>
      <c r="B7" s="5" t="inlineStr">
        <is>
          <t>200V 30A （1）</t>
        </is>
      </c>
      <c r="C7" s="5">
        <f>IFERROR(INDEX(回路定義!$C:$C,MATCH(1,INDEX((回路定義!$A:$A=$A7)*(回路定義!$B:$B=$B7),0),0)),"")</f>
        <v/>
      </c>
      <c r="D7" s="5">
        <f>IFERROR(INDEX(回路定義!$D:$D,MATCH(1,INDEX((回路定義!$A:$A=$A7)*(回路定義!$B:$B=$B7),0),0)),"")</f>
        <v/>
      </c>
      <c r="E7" s="5">
        <f>SUMIFS(機器台帳!$N$2:$N$400,機器台帳!$A$2:$A$400,$A7,機器台帳!$M$2:$M$400,$B7)+SUMIFS(機器台帳!$Q$2:$Q$400,機器台帳!$A$2:$A$400,$A7,機器台帳!$P$2:$P$400,$B7)+SUMIFS(機器台帳!$T$2:$T$400,機器台帳!$A$2:$A$400,$A7,機器台帳!$S$2:$S$400,$B7)</f>
        <v/>
      </c>
      <c r="F7" s="5">
        <f>(SUMIFS(機器台帳!$AA$2:$AA$400,機器台帳!$A$2:$A$400,$A7,機器台帳!$M$2:$M$400,$B7)+SUMIFS(機器台帳!$AB$2:$AB$400,機器台帳!$A$2:$A$400,$A7,機器台帳!$P$2:$P$400,$B7)+SUMIFS(機器台帳!$AC$2:$AC$400,機器台帳!$A$2:$A$400,$A7,機器台帳!$S$2:$S$400,$B7))*IFERROR(VLOOKUP($A7,ラック定義!$A:$D,4,FALSE),0.6)</f>
        <v/>
      </c>
      <c r="G7" s="5">
        <f>$E7*IFERROR(VLOOKUP($A7,ラック定義!$A:$D,4,FALSE),0.6)</f>
        <v/>
      </c>
      <c r="H7" s="13">
        <f>IFERROR($G7/$D7,"")</f>
        <v/>
      </c>
      <c r="I7" s="13">
        <f>IFERROR(VLOOKUP($A7,ラック定義!$A:$E,5,FALSE),0.8)</f>
        <v/>
      </c>
      <c r="J7" s="5">
        <f>IF($D7="","",IF($G7&gt;$D7*$I7,"要対応（片系で閾値超過）","余裕あり"))</f>
        <v/>
      </c>
    </row>
    <row r="8">
      <c r="A8" s="5" t="inlineStr">
        <is>
          <t>E24-S8-3</t>
        </is>
      </c>
      <c r="B8" s="5" t="inlineStr">
        <is>
          <t>100V 20A （1）</t>
        </is>
      </c>
      <c r="C8" s="5">
        <f>IFERROR(INDEX(回路定義!$C:$C,MATCH(1,INDEX((回路定義!$A:$A=$A8)*(回路定義!$B:$B=$B8),0),0)),"")</f>
        <v/>
      </c>
      <c r="D8" s="5">
        <f>IFERROR(INDEX(回路定義!$D:$D,MATCH(1,INDEX((回路定義!$A:$A=$A8)*(回路定義!$B:$B=$B8),0),0)),"")</f>
        <v/>
      </c>
      <c r="E8" s="5">
        <f>SUMIFS(機器台帳!$N$2:$N$400,機器台帳!$A$2:$A$400,$A8,機器台帳!$M$2:$M$400,$B8)+SUMIFS(機器台帳!$Q$2:$Q$400,機器台帳!$A$2:$A$400,$A8,機器台帳!$P$2:$P$400,$B8)+SUMIFS(機器台帳!$T$2:$T$400,機器台帳!$A$2:$A$400,$A8,機器台帳!$S$2:$S$400,$B8)</f>
        <v/>
      </c>
      <c r="F8" s="5">
        <f>(SUMIFS(機器台帳!$AA$2:$AA$400,機器台帳!$A$2:$A$400,$A8,機器台帳!$M$2:$M$400,$B8)+SUMIFS(機器台帳!$AB$2:$AB$400,機器台帳!$A$2:$A$400,$A8,機器台帳!$P$2:$P$400,$B8)+SUMIFS(機器台帳!$AC$2:$AC$400,機器台帳!$A$2:$A$400,$A8,機器台帳!$S$2:$S$400,$B8))*IFERROR(VLOOKUP($A8,ラック定義!$A:$D,4,FALSE),0.6)</f>
        <v/>
      </c>
      <c r="G8" s="5">
        <f>$E8*IFERROR(VLOOKUP($A8,ラック定義!$A:$D,4,FALSE),0.6)</f>
        <v/>
      </c>
      <c r="H8" s="13">
        <f>IFERROR($G8/$D8,"")</f>
        <v/>
      </c>
      <c r="I8" s="13">
        <f>IFERROR(VLOOKUP($A8,ラック定義!$A:$E,5,FALSE),0.8)</f>
        <v/>
      </c>
      <c r="J8" s="5">
        <f>IF($D8="","",IF($G8&gt;$D8*$I8,"要対応（片系で閾値超過）","余裕あり"))</f>
        <v/>
      </c>
    </row>
    <row r="9">
      <c r="A9" s="5" t="inlineStr">
        <is>
          <t>E24-S8-3</t>
        </is>
      </c>
      <c r="B9" s="5" t="inlineStr">
        <is>
          <t>100V 20A （2）</t>
        </is>
      </c>
      <c r="C9" s="5">
        <f>IFERROR(INDEX(回路定義!$C:$C,MATCH(1,INDEX((回路定義!$A:$A=$A9)*(回路定義!$B:$B=$B9),0),0)),"")</f>
        <v/>
      </c>
      <c r="D9" s="5">
        <f>IFERROR(INDEX(回路定義!$D:$D,MATCH(1,INDEX((回路定義!$A:$A=$A9)*(回路定義!$B:$B=$B9),0),0)),"")</f>
        <v/>
      </c>
      <c r="E9" s="5">
        <f>SUMIFS(機器台帳!$N$2:$N$400,機器台帳!$A$2:$A$400,$A9,機器台帳!$M$2:$M$400,$B9)+SUMIFS(機器台帳!$Q$2:$Q$400,機器台帳!$A$2:$A$400,$A9,機器台帳!$P$2:$P$400,$B9)+SUMIFS(機器台帳!$T$2:$T$400,機器台帳!$A$2:$A$400,$A9,機器台帳!$S$2:$S$400,$B9)</f>
        <v/>
      </c>
      <c r="F9" s="5">
        <f>(SUMIFS(機器台帳!$AA$2:$AA$400,機器台帳!$A$2:$A$400,$A9,機器台帳!$M$2:$M$400,$B9)+SUMIFS(機器台帳!$AB$2:$AB$400,機器台帳!$A$2:$A$400,$A9,機器台帳!$P$2:$P$400,$B9)+SUMIFS(機器台帳!$AC$2:$AC$400,機器台帳!$A$2:$A$400,$A9,機器台帳!$S$2:$S$400,$B9))*IFERROR(VLOOKUP($A9,ラック定義!$A:$D,4,FALSE),0.6)</f>
        <v/>
      </c>
      <c r="G9" s="5">
        <f>$E9*IFERROR(VLOOKUP($A9,ラック定義!$A:$D,4,FALSE),0.6)</f>
        <v/>
      </c>
      <c r="H9" s="13">
        <f>IFERROR($G9/$D9,"")</f>
        <v/>
      </c>
      <c r="I9" s="13">
        <f>IFERROR(VLOOKUP($A9,ラック定義!$A:$E,5,FALSE),0.8)</f>
        <v/>
      </c>
      <c r="J9" s="5">
        <f>IF($D9="","",IF($G9&gt;$D9*$I9,"要対応（片系で閾値超過）","余裕あり"))</f>
        <v/>
      </c>
    </row>
    <row r="10">
      <c r="A10" s="5" t="inlineStr">
        <is>
          <t>E24-S8-4</t>
        </is>
      </c>
      <c r="B10" s="5" t="inlineStr">
        <is>
          <t>100V 20A （1）</t>
        </is>
      </c>
      <c r="C10" s="5">
        <f>IFERROR(INDEX(回路定義!$C:$C,MATCH(1,INDEX((回路定義!$A:$A=$A10)*(回路定義!$B:$B=$B10),0),0)),"")</f>
        <v/>
      </c>
      <c r="D10" s="5">
        <f>IFERROR(INDEX(回路定義!$D:$D,MATCH(1,INDEX((回路定義!$A:$A=$A10)*(回路定義!$B:$B=$B10),0),0)),"")</f>
        <v/>
      </c>
      <c r="E10" s="5">
        <f>SUMIFS(機器台帳!$N$2:$N$400,機器台帳!$A$2:$A$400,$A10,機器台帳!$M$2:$M$400,$B10)+SUMIFS(機器台帳!$Q$2:$Q$400,機器台帳!$A$2:$A$400,$A10,機器台帳!$P$2:$P$400,$B10)+SUMIFS(機器台帳!$T$2:$T$400,機器台帳!$A$2:$A$400,$A10,機器台帳!$S$2:$S$400,$B10)</f>
        <v/>
      </c>
      <c r="F10" s="5">
        <f>(SUMIFS(機器台帳!$AA$2:$AA$400,機器台帳!$A$2:$A$400,$A10,機器台帳!$M$2:$M$400,$B10)+SUMIFS(機器台帳!$AB$2:$AB$400,機器台帳!$A$2:$A$400,$A10,機器台帳!$P$2:$P$400,$B10)+SUMIFS(機器台帳!$AC$2:$AC$400,機器台帳!$A$2:$A$400,$A10,機器台帳!$S$2:$S$400,$B10))*IFERROR(VLOOKUP($A10,ラック定義!$A:$D,4,FALSE),0.6)</f>
        <v/>
      </c>
      <c r="G10" s="5">
        <f>$E10*IFERROR(VLOOKUP($A10,ラック定義!$A:$D,4,FALSE),0.6)</f>
        <v/>
      </c>
      <c r="H10" s="13">
        <f>IFERROR($G10/$D10,"")</f>
        <v/>
      </c>
      <c r="I10" s="13">
        <f>IFERROR(VLOOKUP($A10,ラック定義!$A:$E,5,FALSE),0.8)</f>
        <v/>
      </c>
      <c r="J10" s="5">
        <f>IF($D10="","",IF($G10&gt;$D10*$I10,"要対応（片系で閾値超過）","余裕あり"))</f>
        <v/>
      </c>
    </row>
    <row r="11">
      <c r="A11" s="5" t="inlineStr">
        <is>
          <t>E24-S8-4</t>
        </is>
      </c>
      <c r="B11" s="5" t="inlineStr">
        <is>
          <t>100V 20A （2）</t>
        </is>
      </c>
      <c r="C11" s="5">
        <f>IFERROR(INDEX(回路定義!$C:$C,MATCH(1,INDEX((回路定義!$A:$A=$A11)*(回路定義!$B:$B=$B11),0),0)),"")</f>
        <v/>
      </c>
      <c r="D11" s="5">
        <f>IFERROR(INDEX(回路定義!$D:$D,MATCH(1,INDEX((回路定義!$A:$A=$A11)*(回路定義!$B:$B=$B11),0),0)),"")</f>
        <v/>
      </c>
      <c r="E11" s="5">
        <f>SUMIFS(機器台帳!$N$2:$N$400,機器台帳!$A$2:$A$400,$A11,機器台帳!$M$2:$M$400,$B11)+SUMIFS(機器台帳!$Q$2:$Q$400,機器台帳!$A$2:$A$400,$A11,機器台帳!$P$2:$P$400,$B11)+SUMIFS(機器台帳!$T$2:$T$400,機器台帳!$A$2:$A$400,$A11,機器台帳!$S$2:$S$400,$B11)</f>
        <v/>
      </c>
      <c r="F11" s="5">
        <f>(SUMIFS(機器台帳!$AA$2:$AA$400,機器台帳!$A$2:$A$400,$A11,機器台帳!$M$2:$M$400,$B11)+SUMIFS(機器台帳!$AB$2:$AB$400,機器台帳!$A$2:$A$400,$A11,機器台帳!$P$2:$P$400,$B11)+SUMIFS(機器台帳!$AC$2:$AC$400,機器台帳!$A$2:$A$400,$A11,機器台帳!$S$2:$S$400,$B11))*IFERROR(VLOOKUP($A11,ラック定義!$A:$D,4,FALSE),0.6)</f>
        <v/>
      </c>
      <c r="G11" s="5">
        <f>$E11*IFERROR(VLOOKUP($A11,ラック定義!$A:$D,4,FALSE),0.6)</f>
        <v/>
      </c>
      <c r="H11" s="13">
        <f>IFERROR($G11/$D11,"")</f>
        <v/>
      </c>
      <c r="I11" s="13">
        <f>IFERROR(VLOOKUP($A11,ラック定義!$A:$E,5,FALSE),0.8)</f>
        <v/>
      </c>
      <c r="J11" s="5">
        <f>IF($D11="","",IF($G11&gt;$D11*$I11,"要対応（片系で閾値超過）","余裕あり"))</f>
        <v/>
      </c>
    </row>
    <row r="12">
      <c r="A12" s="5" t="inlineStr">
        <is>
          <t>E24-S8-5</t>
        </is>
      </c>
      <c r="B12" s="5" t="inlineStr">
        <is>
          <t>100V 20A （1）</t>
        </is>
      </c>
      <c r="C12" s="5">
        <f>IFERROR(INDEX(回路定義!$C:$C,MATCH(1,INDEX((回路定義!$A:$A=$A12)*(回路定義!$B:$B=$B12),0),0)),"")</f>
        <v/>
      </c>
      <c r="D12" s="5">
        <f>IFERROR(INDEX(回路定義!$D:$D,MATCH(1,INDEX((回路定義!$A:$A=$A12)*(回路定義!$B:$B=$B12),0),0)),"")</f>
        <v/>
      </c>
      <c r="E12" s="5">
        <f>SUMIFS(機器台帳!$N$2:$N$400,機器台帳!$A$2:$A$400,$A12,機器台帳!$M$2:$M$400,$B12)+SUMIFS(機器台帳!$Q$2:$Q$400,機器台帳!$A$2:$A$400,$A12,機器台帳!$P$2:$P$400,$B12)+SUMIFS(機器台帳!$T$2:$T$400,機器台帳!$A$2:$A$400,$A12,機器台帳!$S$2:$S$400,$B12)</f>
        <v/>
      </c>
      <c r="F12" s="5">
        <f>(SUMIFS(機器台帳!$AA$2:$AA$400,機器台帳!$A$2:$A$400,$A12,機器台帳!$M$2:$M$400,$B12)+SUMIFS(機器台帳!$AB$2:$AB$400,機器台帳!$A$2:$A$400,$A12,機器台帳!$P$2:$P$400,$B12)+SUMIFS(機器台帳!$AC$2:$AC$400,機器台帳!$A$2:$A$400,$A12,機器台帳!$S$2:$S$400,$B12))*IFERROR(VLOOKUP($A12,ラック定義!$A:$D,4,FALSE),0.6)</f>
        <v/>
      </c>
      <c r="G12" s="5">
        <f>$E12*IFERROR(VLOOKUP($A12,ラック定義!$A:$D,4,FALSE),0.6)</f>
        <v/>
      </c>
      <c r="H12" s="13">
        <f>IFERROR($G12/$D12,"")</f>
        <v/>
      </c>
      <c r="I12" s="13">
        <f>IFERROR(VLOOKUP($A12,ラック定義!$A:$E,5,FALSE),0.8)</f>
        <v/>
      </c>
      <c r="J12" s="5">
        <f>IF($D12="","",IF($G12&gt;$D12*$I12,"要対応（片系で閾値超過）","余裕あり"))</f>
        <v/>
      </c>
    </row>
    <row r="13">
      <c r="A13" s="5" t="inlineStr">
        <is>
          <t>E24-S8-5</t>
        </is>
      </c>
      <c r="B13" s="5" t="inlineStr">
        <is>
          <t>100V 20A （2）</t>
        </is>
      </c>
      <c r="C13" s="5">
        <f>IFERROR(INDEX(回路定義!$C:$C,MATCH(1,INDEX((回路定義!$A:$A=$A13)*(回路定義!$B:$B=$B13),0),0)),"")</f>
        <v/>
      </c>
      <c r="D13" s="5">
        <f>IFERROR(INDEX(回路定義!$D:$D,MATCH(1,INDEX((回路定義!$A:$A=$A13)*(回路定義!$B:$B=$B13),0),0)),"")</f>
        <v/>
      </c>
      <c r="E13" s="5">
        <f>SUMIFS(機器台帳!$N$2:$N$400,機器台帳!$A$2:$A$400,$A13,機器台帳!$M$2:$M$400,$B13)+SUMIFS(機器台帳!$Q$2:$Q$400,機器台帳!$A$2:$A$400,$A13,機器台帳!$P$2:$P$400,$B13)+SUMIFS(機器台帳!$T$2:$T$400,機器台帳!$A$2:$A$400,$A13,機器台帳!$S$2:$S$400,$B13)</f>
        <v/>
      </c>
      <c r="F13" s="5">
        <f>(SUMIFS(機器台帳!$AA$2:$AA$400,機器台帳!$A$2:$A$400,$A13,機器台帳!$M$2:$M$400,$B13)+SUMIFS(機器台帳!$AB$2:$AB$400,機器台帳!$A$2:$A$400,$A13,機器台帳!$P$2:$P$400,$B13)+SUMIFS(機器台帳!$AC$2:$AC$400,機器台帳!$A$2:$A$400,$A13,機器台帳!$S$2:$S$400,$B13))*IFERROR(VLOOKUP($A13,ラック定義!$A:$D,4,FALSE),0.6)</f>
        <v/>
      </c>
      <c r="G13" s="5">
        <f>$E13*IFERROR(VLOOKUP($A13,ラック定義!$A:$D,4,FALSE),0.6)</f>
        <v/>
      </c>
      <c r="H13" s="13">
        <f>IFERROR($G13/$D13,"")</f>
        <v/>
      </c>
      <c r="I13" s="13">
        <f>IFERROR(VLOOKUP($A13,ラック定義!$A:$E,5,FALSE),0.8)</f>
        <v/>
      </c>
      <c r="J13" s="5">
        <f>IF($D13="","",IF($G13&gt;$D13*$I13,"要対応（片系で閾値超過）","余裕あり"))</f>
        <v/>
      </c>
    </row>
    <row r="14">
      <c r="A14" s="5" t="inlineStr">
        <is>
          <t>E24-S8-5</t>
        </is>
      </c>
      <c r="B14" s="5" t="inlineStr">
        <is>
          <t>200V 30A （1）</t>
        </is>
      </c>
      <c r="C14" s="5">
        <f>IFERROR(INDEX(回路定義!$C:$C,MATCH(1,INDEX((回路定義!$A:$A=$A14)*(回路定義!$B:$B=$B14),0),0)),"")</f>
        <v/>
      </c>
      <c r="D14" s="5">
        <f>IFERROR(INDEX(回路定義!$D:$D,MATCH(1,INDEX((回路定義!$A:$A=$A14)*(回路定義!$B:$B=$B14),0),0)),"")</f>
        <v/>
      </c>
      <c r="E14" s="5">
        <f>SUMIFS(機器台帳!$N$2:$N$400,機器台帳!$A$2:$A$400,$A14,機器台帳!$M$2:$M$400,$B14)+SUMIFS(機器台帳!$Q$2:$Q$400,機器台帳!$A$2:$A$400,$A14,機器台帳!$P$2:$P$400,$B14)+SUMIFS(機器台帳!$T$2:$T$400,機器台帳!$A$2:$A$400,$A14,機器台帳!$S$2:$S$400,$B14)</f>
        <v/>
      </c>
      <c r="F14" s="5">
        <f>(SUMIFS(機器台帳!$AA$2:$AA$400,機器台帳!$A$2:$A$400,$A14,機器台帳!$M$2:$M$400,$B14)+SUMIFS(機器台帳!$AB$2:$AB$400,機器台帳!$A$2:$A$400,$A14,機器台帳!$P$2:$P$400,$B14)+SUMIFS(機器台帳!$AC$2:$AC$400,機器台帳!$A$2:$A$400,$A14,機器台帳!$S$2:$S$400,$B14))*IFERROR(VLOOKUP($A14,ラック定義!$A:$D,4,FALSE),0.6)</f>
        <v/>
      </c>
      <c r="G14" s="5">
        <f>$E14*IFERROR(VLOOKUP($A14,ラック定義!$A:$D,4,FALSE),0.6)</f>
        <v/>
      </c>
      <c r="H14" s="13">
        <f>IFERROR($G14/$D14,"")</f>
        <v/>
      </c>
      <c r="I14" s="13">
        <f>IFERROR(VLOOKUP($A14,ラック定義!$A:$E,5,FALSE),0.8)</f>
        <v/>
      </c>
      <c r="J14" s="5">
        <f>IF($D14="","",IF($G14&gt;$D14*$I14,"要対応（片系で閾値超過）","余裕あり"))</f>
        <v/>
      </c>
    </row>
    <row r="15">
      <c r="A15" s="5" t="inlineStr">
        <is>
          <t>E24-S6-1</t>
        </is>
      </c>
      <c r="B15" s="5" t="inlineStr">
        <is>
          <t>100V 20A （1）</t>
        </is>
      </c>
      <c r="C15" s="5">
        <f>IFERROR(INDEX(回路定義!$C:$C,MATCH(1,INDEX((回路定義!$A:$A=$A15)*(回路定義!$B:$B=$B15),0),0)),"")</f>
        <v/>
      </c>
      <c r="D15" s="5">
        <f>IFERROR(INDEX(回路定義!$D:$D,MATCH(1,INDEX((回路定義!$A:$A=$A15)*(回路定義!$B:$B=$B15),0),0)),"")</f>
        <v/>
      </c>
      <c r="E15" s="5">
        <f>SUMIFS(機器台帳!$N$2:$N$400,機器台帳!$A$2:$A$400,$A15,機器台帳!$M$2:$M$400,$B15)+SUMIFS(機器台帳!$Q$2:$Q$400,機器台帳!$A$2:$A$400,$A15,機器台帳!$P$2:$P$400,$B15)+SUMIFS(機器台帳!$T$2:$T$400,機器台帳!$A$2:$A$400,$A15,機器台帳!$S$2:$S$400,$B15)</f>
        <v/>
      </c>
      <c r="F15" s="5">
        <f>(SUMIFS(機器台帳!$AA$2:$AA$400,機器台帳!$A$2:$A$400,$A15,機器台帳!$M$2:$M$400,$B15)+SUMIFS(機器台帳!$AB$2:$AB$400,機器台帳!$A$2:$A$400,$A15,機器台帳!$P$2:$P$400,$B15)+SUMIFS(機器台帳!$AC$2:$AC$400,機器台帳!$A$2:$A$400,$A15,機器台帳!$S$2:$S$400,$B15))*IFERROR(VLOOKUP($A15,ラック定義!$A:$D,4,FALSE),0.6)</f>
        <v/>
      </c>
      <c r="G15" s="5">
        <f>$E15*IFERROR(VLOOKUP($A15,ラック定義!$A:$D,4,FALSE),0.6)</f>
        <v/>
      </c>
      <c r="H15" s="13">
        <f>IFERROR($G15/$D15,"")</f>
        <v/>
      </c>
      <c r="I15" s="13">
        <f>IFERROR(VLOOKUP($A15,ラック定義!$A:$E,5,FALSE),0.8)</f>
        <v/>
      </c>
      <c r="J15" s="5">
        <f>IF($D15="","",IF($G15&gt;$D15*$I15,"要対応（片系で閾値超過）","余裕あり"))</f>
        <v/>
      </c>
    </row>
    <row r="16">
      <c r="A16" s="5" t="inlineStr">
        <is>
          <t>E24-S6-1</t>
        </is>
      </c>
      <c r="B16" s="5" t="inlineStr">
        <is>
          <t>100V 20A （2）</t>
        </is>
      </c>
      <c r="C16" s="5">
        <f>IFERROR(INDEX(回路定義!$C:$C,MATCH(1,INDEX((回路定義!$A:$A=$A16)*(回路定義!$B:$B=$B16),0),0)),"")</f>
        <v/>
      </c>
      <c r="D16" s="5">
        <f>IFERROR(INDEX(回路定義!$D:$D,MATCH(1,INDEX((回路定義!$A:$A=$A16)*(回路定義!$B:$B=$B16),0),0)),"")</f>
        <v/>
      </c>
      <c r="E16" s="5">
        <f>SUMIFS(機器台帳!$N$2:$N$400,機器台帳!$A$2:$A$400,$A16,機器台帳!$M$2:$M$400,$B16)+SUMIFS(機器台帳!$Q$2:$Q$400,機器台帳!$A$2:$A$400,$A16,機器台帳!$P$2:$P$400,$B16)+SUMIFS(機器台帳!$T$2:$T$400,機器台帳!$A$2:$A$400,$A16,機器台帳!$S$2:$S$400,$B16)</f>
        <v/>
      </c>
      <c r="F16" s="5">
        <f>(SUMIFS(機器台帳!$AA$2:$AA$400,機器台帳!$A$2:$A$400,$A16,機器台帳!$M$2:$M$400,$B16)+SUMIFS(機器台帳!$AB$2:$AB$400,機器台帳!$A$2:$A$400,$A16,機器台帳!$P$2:$P$400,$B16)+SUMIFS(機器台帳!$AC$2:$AC$400,機器台帳!$A$2:$A$400,$A16,機器台帳!$S$2:$S$400,$B16))*IFERROR(VLOOKUP($A16,ラック定義!$A:$D,4,FALSE),0.6)</f>
        <v/>
      </c>
      <c r="G16" s="5">
        <f>$E16*IFERROR(VLOOKUP($A16,ラック定義!$A:$D,4,FALSE),0.6)</f>
        <v/>
      </c>
      <c r="H16" s="13">
        <f>IFERROR($G16/$D16,"")</f>
        <v/>
      </c>
      <c r="I16" s="13">
        <f>IFERROR(VLOOKUP($A16,ラック定義!$A:$E,5,FALSE),0.8)</f>
        <v/>
      </c>
      <c r="J16" s="5">
        <f>IF($D16="","",IF($G16&gt;$D16*$I16,"要対応（片系で閾値超過）","余裕あり"))</f>
        <v/>
      </c>
    </row>
    <row r="17">
      <c r="A17" s="5" t="inlineStr">
        <is>
          <t>E24-S6-1</t>
        </is>
      </c>
      <c r="B17" s="5" t="inlineStr">
        <is>
          <t>200V 30A （1）</t>
        </is>
      </c>
      <c r="C17" s="5">
        <f>IFERROR(INDEX(回路定義!$C:$C,MATCH(1,INDEX((回路定義!$A:$A=$A17)*(回路定義!$B:$B=$B17),0),0)),"")</f>
        <v/>
      </c>
      <c r="D17" s="5">
        <f>IFERROR(INDEX(回路定義!$D:$D,MATCH(1,INDEX((回路定義!$A:$A=$A17)*(回路定義!$B:$B=$B17),0),0)),"")</f>
        <v/>
      </c>
      <c r="E17" s="5">
        <f>SUMIFS(機器台帳!$N$2:$N$400,機器台帳!$A$2:$A$400,$A17,機器台帳!$M$2:$M$400,$B17)+SUMIFS(機器台帳!$Q$2:$Q$400,機器台帳!$A$2:$A$400,$A17,機器台帳!$P$2:$P$400,$B17)+SUMIFS(機器台帳!$T$2:$T$400,機器台帳!$A$2:$A$400,$A17,機器台帳!$S$2:$S$400,$B17)</f>
        <v/>
      </c>
      <c r="F17" s="5">
        <f>(SUMIFS(機器台帳!$AA$2:$AA$400,機器台帳!$A$2:$A$400,$A17,機器台帳!$M$2:$M$400,$B17)+SUMIFS(機器台帳!$AB$2:$AB$400,機器台帳!$A$2:$A$400,$A17,機器台帳!$P$2:$P$400,$B17)+SUMIFS(機器台帳!$AC$2:$AC$400,機器台帳!$A$2:$A$400,$A17,機器台帳!$S$2:$S$400,$B17))*IFERROR(VLOOKUP($A17,ラック定義!$A:$D,4,FALSE),0.6)</f>
        <v/>
      </c>
      <c r="G17" s="5">
        <f>$E17*IFERROR(VLOOKUP($A17,ラック定義!$A:$D,4,FALSE),0.6)</f>
        <v/>
      </c>
      <c r="H17" s="13">
        <f>IFERROR($G17/$D17,"")</f>
        <v/>
      </c>
      <c r="I17" s="13">
        <f>IFERROR(VLOOKUP($A17,ラック定義!$A:$E,5,FALSE),0.8)</f>
        <v/>
      </c>
      <c r="J17" s="5">
        <f>IF($D17="","",IF($G17&gt;$D17*$I17,"要対応（片系で閾値超過）","余裕あり"))</f>
        <v/>
      </c>
    </row>
    <row r="20">
      <c r="A20" s="14" t="inlineStr">
        <is>
          <t>ラック単位</t>
        </is>
      </c>
    </row>
    <row r="21">
      <c r="A21" s="15" t="inlineStr">
        <is>
          <t>ラック</t>
        </is>
      </c>
      <c r="B21" s="15" t="inlineStr">
        <is>
          <t>機器総重量kg</t>
        </is>
      </c>
      <c r="C21" s="15" t="inlineStr">
        <is>
          <t>定格消費電力W</t>
        </is>
      </c>
      <c r="D21" s="15" t="inlineStr">
        <is>
          <t>予測実効W</t>
        </is>
      </c>
      <c r="E21" s="15" t="inlineStr">
        <is>
          <t>使用U数(前面)</t>
        </is>
      </c>
      <c r="F21" s="15" t="inlineStr">
        <is>
          <t>電力が未記入の機器</t>
        </is>
      </c>
      <c r="G21" s="15" t="inlineStr">
        <is>
          <t>点検の指摘がある行</t>
        </is>
      </c>
    </row>
    <row r="22">
      <c r="A22" s="5" t="inlineStr">
        <is>
          <t>E24-S8-1</t>
        </is>
      </c>
      <c r="B22" s="5">
        <f>SUMIF(機器台帳!$A$2:$A$400,$A22,機器台帳!$J$2:$J$400)</f>
        <v/>
      </c>
      <c r="C22" s="5">
        <f>SUMIF(機器台帳!$A$2:$A$400,$A22,機器台帳!$Z$2:$Z$400)</f>
        <v/>
      </c>
      <c r="D22" s="5">
        <f>$C22*IFERROR(VLOOKUP($A22,ラック定義!$A:$D,4,FALSE),0.6)</f>
        <v/>
      </c>
      <c r="E22" s="5">
        <f>SUMIFS(機器台帳!$D$2:$D$400,機器台帳!$A$2:$A$400,$A22,機器台帳!$B$2:$B$400,"前面")+SUMIFS(機器台帳!$D$2:$D$400,機器台帳!$A$2:$A$400,$A22,機器台帳!$B$2:$B$400,"両面")</f>
        <v/>
      </c>
      <c r="F22" s="5">
        <f>COUNTIFS(機器台帳!$A$2:$A$400,$A22,機器台帳!$AD$2:$AD$400,"*電力が未記入*")</f>
        <v/>
      </c>
      <c r="G22" s="5">
        <f>COUNTIFS(機器台帳!$A$2:$A$400,$A22,機器台帳!$AD$2:$AD$400,"?*")</f>
        <v/>
      </c>
    </row>
    <row r="23">
      <c r="A23" s="5" t="inlineStr">
        <is>
          <t>E24-S8-2</t>
        </is>
      </c>
      <c r="B23" s="5">
        <f>SUMIF(機器台帳!$A$2:$A$400,$A23,機器台帳!$J$2:$J$400)</f>
        <v/>
      </c>
      <c r="C23" s="5">
        <f>SUMIF(機器台帳!$A$2:$A$400,$A23,機器台帳!$Z$2:$Z$400)</f>
        <v/>
      </c>
      <c r="D23" s="5">
        <f>$C23*IFERROR(VLOOKUP($A23,ラック定義!$A:$D,4,FALSE),0.6)</f>
        <v/>
      </c>
      <c r="E23" s="5">
        <f>SUMIFS(機器台帳!$D$2:$D$400,機器台帳!$A$2:$A$400,$A23,機器台帳!$B$2:$B$400,"前面")+SUMIFS(機器台帳!$D$2:$D$400,機器台帳!$A$2:$A$400,$A23,機器台帳!$B$2:$B$400,"両面")</f>
        <v/>
      </c>
      <c r="F23" s="5">
        <f>COUNTIFS(機器台帳!$A$2:$A$400,$A23,機器台帳!$AD$2:$AD$400,"*電力が未記入*")</f>
        <v/>
      </c>
      <c r="G23" s="5">
        <f>COUNTIFS(機器台帳!$A$2:$A$400,$A23,機器台帳!$AD$2:$AD$400,"?*")</f>
        <v/>
      </c>
    </row>
    <row r="24">
      <c r="A24" s="5" t="inlineStr">
        <is>
          <t>E24-S8-3</t>
        </is>
      </c>
      <c r="B24" s="5">
        <f>SUMIF(機器台帳!$A$2:$A$400,$A24,機器台帳!$J$2:$J$400)</f>
        <v/>
      </c>
      <c r="C24" s="5">
        <f>SUMIF(機器台帳!$A$2:$A$400,$A24,機器台帳!$Z$2:$Z$400)</f>
        <v/>
      </c>
      <c r="D24" s="5">
        <f>$C24*IFERROR(VLOOKUP($A24,ラック定義!$A:$D,4,FALSE),0.6)</f>
        <v/>
      </c>
      <c r="E24" s="5">
        <f>SUMIFS(機器台帳!$D$2:$D$400,機器台帳!$A$2:$A$400,$A24,機器台帳!$B$2:$B$400,"前面")+SUMIFS(機器台帳!$D$2:$D$400,機器台帳!$A$2:$A$400,$A24,機器台帳!$B$2:$B$400,"両面")</f>
        <v/>
      </c>
      <c r="F24" s="5">
        <f>COUNTIFS(機器台帳!$A$2:$A$400,$A24,機器台帳!$AD$2:$AD$400,"*電力が未記入*")</f>
        <v/>
      </c>
      <c r="G24" s="5">
        <f>COUNTIFS(機器台帳!$A$2:$A$400,$A24,機器台帳!$AD$2:$AD$400,"?*")</f>
        <v/>
      </c>
    </row>
    <row r="25">
      <c r="A25" s="5" t="inlineStr">
        <is>
          <t>E24-S8-4</t>
        </is>
      </c>
      <c r="B25" s="5">
        <f>SUMIF(機器台帳!$A$2:$A$400,$A25,機器台帳!$J$2:$J$400)</f>
        <v/>
      </c>
      <c r="C25" s="5">
        <f>SUMIF(機器台帳!$A$2:$A$400,$A25,機器台帳!$Z$2:$Z$400)</f>
        <v/>
      </c>
      <c r="D25" s="5">
        <f>$C25*IFERROR(VLOOKUP($A25,ラック定義!$A:$D,4,FALSE),0.6)</f>
        <v/>
      </c>
      <c r="E25" s="5">
        <f>SUMIFS(機器台帳!$D$2:$D$400,機器台帳!$A$2:$A$400,$A25,機器台帳!$B$2:$B$400,"前面")+SUMIFS(機器台帳!$D$2:$D$400,機器台帳!$A$2:$A$400,$A25,機器台帳!$B$2:$B$400,"両面")</f>
        <v/>
      </c>
      <c r="F25" s="5">
        <f>COUNTIFS(機器台帳!$A$2:$A$400,$A25,機器台帳!$AD$2:$AD$400,"*電力が未記入*")</f>
        <v/>
      </c>
      <c r="G25" s="5">
        <f>COUNTIFS(機器台帳!$A$2:$A$400,$A25,機器台帳!$AD$2:$AD$400,"?*")</f>
        <v/>
      </c>
    </row>
    <row r="26">
      <c r="A26" s="5" t="inlineStr">
        <is>
          <t>E24-S8-5</t>
        </is>
      </c>
      <c r="B26" s="5">
        <f>SUMIF(機器台帳!$A$2:$A$400,$A26,機器台帳!$J$2:$J$400)</f>
        <v/>
      </c>
      <c r="C26" s="5">
        <f>SUMIF(機器台帳!$A$2:$A$400,$A26,機器台帳!$Z$2:$Z$400)</f>
        <v/>
      </c>
      <c r="D26" s="5">
        <f>$C26*IFERROR(VLOOKUP($A26,ラック定義!$A:$D,4,FALSE),0.6)</f>
        <v/>
      </c>
      <c r="E26" s="5">
        <f>SUMIFS(機器台帳!$D$2:$D$400,機器台帳!$A$2:$A$400,$A26,機器台帳!$B$2:$B$400,"前面")+SUMIFS(機器台帳!$D$2:$D$400,機器台帳!$A$2:$A$400,$A26,機器台帳!$B$2:$B$400,"両面")</f>
        <v/>
      </c>
      <c r="F26" s="5">
        <f>COUNTIFS(機器台帳!$A$2:$A$400,$A26,機器台帳!$AD$2:$AD$400,"*電力が未記入*")</f>
        <v/>
      </c>
      <c r="G26" s="5">
        <f>COUNTIFS(機器台帳!$A$2:$A$400,$A26,機器台帳!$AD$2:$AD$400,"?*")</f>
        <v/>
      </c>
    </row>
    <row r="27">
      <c r="A27" s="5" t="inlineStr">
        <is>
          <t>E24-S6-1</t>
        </is>
      </c>
      <c r="B27" s="5">
        <f>SUMIF(機器台帳!$A$2:$A$400,$A27,機器台帳!$J$2:$J$400)</f>
        <v/>
      </c>
      <c r="C27" s="5">
        <f>SUMIF(機器台帳!$A$2:$A$400,$A27,機器台帳!$Z$2:$Z$400)</f>
        <v/>
      </c>
      <c r="D27" s="5">
        <f>$C27*IFERROR(VLOOKUP($A27,ラック定義!$A:$D,4,FALSE),0.6)</f>
        <v/>
      </c>
      <c r="E27" s="5">
        <f>SUMIFS(機器台帳!$D$2:$D$400,機器台帳!$A$2:$A$400,$A27,機器台帳!$B$2:$B$400,"前面")+SUMIFS(機器台帳!$D$2:$D$400,機器台帳!$A$2:$A$400,$A27,機器台帳!$B$2:$B$400,"両面")</f>
        <v/>
      </c>
      <c r="F27" s="5">
        <f>COUNTIFS(機器台帳!$A$2:$A$400,$A27,機器台帳!$AD$2:$AD$400,"*電力が未記入*")</f>
        <v/>
      </c>
      <c r="G27" s="5">
        <f>COUNTIFS(機器台帳!$A$2:$A$400,$A27,機器台帳!$AD$2:$AD$400,"?*")</f>
        <v/>
      </c>
    </row>
  </sheetData>
  <conditionalFormatting sqref="A2:J17">
    <cfRule type="expression" priority="1" dxfId="0">
      <formula>$J2="要対応（片系で閾値超過）"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2026-09-28T08:44:49Z</dcterms:created>
  <dcterms:modified xmlns:dcterms="http://purl.org/dc/terms/" xmlns:xsi="http://www.w3.org/2001/XMLSchema-instance" xsi:type="dcterms:W3CDTF">2026-09-28T08:44:48Z</dcterms:modified>
</cp:coreProperties>
</file>